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30577CE3-3F06-48DD-A42E-CD2F55E973D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Cotizaciones!$A$1:$N$940</definedName>
    <definedName name="DatosExternos_1" localSheetId="0" hidden="1">Detalle!$A$1:$N$1087</definedName>
    <definedName name="DatosExternos_1" localSheetId="1" hidden="1">Requisiciones!$A$1:$P$861</definedName>
  </definedNames>
  <calcPr calcId="191028"/>
  <pivotCaches>
    <pivotCache cacheId="4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<sst xmlns="http://schemas.openxmlformats.org/spreadsheetml/2006/main" count="19537" uniqueCount="2350">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</sst>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7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6.64900902778" createdVersion="8" refreshedVersion="6" minRefreshableVersion="3" recordCount="1086" xr:uid="{CFCF1F21-8EFC-4C15-98EE-861C56BEE2F6}">
  <cacheSource type="worksheet">
    <worksheetSource name="_03_Ordenes_de_Compra"/>
  </cacheSource>
  <cacheFields count="16">
    <cacheField name="LLave" numFmtId="0">
      <sharedItems count="10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1_3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8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4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9" firstHeaderRow="1" firstDataRow="2" firstDataCol="1" rowPageCount="1" colPageCount="1"/>
  <pivotFields count="16">
    <pivotField axis="axisRow" showAl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5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87" tableType="queryTable" totalsRowShown="0">
  <autoFilter ref="A1:P108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61" tableType="queryTable" totalsRowShown="0">
  <autoFilter ref="A1:P861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40" tableType="queryTable" totalsRowShown="0">
  <autoFilter ref="A1:N940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3"/>
    <tableColumn id="8" xr3:uid="{ACD7121A-FEE7-4A0B-BFC8-9A4E695E6B60}" name="Valor Neto" dataDxfId="1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7"/>
  <sheetViews>
    <sheetView tabSelected="1"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1959</v>
      </c>
      <c r="F941">
        <v>4</v>
      </c>
      <c r="G941" s="1">
        <v>21930</v>
      </c>
      <c r="H941" s="1">
        <v>87720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1960</v>
      </c>
      <c r="F942">
        <v>5</v>
      </c>
      <c r="G942" s="1">
        <v>21930</v>
      </c>
      <c r="H942" s="1">
        <v>109650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1999</v>
      </c>
      <c r="F943">
        <v>1</v>
      </c>
      <c r="G943" s="1">
        <v>32725</v>
      </c>
      <c r="H943" s="1">
        <v>32725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1994</v>
      </c>
      <c r="F944">
        <v>6</v>
      </c>
      <c r="G944" s="1">
        <v>5780</v>
      </c>
      <c r="H944" s="1">
        <v>34680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1992</v>
      </c>
      <c r="F945">
        <v>1</v>
      </c>
      <c r="G945" s="1">
        <v>21930</v>
      </c>
      <c r="H945" s="1">
        <v>21930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1993</v>
      </c>
      <c r="F946">
        <v>2</v>
      </c>
      <c r="G946" s="1">
        <v>21930</v>
      </c>
      <c r="H946" s="1">
        <v>43860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1997</v>
      </c>
      <c r="F947">
        <v>2</v>
      </c>
      <c r="G947" s="1">
        <v>32725</v>
      </c>
      <c r="H947" s="1">
        <v>65450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2022</v>
      </c>
      <c r="F948">
        <v>5</v>
      </c>
      <c r="G948" s="1">
        <v>19975</v>
      </c>
      <c r="H948" s="1">
        <v>99875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2020</v>
      </c>
      <c r="F949">
        <v>5</v>
      </c>
      <c r="G949" s="1">
        <v>3060</v>
      </c>
      <c r="H949" s="1">
        <v>15300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2021</v>
      </c>
      <c r="F950">
        <v>1</v>
      </c>
      <c r="G950" s="1">
        <v>4488</v>
      </c>
      <c r="H950" s="1">
        <v>4488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1998</v>
      </c>
      <c r="F951">
        <v>2</v>
      </c>
      <c r="G951" s="1">
        <v>19975</v>
      </c>
      <c r="H951" s="1">
        <v>39950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2023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2024</v>
      </c>
      <c r="F953">
        <v>3</v>
      </c>
      <c r="G953" s="1">
        <v>19975</v>
      </c>
      <c r="H953" s="1">
        <v>59925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1996</v>
      </c>
      <c r="F954">
        <v>6</v>
      </c>
      <c r="G954" s="1">
        <v>5780</v>
      </c>
      <c r="H954" s="1">
        <v>34680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2002</v>
      </c>
      <c r="F956">
        <v>3</v>
      </c>
      <c r="G956" s="1">
        <v>13685</v>
      </c>
      <c r="H956" s="1">
        <v>41055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2000</v>
      </c>
      <c r="F957">
        <v>11</v>
      </c>
      <c r="G957" s="1">
        <v>251</v>
      </c>
      <c r="H957" s="1">
        <v>2761</v>
      </c>
    </row>
    <row r="958" spans="1:8" x14ac:dyDescent="0.25">
      <c r="A958" t="s">
        <v>1819</v>
      </c>
      <c r="B958" t="s">
        <v>2314</v>
      </c>
      <c r="C958" t="s">
        <v>519</v>
      </c>
      <c r="D958">
        <v>107</v>
      </c>
      <c r="E958" t="s">
        <v>1908</v>
      </c>
      <c r="F958">
        <v>1</v>
      </c>
      <c r="G958" s="1">
        <v>45756</v>
      </c>
      <c r="H958" s="1">
        <v>45756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1816</v>
      </c>
      <c r="F959">
        <v>5</v>
      </c>
      <c r="G959" s="1">
        <v>7286</v>
      </c>
      <c r="H959" s="1">
        <v>36430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2003</v>
      </c>
      <c r="F960">
        <v>2</v>
      </c>
      <c r="G960" s="1">
        <v>13685</v>
      </c>
      <c r="H960" s="1">
        <v>27370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2001</v>
      </c>
      <c r="F961">
        <v>1</v>
      </c>
      <c r="G961" s="1">
        <v>4973</v>
      </c>
      <c r="H961" s="1">
        <v>4973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2005</v>
      </c>
      <c r="F962">
        <v>2</v>
      </c>
      <c r="G962" s="1">
        <v>5185</v>
      </c>
      <c r="H962" s="1">
        <v>10370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2006</v>
      </c>
      <c r="F963">
        <v>1</v>
      </c>
      <c r="G963" s="1">
        <v>5780</v>
      </c>
      <c r="H963" s="1">
        <v>5780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1995</v>
      </c>
      <c r="F964">
        <v>2</v>
      </c>
      <c r="G964" s="1">
        <v>5780</v>
      </c>
      <c r="H964" s="1">
        <v>11560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2008</v>
      </c>
      <c r="F965">
        <v>2</v>
      </c>
      <c r="G965" s="1">
        <v>4973</v>
      </c>
      <c r="H965" s="1">
        <v>9946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2009</v>
      </c>
      <c r="F966">
        <v>2</v>
      </c>
      <c r="G966" s="1">
        <v>5185</v>
      </c>
      <c r="H966" s="1">
        <v>10370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2007</v>
      </c>
      <c r="F967">
        <v>4</v>
      </c>
      <c r="G967" s="1">
        <v>5185</v>
      </c>
      <c r="H967" s="1">
        <v>20740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2028</v>
      </c>
      <c r="F968">
        <v>1</v>
      </c>
      <c r="G968" s="1">
        <v>4488</v>
      </c>
      <c r="H968" s="1">
        <v>4488</v>
      </c>
    </row>
    <row r="969" spans="1:8" x14ac:dyDescent="0.25">
      <c r="A969" t="s">
        <v>1819</v>
      </c>
      <c r="B969" t="s">
        <v>2315</v>
      </c>
      <c r="C969" t="s">
        <v>536</v>
      </c>
      <c r="D969">
        <v>107</v>
      </c>
      <c r="E969" t="s">
        <v>2316</v>
      </c>
      <c r="F969">
        <v>2</v>
      </c>
      <c r="G969" s="1">
        <v>10720</v>
      </c>
      <c r="H969" s="1">
        <v>21440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1812</v>
      </c>
      <c r="F970">
        <v>1</v>
      </c>
      <c r="G970" s="1">
        <v>132890</v>
      </c>
      <c r="H970" s="1">
        <v>132890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1815</v>
      </c>
      <c r="F971">
        <v>1</v>
      </c>
      <c r="G971" s="1">
        <v>370000</v>
      </c>
      <c r="H971" s="1">
        <v>370000</v>
      </c>
    </row>
    <row r="972" spans="1:8" x14ac:dyDescent="0.25">
      <c r="A972" t="s">
        <v>1819</v>
      </c>
      <c r="B972" t="s">
        <v>2317</v>
      </c>
      <c r="C972" t="s">
        <v>540</v>
      </c>
      <c r="D972">
        <v>107</v>
      </c>
      <c r="E972" t="s">
        <v>1809</v>
      </c>
      <c r="F972">
        <v>4</v>
      </c>
      <c r="G972" s="1">
        <v>7500</v>
      </c>
      <c r="H972" s="1">
        <v>30000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1810</v>
      </c>
      <c r="F973">
        <v>5</v>
      </c>
      <c r="G973" s="1">
        <v>7500</v>
      </c>
      <c r="H973" s="1">
        <v>37500</v>
      </c>
    </row>
    <row r="974" spans="1:8" x14ac:dyDescent="0.25">
      <c r="A974" t="s">
        <v>1819</v>
      </c>
      <c r="B974" t="s">
        <v>2315</v>
      </c>
      <c r="C974" t="s">
        <v>536</v>
      </c>
      <c r="D974">
        <v>107</v>
      </c>
      <c r="E974" t="s">
        <v>2318</v>
      </c>
      <c r="F974">
        <v>1</v>
      </c>
      <c r="G974" s="1">
        <v>10720</v>
      </c>
      <c r="H974" s="1">
        <v>10720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2278</v>
      </c>
      <c r="F975">
        <v>1</v>
      </c>
      <c r="G975" s="1">
        <v>252497</v>
      </c>
      <c r="H975" s="1">
        <v>252497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2319</v>
      </c>
      <c r="F976">
        <v>1</v>
      </c>
      <c r="G976" s="1">
        <v>160310</v>
      </c>
      <c r="H976" s="1">
        <v>160310</v>
      </c>
    </row>
    <row r="977" spans="1:8" x14ac:dyDescent="0.25">
      <c r="A977" t="s">
        <v>1819</v>
      </c>
      <c r="B977" t="s">
        <v>2320</v>
      </c>
      <c r="C977" t="s">
        <v>531</v>
      </c>
      <c r="D977">
        <v>107</v>
      </c>
      <c r="E977" t="s">
        <v>2321</v>
      </c>
      <c r="F977">
        <v>1</v>
      </c>
      <c r="G977" s="1">
        <v>67400</v>
      </c>
      <c r="H977" s="1">
        <v>67400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2322</v>
      </c>
      <c r="F978">
        <v>2</v>
      </c>
      <c r="G978" s="1">
        <v>23600</v>
      </c>
      <c r="H978" s="1">
        <v>47200</v>
      </c>
    </row>
    <row r="979" spans="1:8" x14ac:dyDescent="0.25">
      <c r="A979" t="s">
        <v>1819</v>
      </c>
      <c r="B979" t="s">
        <v>2315</v>
      </c>
      <c r="C979" t="s">
        <v>536</v>
      </c>
      <c r="D979">
        <v>107</v>
      </c>
      <c r="E979" t="s">
        <v>2323</v>
      </c>
      <c r="F979">
        <v>2</v>
      </c>
      <c r="G979" s="1">
        <v>73545</v>
      </c>
      <c r="H979" s="1">
        <v>147090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1818</v>
      </c>
      <c r="F980">
        <v>2</v>
      </c>
      <c r="G980" s="1">
        <v>75380</v>
      </c>
      <c r="H980" s="1">
        <v>150760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1831</v>
      </c>
      <c r="F981">
        <v>1</v>
      </c>
      <c r="G981" s="1">
        <v>75380</v>
      </c>
      <c r="H981" s="1">
        <v>75380</v>
      </c>
    </row>
    <row r="982" spans="1:8" x14ac:dyDescent="0.25">
      <c r="A982" t="s">
        <v>1819</v>
      </c>
      <c r="B982" t="s">
        <v>1991</v>
      </c>
      <c r="C982" t="s">
        <v>361</v>
      </c>
      <c r="D982">
        <v>107</v>
      </c>
      <c r="E982" t="s">
        <v>2016</v>
      </c>
      <c r="F982">
        <v>8</v>
      </c>
      <c r="G982" s="1">
        <v>270</v>
      </c>
      <c r="H982" s="1">
        <v>2160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2026</v>
      </c>
      <c r="F983">
        <v>2</v>
      </c>
      <c r="G983" s="1">
        <v>36465</v>
      </c>
      <c r="H983" s="1">
        <v>72930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2013</v>
      </c>
      <c r="F984">
        <v>11</v>
      </c>
      <c r="G984" s="1">
        <v>17901</v>
      </c>
      <c r="H984" s="1">
        <v>196911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2014</v>
      </c>
      <c r="F985">
        <v>1</v>
      </c>
      <c r="G985" s="1">
        <v>32725</v>
      </c>
      <c r="H985" s="1">
        <v>32725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2029</v>
      </c>
      <c r="F986">
        <v>1</v>
      </c>
      <c r="G986" s="1">
        <v>4488</v>
      </c>
      <c r="H986" s="1">
        <v>4488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2027</v>
      </c>
      <c r="F987">
        <v>2</v>
      </c>
      <c r="G987" s="1">
        <v>4488</v>
      </c>
      <c r="H987" s="1">
        <v>8976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2025</v>
      </c>
      <c r="F988">
        <v>1</v>
      </c>
      <c r="G988" s="1">
        <v>36465</v>
      </c>
      <c r="H988" s="1">
        <v>36465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2012</v>
      </c>
      <c r="F989">
        <v>2</v>
      </c>
      <c r="G989" s="1">
        <v>32725</v>
      </c>
      <c r="H989" s="1">
        <v>65450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2019</v>
      </c>
      <c r="F990">
        <v>2</v>
      </c>
      <c r="G990" s="1">
        <v>5950</v>
      </c>
      <c r="H990" s="1">
        <v>11900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2017</v>
      </c>
      <c r="F991">
        <v>3</v>
      </c>
      <c r="G991" s="1">
        <v>5950</v>
      </c>
      <c r="H991" s="1">
        <v>17850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2015</v>
      </c>
      <c r="F992">
        <v>1</v>
      </c>
      <c r="G992" s="1">
        <v>5950</v>
      </c>
      <c r="H992" s="1">
        <v>5950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2010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2011</v>
      </c>
      <c r="F994">
        <v>2</v>
      </c>
      <c r="G994" s="1">
        <v>5950</v>
      </c>
      <c r="H994" s="1">
        <v>11900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2018</v>
      </c>
      <c r="F995">
        <v>4</v>
      </c>
      <c r="G995" s="1">
        <v>5950</v>
      </c>
      <c r="H995" s="1">
        <v>23800</v>
      </c>
    </row>
    <row r="996" spans="1:8" x14ac:dyDescent="0.25">
      <c r="A996" t="s">
        <v>1854</v>
      </c>
      <c r="B996" t="s">
        <v>1862</v>
      </c>
      <c r="C996" t="s">
        <v>1863</v>
      </c>
      <c r="D996">
        <v>109</v>
      </c>
      <c r="E996" t="s">
        <v>1855</v>
      </c>
      <c r="F996">
        <v>1</v>
      </c>
      <c r="G996" s="1">
        <v>102513</v>
      </c>
      <c r="H996" s="1">
        <v>102513</v>
      </c>
    </row>
    <row r="997" spans="1:8" x14ac:dyDescent="0.25">
      <c r="A997" t="s">
        <v>1864</v>
      </c>
      <c r="B997" t="s">
        <v>2030</v>
      </c>
      <c r="C997" t="s">
        <v>371</v>
      </c>
      <c r="D997">
        <v>110</v>
      </c>
      <c r="E997" t="s">
        <v>1871</v>
      </c>
      <c r="F997">
        <v>8</v>
      </c>
      <c r="G997" s="1">
        <v>110282</v>
      </c>
      <c r="H997" s="1">
        <v>882256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1872</v>
      </c>
      <c r="F998">
        <v>3</v>
      </c>
      <c r="G998" s="1">
        <v>36761</v>
      </c>
      <c r="H998" s="1">
        <v>110283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1874</v>
      </c>
      <c r="F999">
        <v>3</v>
      </c>
      <c r="G999" s="1">
        <v>20586</v>
      </c>
      <c r="H999" s="1">
        <v>61758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874</v>
      </c>
      <c r="F1000">
        <v>2</v>
      </c>
      <c r="G1000" s="1">
        <v>36761</v>
      </c>
      <c r="H1000" s="1">
        <v>73522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1867</v>
      </c>
      <c r="F1001">
        <v>2</v>
      </c>
      <c r="G1001" s="1">
        <v>20586</v>
      </c>
      <c r="H1001" s="1">
        <v>41172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1869</v>
      </c>
      <c r="F1002">
        <v>4</v>
      </c>
      <c r="G1002" s="1">
        <v>8455</v>
      </c>
      <c r="H1002" s="1">
        <v>33820</v>
      </c>
    </row>
    <row r="1003" spans="1:8" x14ac:dyDescent="0.25">
      <c r="A1003" t="s">
        <v>1876</v>
      </c>
      <c r="B1003" t="s">
        <v>2031</v>
      </c>
      <c r="C1003" t="s">
        <v>2032</v>
      </c>
      <c r="D1003">
        <v>111</v>
      </c>
      <c r="E1003" t="s">
        <v>1881</v>
      </c>
      <c r="F1003">
        <v>3</v>
      </c>
      <c r="G1003" s="1">
        <v>47789</v>
      </c>
      <c r="H1003" s="1">
        <v>143367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1882</v>
      </c>
      <c r="F1004">
        <v>3</v>
      </c>
      <c r="G1004" s="1">
        <v>8455</v>
      </c>
      <c r="H1004" s="1">
        <v>25365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1883</v>
      </c>
      <c r="F1005">
        <v>2</v>
      </c>
      <c r="G1005" s="1">
        <v>36761</v>
      </c>
      <c r="H1005" s="1">
        <v>73522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1880</v>
      </c>
      <c r="F1006">
        <v>3</v>
      </c>
      <c r="G1006" s="1">
        <v>36761</v>
      </c>
      <c r="H1006" s="1">
        <v>110283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1877</v>
      </c>
      <c r="F1007">
        <v>9</v>
      </c>
      <c r="G1007" s="1">
        <v>110282</v>
      </c>
      <c r="H1007" s="1">
        <v>992538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1115</v>
      </c>
      <c r="F1008">
        <v>3</v>
      </c>
      <c r="G1008" s="1">
        <v>20586</v>
      </c>
      <c r="H1008" s="1">
        <v>61758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1879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1884</v>
      </c>
      <c r="B1010" t="s">
        <v>2033</v>
      </c>
      <c r="C1010" t="s">
        <v>2034</v>
      </c>
      <c r="D1010">
        <v>112</v>
      </c>
      <c r="E1010" t="s">
        <v>1881</v>
      </c>
      <c r="F1010">
        <v>5</v>
      </c>
      <c r="G1010" s="1">
        <v>47789</v>
      </c>
      <c r="H1010" s="1">
        <v>238945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1882</v>
      </c>
      <c r="F1011">
        <v>12</v>
      </c>
      <c r="G1011" s="1">
        <v>8455</v>
      </c>
      <c r="H1011" s="1">
        <v>101460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1883</v>
      </c>
      <c r="F1012">
        <v>5</v>
      </c>
      <c r="G1012" s="1">
        <v>36761</v>
      </c>
      <c r="H1012" s="1">
        <v>183805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1880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1877</v>
      </c>
      <c r="F1014">
        <v>10</v>
      </c>
      <c r="G1014" s="1">
        <v>110282</v>
      </c>
      <c r="H1014" s="1">
        <v>1102820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1115</v>
      </c>
      <c r="F1015">
        <v>5</v>
      </c>
      <c r="G1015" s="1">
        <v>20586</v>
      </c>
      <c r="H1015" s="1">
        <v>102930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1879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1885</v>
      </c>
      <c r="B1017" t="s">
        <v>2035</v>
      </c>
      <c r="C1017" t="s">
        <v>2036</v>
      </c>
      <c r="D1017">
        <v>113</v>
      </c>
      <c r="E1017" t="s">
        <v>1881</v>
      </c>
      <c r="F1017">
        <v>1</v>
      </c>
      <c r="G1017" s="1">
        <v>47789</v>
      </c>
      <c r="H1017" s="1">
        <v>47789</v>
      </c>
    </row>
    <row r="1018" spans="1:8" x14ac:dyDescent="0.25">
      <c r="A1018" t="s">
        <v>1886</v>
      </c>
      <c r="B1018" t="s">
        <v>2037</v>
      </c>
      <c r="C1018" t="s">
        <v>2038</v>
      </c>
      <c r="D1018">
        <v>114</v>
      </c>
      <c r="E1018" t="s">
        <v>1899</v>
      </c>
      <c r="F1018">
        <v>5</v>
      </c>
      <c r="G1018" s="1">
        <v>110282</v>
      </c>
      <c r="H1018" s="1">
        <v>551410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1897</v>
      </c>
      <c r="F1019">
        <v>2</v>
      </c>
      <c r="G1019" s="1">
        <v>36761</v>
      </c>
      <c r="H1019" s="1">
        <v>73522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1902</v>
      </c>
      <c r="F1020">
        <v>2</v>
      </c>
      <c r="G1020" s="1">
        <v>47789</v>
      </c>
      <c r="H1020" s="1">
        <v>95578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1900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1891</v>
      </c>
      <c r="F1022">
        <v>2</v>
      </c>
      <c r="G1022" s="1">
        <v>20586</v>
      </c>
      <c r="H1022" s="1">
        <v>41172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1888</v>
      </c>
      <c r="F1023">
        <v>2</v>
      </c>
      <c r="G1023" s="1">
        <v>8455</v>
      </c>
      <c r="H1023" s="1">
        <v>16910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1895</v>
      </c>
      <c r="F1024">
        <v>2</v>
      </c>
      <c r="G1024" s="1">
        <v>36761</v>
      </c>
      <c r="H1024" s="1">
        <v>73522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1893</v>
      </c>
      <c r="F1025">
        <v>2</v>
      </c>
      <c r="G1025" s="1">
        <v>20586</v>
      </c>
      <c r="H1025" s="1">
        <v>41172</v>
      </c>
    </row>
    <row r="1026" spans="1:8" x14ac:dyDescent="0.25">
      <c r="A1026" t="s">
        <v>1903</v>
      </c>
      <c r="B1026" t="s">
        <v>2039</v>
      </c>
      <c r="C1026" t="s">
        <v>467</v>
      </c>
      <c r="D1026">
        <v>115</v>
      </c>
      <c r="E1026" t="s">
        <v>1909</v>
      </c>
      <c r="F1026">
        <v>1</v>
      </c>
      <c r="G1026" s="1">
        <v>126050</v>
      </c>
      <c r="H1026" s="1">
        <v>126050</v>
      </c>
    </row>
    <row r="1027" spans="1:8" x14ac:dyDescent="0.25">
      <c r="A1027" t="s">
        <v>1916</v>
      </c>
      <c r="B1027" t="s">
        <v>2283</v>
      </c>
      <c r="C1027" t="s">
        <v>2284</v>
      </c>
      <c r="D1027">
        <v>116</v>
      </c>
      <c r="E1027" t="s">
        <v>2285</v>
      </c>
      <c r="F1027">
        <v>37</v>
      </c>
      <c r="G1027" s="1">
        <v>9450</v>
      </c>
      <c r="H1027" s="1">
        <v>349650</v>
      </c>
    </row>
    <row r="1028" spans="1:8" x14ac:dyDescent="0.25">
      <c r="A1028" t="s">
        <v>1924</v>
      </c>
      <c r="B1028" t="s">
        <v>2324</v>
      </c>
      <c r="C1028" t="s">
        <v>526</v>
      </c>
      <c r="D1028">
        <v>117</v>
      </c>
      <c r="E1028" t="s">
        <v>2325</v>
      </c>
      <c r="F1028">
        <v>1</v>
      </c>
      <c r="G1028" s="1">
        <v>336126</v>
      </c>
      <c r="H1028" s="1">
        <v>336126</v>
      </c>
    </row>
    <row r="1029" spans="1:8" x14ac:dyDescent="0.25">
      <c r="A1029" t="s">
        <v>1928</v>
      </c>
      <c r="B1029" t="s">
        <v>2286</v>
      </c>
      <c r="C1029" t="s">
        <v>2287</v>
      </c>
      <c r="D1029">
        <v>118</v>
      </c>
      <c r="E1029" t="s">
        <v>1943</v>
      </c>
      <c r="F1029">
        <v>1</v>
      </c>
      <c r="G1029" s="1">
        <v>45060</v>
      </c>
      <c r="H1029" s="1">
        <v>45060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1942</v>
      </c>
      <c r="F1030">
        <v>1</v>
      </c>
      <c r="G1030" s="1">
        <v>34920</v>
      </c>
      <c r="H1030" s="1">
        <v>34920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1944</v>
      </c>
      <c r="F1031">
        <v>1</v>
      </c>
      <c r="G1031" s="1">
        <v>70860</v>
      </c>
      <c r="H1031" s="1">
        <v>70860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1941</v>
      </c>
      <c r="F1032">
        <v>1</v>
      </c>
      <c r="G1032" s="1">
        <v>78230</v>
      </c>
      <c r="H1032" s="1">
        <v>78230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1940</v>
      </c>
      <c r="F1033">
        <v>1</v>
      </c>
      <c r="G1033" s="1">
        <v>40450</v>
      </c>
      <c r="H1033" s="1">
        <v>40450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1939</v>
      </c>
      <c r="F1034">
        <v>1</v>
      </c>
      <c r="G1034" s="1">
        <v>44140</v>
      </c>
      <c r="H1034" s="1">
        <v>44140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1941</v>
      </c>
      <c r="F1035">
        <v>1</v>
      </c>
      <c r="G1035" s="1">
        <v>78230</v>
      </c>
      <c r="H1035" s="1">
        <v>78230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1929</v>
      </c>
      <c r="B1037" t="s">
        <v>2067</v>
      </c>
      <c r="C1037" t="s">
        <v>478</v>
      </c>
      <c r="D1037">
        <v>119</v>
      </c>
      <c r="E1037" t="s">
        <v>1953</v>
      </c>
      <c r="F1037">
        <v>1</v>
      </c>
      <c r="G1037" s="1">
        <v>35615</v>
      </c>
      <c r="H1037" s="1">
        <v>35615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1952</v>
      </c>
      <c r="F1038">
        <v>1</v>
      </c>
      <c r="G1038" s="1">
        <v>39440</v>
      </c>
      <c r="H1038" s="1">
        <v>39440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1951</v>
      </c>
      <c r="F1039">
        <v>1</v>
      </c>
      <c r="G1039" s="1">
        <v>36465</v>
      </c>
      <c r="H1039" s="1">
        <v>36465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1956</v>
      </c>
      <c r="F1040">
        <v>1</v>
      </c>
      <c r="G1040" s="1">
        <v>72165</v>
      </c>
      <c r="H1040" s="1">
        <v>72165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1955</v>
      </c>
      <c r="F1041">
        <v>1</v>
      </c>
      <c r="G1041" s="1">
        <v>41565</v>
      </c>
      <c r="H1041" s="1">
        <v>41565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1954</v>
      </c>
      <c r="F1042">
        <v>1</v>
      </c>
      <c r="G1042" s="1">
        <v>33065</v>
      </c>
      <c r="H1042" s="1">
        <v>33065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1947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1946</v>
      </c>
      <c r="F1044">
        <v>1</v>
      </c>
      <c r="G1044" s="1">
        <v>37740</v>
      </c>
      <c r="H1044" s="1">
        <v>37740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1945</v>
      </c>
      <c r="F1045">
        <v>1</v>
      </c>
      <c r="G1045" s="1">
        <v>33065</v>
      </c>
      <c r="H1045" s="1">
        <v>33065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1950</v>
      </c>
      <c r="F1046">
        <v>1</v>
      </c>
      <c r="G1046" s="1">
        <v>63365</v>
      </c>
      <c r="H1046" s="1">
        <v>63365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1949</v>
      </c>
      <c r="F1047">
        <v>1</v>
      </c>
      <c r="G1047" s="1">
        <v>36465</v>
      </c>
      <c r="H1047" s="1">
        <v>36465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1948</v>
      </c>
      <c r="F1048">
        <v>1</v>
      </c>
      <c r="G1048" s="1">
        <v>35615</v>
      </c>
      <c r="H1048" s="1">
        <v>35615</v>
      </c>
    </row>
    <row r="1049" spans="1:8" x14ac:dyDescent="0.25">
      <c r="A1049" t="s">
        <v>2063</v>
      </c>
      <c r="B1049" t="s">
        <v>2288</v>
      </c>
      <c r="C1049" t="s">
        <v>2289</v>
      </c>
      <c r="D1049">
        <v>121</v>
      </c>
      <c r="E1049" t="s">
        <v>627</v>
      </c>
      <c r="F1049">
        <v>1</v>
      </c>
      <c r="G1049" s="1">
        <v>1050000</v>
      </c>
      <c r="H1049" s="1">
        <v>1050000</v>
      </c>
    </row>
    <row r="1050" spans="1:8" x14ac:dyDescent="0.25">
      <c r="A1050" t="s">
        <v>2068</v>
      </c>
      <c r="B1050" t="s">
        <v>2326</v>
      </c>
      <c r="C1050" t="s">
        <v>512</v>
      </c>
      <c r="D1050">
        <v>122</v>
      </c>
      <c r="E1050" t="s">
        <v>2327</v>
      </c>
      <c r="F1050">
        <v>2</v>
      </c>
      <c r="G1050" s="1">
        <v>42017</v>
      </c>
      <c r="H1050" s="1">
        <v>84034</v>
      </c>
    </row>
    <row r="1051" spans="1:8" x14ac:dyDescent="0.25">
      <c r="A1051" t="s">
        <v>2089</v>
      </c>
      <c r="B1051" t="s">
        <v>2328</v>
      </c>
      <c r="C1051" t="s">
        <v>2329</v>
      </c>
      <c r="D1051">
        <v>125</v>
      </c>
      <c r="E1051" t="s">
        <v>2186</v>
      </c>
      <c r="F1051">
        <v>2</v>
      </c>
      <c r="G1051" s="1">
        <v>73941</v>
      </c>
      <c r="H1051" s="1">
        <v>147882</v>
      </c>
    </row>
    <row r="1052" spans="1:8" x14ac:dyDescent="0.25">
      <c r="A1052" t="s">
        <v>2093</v>
      </c>
      <c r="B1052" t="s">
        <v>2290</v>
      </c>
      <c r="C1052" t="s">
        <v>2291</v>
      </c>
      <c r="D1052">
        <v>126</v>
      </c>
      <c r="E1052" t="s">
        <v>2292</v>
      </c>
      <c r="F1052">
        <v>5</v>
      </c>
      <c r="G1052" s="1">
        <v>14990</v>
      </c>
      <c r="H1052" s="1">
        <v>74950</v>
      </c>
    </row>
    <row r="1053" spans="1:8" x14ac:dyDescent="0.25">
      <c r="A1053" t="s">
        <v>2312</v>
      </c>
      <c r="B1053" t="s">
        <v>2330</v>
      </c>
      <c r="C1053" t="s">
        <v>509</v>
      </c>
      <c r="D1053">
        <v>132</v>
      </c>
      <c r="E1053" t="s">
        <v>1871</v>
      </c>
      <c r="F1053">
        <v>8</v>
      </c>
      <c r="G1053" s="1">
        <v>110282</v>
      </c>
      <c r="H1053" s="1">
        <v>882256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1872</v>
      </c>
      <c r="F1054">
        <v>5</v>
      </c>
      <c r="G1054" s="1">
        <v>36761</v>
      </c>
      <c r="H1054" s="1">
        <v>183805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1874</v>
      </c>
      <c r="F1055">
        <v>5</v>
      </c>
      <c r="G1055" s="1">
        <v>20586</v>
      </c>
      <c r="H1055" s="1">
        <v>102930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874</v>
      </c>
      <c r="F1056">
        <v>4</v>
      </c>
      <c r="G1056" s="1">
        <v>36761</v>
      </c>
      <c r="H1056" s="1">
        <v>147044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1867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1869</v>
      </c>
      <c r="F1058">
        <v>24</v>
      </c>
      <c r="G1058" s="1">
        <v>8455</v>
      </c>
      <c r="H1058" s="1">
        <v>202920</v>
      </c>
    </row>
    <row r="1059" spans="1:8" x14ac:dyDescent="0.25">
      <c r="A1059" t="s">
        <v>2298</v>
      </c>
      <c r="B1059" t="s">
        <v>2331</v>
      </c>
      <c r="C1059" t="s">
        <v>543</v>
      </c>
      <c r="D1059">
        <v>135</v>
      </c>
      <c r="E1059" t="s">
        <v>590</v>
      </c>
      <c r="F1059">
        <v>10</v>
      </c>
      <c r="G1059" s="1">
        <v>2887</v>
      </c>
      <c r="H1059" s="1">
        <v>28870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2077</v>
      </c>
      <c r="F1060">
        <v>5</v>
      </c>
      <c r="G1060" s="1">
        <v>6190</v>
      </c>
      <c r="H1060" s="1">
        <v>30950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476</v>
      </c>
      <c r="H1061" s="1">
        <v>4760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584</v>
      </c>
      <c r="F1062">
        <v>5</v>
      </c>
      <c r="G1062" s="1">
        <v>1820</v>
      </c>
      <c r="H1062" s="1">
        <v>9100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2301</v>
      </c>
      <c r="F1063">
        <v>10</v>
      </c>
      <c r="G1063" s="1">
        <v>14140</v>
      </c>
      <c r="H1063" s="1">
        <v>141400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830</v>
      </c>
      <c r="F1064">
        <v>1</v>
      </c>
      <c r="G1064" s="1">
        <v>400</v>
      </c>
      <c r="H1064" s="1">
        <v>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2303</v>
      </c>
      <c r="F1065">
        <v>5</v>
      </c>
      <c r="G1065" s="1">
        <v>4660</v>
      </c>
      <c r="H1065" s="1">
        <v>23300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2302</v>
      </c>
      <c r="F1066">
        <v>5</v>
      </c>
      <c r="G1066" s="1">
        <v>1243</v>
      </c>
      <c r="H1066" s="1">
        <v>6215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2080</v>
      </c>
      <c r="F1067">
        <v>5</v>
      </c>
      <c r="G1067" s="1">
        <v>4395</v>
      </c>
      <c r="H1067" s="1">
        <v>21975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977</v>
      </c>
      <c r="F1068">
        <v>3</v>
      </c>
      <c r="G1068" s="1">
        <v>2698</v>
      </c>
      <c r="H1068" s="1">
        <v>8094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1130</v>
      </c>
      <c r="F1069">
        <v>10</v>
      </c>
      <c r="G1069" s="1">
        <v>1050</v>
      </c>
      <c r="H1069" s="1">
        <v>10500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975</v>
      </c>
      <c r="F1070">
        <v>20</v>
      </c>
      <c r="G1070" s="1">
        <v>128</v>
      </c>
      <c r="H1070" s="1">
        <v>2560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2300</v>
      </c>
      <c r="F1071">
        <v>10</v>
      </c>
      <c r="G1071" s="1">
        <v>4660</v>
      </c>
      <c r="H1071" s="1">
        <v>46600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973</v>
      </c>
      <c r="F1072">
        <v>15</v>
      </c>
      <c r="G1072" s="1">
        <v>2872</v>
      </c>
      <c r="H1072" s="1">
        <v>43080</v>
      </c>
    </row>
    <row r="1073" spans="1:16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830</v>
      </c>
      <c r="F1073">
        <v>5</v>
      </c>
      <c r="G1073" s="1">
        <v>400</v>
      </c>
      <c r="H1073" s="1">
        <v>2000</v>
      </c>
    </row>
    <row r="1074" spans="1:16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2299</v>
      </c>
      <c r="F1074">
        <v>10</v>
      </c>
      <c r="G1074" s="1">
        <v>886</v>
      </c>
      <c r="H1074" s="1">
        <v>8860</v>
      </c>
    </row>
    <row r="1075" spans="1:16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581</v>
      </c>
      <c r="F1075">
        <v>5</v>
      </c>
      <c r="G1075" s="1">
        <v>1342</v>
      </c>
      <c r="H1075" s="1">
        <v>6710</v>
      </c>
    </row>
    <row r="1076" spans="1:16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1237</v>
      </c>
      <c r="F1076">
        <v>6</v>
      </c>
      <c r="G1076" s="1">
        <v>204</v>
      </c>
      <c r="H1076" s="1">
        <v>1224</v>
      </c>
    </row>
    <row r="1077" spans="1:16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1234</v>
      </c>
      <c r="F1077">
        <v>10</v>
      </c>
      <c r="G1077" s="1">
        <v>304</v>
      </c>
      <c r="H1077" s="1">
        <v>3040</v>
      </c>
    </row>
    <row r="1078" spans="1:16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590</v>
      </c>
      <c r="F1078">
        <v>10</v>
      </c>
      <c r="G1078" s="1">
        <v>861</v>
      </c>
      <c r="H1078" s="1">
        <v>8610</v>
      </c>
    </row>
    <row r="1079" spans="1:16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583</v>
      </c>
      <c r="F1079">
        <v>10</v>
      </c>
      <c r="G1079" s="1">
        <v>1247</v>
      </c>
      <c r="H1079" s="1">
        <v>12470</v>
      </c>
    </row>
    <row r="1080" spans="1:16" x14ac:dyDescent="0.25">
      <c r="A1080" t="s">
        <v>2313</v>
      </c>
      <c r="B1080" t="s">
        <v>2332</v>
      </c>
      <c r="C1080" t="s">
        <v>603</v>
      </c>
      <c r="D1080">
        <v>137</v>
      </c>
      <c r="E1080" t="s">
        <v>1872</v>
      </c>
      <c r="F1080">
        <v>4</v>
      </c>
      <c r="G1080" s="1">
        <v>36761</v>
      </c>
      <c r="H1080" s="1">
        <v>147044</v>
      </c>
    </row>
    <row r="1081" spans="1:16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1874</v>
      </c>
      <c r="F1081">
        <v>4</v>
      </c>
      <c r="G1081" s="1">
        <v>20586</v>
      </c>
      <c r="H1081" s="1">
        <v>82344</v>
      </c>
    </row>
    <row r="1082" spans="1:16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1869</v>
      </c>
      <c r="F1082">
        <v>24</v>
      </c>
      <c r="G1082" s="1">
        <v>8455</v>
      </c>
      <c r="H1082" s="1">
        <v>202920</v>
      </c>
    </row>
    <row r="1083" spans="1:16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874</v>
      </c>
      <c r="F1083">
        <v>4</v>
      </c>
      <c r="G1083" s="1">
        <v>36761</v>
      </c>
      <c r="H1083" s="1">
        <v>147044</v>
      </c>
    </row>
    <row r="1084" spans="1:16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1867</v>
      </c>
      <c r="F1084">
        <v>4</v>
      </c>
      <c r="G1084" s="1">
        <v>20586</v>
      </c>
      <c r="H1084" s="1">
        <v>82344</v>
      </c>
    </row>
    <row r="1085" spans="1:16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1871</v>
      </c>
      <c r="F1085">
        <v>8</v>
      </c>
      <c r="G1085" s="1">
        <v>110282</v>
      </c>
      <c r="H1085" s="1">
        <v>882256</v>
      </c>
    </row>
    <row r="1086" spans="1:16" x14ac:dyDescent="0.25">
      <c r="A1086" t="s">
        <v>2333</v>
      </c>
      <c r="B1086" t="s">
        <v>2334</v>
      </c>
      <c r="C1086" t="s">
        <v>504</v>
      </c>
      <c r="D1086">
        <v>141</v>
      </c>
      <c r="E1086" t="s">
        <v>2335</v>
      </c>
      <c r="F1086">
        <v>35</v>
      </c>
      <c r="G1086" s="1">
        <v>10605</v>
      </c>
      <c r="H1086" s="1">
        <v>371175</v>
      </c>
    </row>
    <row r="1087" spans="1:16" x14ac:dyDescent="0.25">
      <c r="A1087" t="s">
        <v>2333</v>
      </c>
      <c r="B1087" t="s">
        <v>2334</v>
      </c>
      <c r="C1087" t="s">
        <v>504</v>
      </c>
      <c r="D1087">
        <v>141</v>
      </c>
      <c r="E1087" t="s">
        <v>2336</v>
      </c>
      <c r="F1087">
        <v>35</v>
      </c>
      <c r="G1087" s="1">
        <v>10605</v>
      </c>
      <c r="H1087" s="1">
        <v>371175</v>
      </c>
      <c r="O1087" t="s">
        <v>70</v>
      </c>
      <c r="P108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61"/>
  <sheetViews>
    <sheetView topLeftCell="A798" workbookViewId="0">
      <selection activeCell="B814" sqref="B814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40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>
        <v>146930</v>
      </c>
      <c r="J900" s="8">
        <v>27916.7</v>
      </c>
      <c r="K900" s="8">
        <v>174846.7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9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371175</v>
      </c>
      <c r="K108" s="7">
        <v>371175</v>
      </c>
    </row>
    <row r="109" spans="1:11" x14ac:dyDescent="0.25">
      <c r="A109" s="5" t="s">
        <v>498</v>
      </c>
      <c r="B109" s="7">
        <v>9641505</v>
      </c>
      <c r="C109" s="7">
        <v>684312</v>
      </c>
      <c r="D109" s="7">
        <v>4907902</v>
      </c>
      <c r="E109" s="7">
        <v>7273854</v>
      </c>
      <c r="F109" s="7">
        <v>414309</v>
      </c>
      <c r="G109" s="7">
        <v>5879109</v>
      </c>
      <c r="H109" s="7">
        <v>25301336</v>
      </c>
      <c r="I109" s="7">
        <v>2092687</v>
      </c>
      <c r="J109" s="7">
        <v>35003675</v>
      </c>
      <c r="K109" s="7">
        <v>91198689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2026-09-01T19:35:00Z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