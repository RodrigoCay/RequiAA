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C10EF0AD-D56B-4925-8FC4-892774614CA4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Detalle!$A$1:$N$796</definedName>
  </definedNames>
  <calcPr calcId="191028"/>
  <pivotCaches>
    <pivotCache cacheId="2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<sst xmlns="http://schemas.openxmlformats.org/spreadsheetml/2006/main" count="13917" uniqueCount="639">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</sst>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3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0.270635416666" createdVersion="8" refreshedVersion="6" minRefreshableVersion="3" recordCount="795" xr:uid="{CFCF1F21-8EFC-4C15-98EE-861C56BEE2F6}">
  <cacheSource type="worksheet">
    <worksheetSource name="_03_Ordenes_de_Compra"/>
  </cacheSource>
  <cacheFields count="16">
    <cacheField name="LLave" numFmtId="0">
      <sharedItems count="72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9_03082026"/>
        <s v="092_03082026"/>
        <s v="094_31072027"/>
        <s v="096_04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96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5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69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69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69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0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1"/>
    <s v="096_04082026_CYM_INGECAF_Araucania_Max service_41_OC"/>
    <s v="OC 41"/>
    <n v="96"/>
    <s v="guantes cabretilla "/>
    <n v="100"/>
    <n v="1088"/>
    <n v="10880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2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71" firstHeaderRow="1" firstDataRow="2" firstDataCol="1" rowPageCount="1" colPageCount="1"/>
  <pivotFields count="16">
    <pivotField axis="axisRow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68"/>
        <item x="70"/>
        <item x="69"/>
        <item x="7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67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2">
      <pivotArea outline="0" collapsedLevelsAreSubtotals="1" fieldPosition="0"/>
    </format>
    <format dxfId="11">
      <pivotArea dataOnly="0" labelOnly="1" fieldPosition="0">
        <references count="1">
          <reference field="10" count="0"/>
        </references>
      </pivotArea>
    </format>
    <format dxfId="1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796" tableType="queryTable" totalsRowShown="0">
  <autoFilter ref="A1:P796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9"/>
    <tableColumn id="8" xr3:uid="{ACD7121A-FEE7-4A0B-BFC8-9A4E695E6B60}" name="Valor Neto" dataDxfId="8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6"/>
  <sheetViews>
    <sheetView tabSelected="1" workbookViewId="0">
      <selection activeCell="B6" sqref="B6"/>
    </sheetView>
  </sheetViews>
  <sheetFormatPr baseColWidth="10" defaultColWidth="11.42578125" defaultRowHeight="15" x14ac:dyDescent="0.25"/>
  <cols>
    <col min="1" max="1" width="13" bestFit="1" customWidth="1"/>
    <col min="2" max="2" width="68.5703125" bestFit="1" customWidth="1"/>
    <col min="3" max="3" width="9.5703125" bestFit="1" customWidth="1"/>
    <col min="4" max="4" width="18.5703125" bestFit="1" customWidth="1"/>
    <col min="5" max="5" width="68.57031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16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16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16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16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16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16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16" x14ac:dyDescent="0.25">
      <c r="A791" t="s">
        <v>621</v>
      </c>
      <c r="B791" t="s">
        <v>622</v>
      </c>
      <c r="C791" t="s">
        <v>334</v>
      </c>
      <c r="D791">
        <v>89</v>
      </c>
      <c r="E791" t="s">
        <v>623</v>
      </c>
      <c r="F791">
        <v>2</v>
      </c>
      <c r="G791" s="1">
        <v>125966</v>
      </c>
      <c r="H791" s="1">
        <v>251933</v>
      </c>
    </row>
    <row r="792" spans="1:16" x14ac:dyDescent="0.25">
      <c r="A792" t="s">
        <v>628</v>
      </c>
      <c r="B792" t="s">
        <v>629</v>
      </c>
      <c r="C792" t="s">
        <v>630</v>
      </c>
      <c r="D792">
        <v>92</v>
      </c>
      <c r="E792" t="s">
        <v>631</v>
      </c>
      <c r="F792">
        <v>1</v>
      </c>
      <c r="G792" s="1">
        <v>370000</v>
      </c>
      <c r="H792" s="1">
        <v>370000</v>
      </c>
    </row>
    <row r="793" spans="1:16" x14ac:dyDescent="0.25">
      <c r="A793" t="s">
        <v>628</v>
      </c>
      <c r="B793" t="s">
        <v>629</v>
      </c>
      <c r="C793" t="s">
        <v>630</v>
      </c>
      <c r="D793">
        <v>92</v>
      </c>
      <c r="E793" t="s">
        <v>632</v>
      </c>
      <c r="F793">
        <v>1</v>
      </c>
      <c r="G793" s="1">
        <v>132890</v>
      </c>
      <c r="H793" s="1">
        <v>132890</v>
      </c>
    </row>
    <row r="794" spans="1:16" x14ac:dyDescent="0.25">
      <c r="A794" t="s">
        <v>628</v>
      </c>
      <c r="B794" t="s">
        <v>633</v>
      </c>
      <c r="C794" t="s">
        <v>634</v>
      </c>
      <c r="D794">
        <v>92</v>
      </c>
      <c r="E794" t="s">
        <v>635</v>
      </c>
      <c r="F794">
        <v>1</v>
      </c>
      <c r="G794" s="1">
        <v>29600</v>
      </c>
      <c r="H794" s="1">
        <v>29600</v>
      </c>
    </row>
    <row r="795" spans="1:16" x14ac:dyDescent="0.25">
      <c r="A795" t="s">
        <v>624</v>
      </c>
      <c r="B795" t="s">
        <v>625</v>
      </c>
      <c r="C795" t="s">
        <v>626</v>
      </c>
      <c r="D795">
        <v>94</v>
      </c>
      <c r="E795" t="s">
        <v>627</v>
      </c>
      <c r="F795">
        <v>1</v>
      </c>
      <c r="G795" s="1">
        <v>1050000</v>
      </c>
      <c r="H795" s="1">
        <v>1050000</v>
      </c>
    </row>
    <row r="796" spans="1:16" x14ac:dyDescent="0.25">
      <c r="A796" t="s">
        <v>636</v>
      </c>
      <c r="B796" t="s">
        <v>637</v>
      </c>
      <c r="C796" t="s">
        <v>338</v>
      </c>
      <c r="D796">
        <v>96</v>
      </c>
      <c r="E796" t="s">
        <v>638</v>
      </c>
      <c r="F796">
        <v>100</v>
      </c>
      <c r="G796" s="1">
        <v>1088</v>
      </c>
      <c r="H796" s="1">
        <v>108800</v>
      </c>
      <c r="O796" t="s">
        <v>70</v>
      </c>
      <c r="P796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71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498</v>
      </c>
      <c r="B71" s="7">
        <v>9641505</v>
      </c>
      <c r="C71" s="7">
        <v>684312</v>
      </c>
      <c r="D71" s="7">
        <v>4907902</v>
      </c>
      <c r="E71" s="7">
        <v>7273854</v>
      </c>
      <c r="F71" s="7">
        <v>414309</v>
      </c>
      <c r="G71" s="7">
        <v>5879109</v>
      </c>
      <c r="H71" s="7">
        <v>25301336</v>
      </c>
      <c r="I71" s="7">
        <v>2092687</v>
      </c>
      <c r="J71" s="7">
        <v>5995673</v>
      </c>
      <c r="K71" s="7">
        <v>62190687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2026-08-06T10:30:38Z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