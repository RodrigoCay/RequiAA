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C5408891-5C0C-4DF0-985E-8C0DB239C20D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td" sheetId="3" r:id="rId2"/>
    <sheet name="Respaldo" sheetId="2" state="hidden" r:id="rId3"/>
  </sheets>
  <definedNames>
    <definedName name="DatosExternos_1" localSheetId="0" hidden="1">Detalle!$A$1:$N$807</definedName>
  </definedNames>
  <calcPr calcId="191028"/>
  <pivotCaches>
    <pivotCache cacheId="11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60C3EB-C3D1-471F-977E-482B72B49AA3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</connections>
</file>

<file path=xl/sharedStrings.xml><?xml version="1.0" encoding="utf-8"?>
<sst xmlns="http://schemas.openxmlformats.org/spreadsheetml/2006/main" count="16286" uniqueCount="657">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</sst>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</cellXfs>
  <cellStyles count="2">
    <cellStyle name="Millares [0]" xfId="1" builtinId="6"/>
    <cellStyle name="Normal" xfId="0" builtinId="0"/>
  </cellStyles>
  <dxfs count="10"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44.499449884257" createdVersion="8" refreshedVersion="6" minRefreshableVersion="3" recordCount="806" xr:uid="{CFCF1F21-8EFC-4C15-98EE-861C56BEE2F6}">
  <cacheSource type="worksheet">
    <worksheetSource name="_03_Ordenes_de_Compra"/>
  </cacheSource>
  <cacheFields count="16">
    <cacheField name="LLave" numFmtId="0">
      <sharedItems count="75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9_03082026"/>
        <s v="092_03082026"/>
        <s v="094_31072027"/>
        <s v="096_04082026"/>
        <s v="098_05082026"/>
        <s v="100_06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00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6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0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0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0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1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2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3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74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74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74"/>
    <s v="100_06082026_Flota_INGECAF_Araucania_Mc repuestsos_42_OC"/>
    <s v="OC 42"/>
    <n v="100"/>
    <s v="NPR 816"/>
    <n v="1"/>
    <n v="418487"/>
    <n v="418487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11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75" firstHeaderRow="1" firstDataRow="2" firstDataCol="1" rowPageCount="1" colPageCount="1"/>
  <pivotFields count="16">
    <pivotField axis="axisRow" showAll="0">
      <items count="7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69"/>
        <item x="71"/>
        <item x="70"/>
        <item x="72"/>
        <item x="68"/>
        <item x="73"/>
        <item x="7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71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9">
      <pivotArea outline="0" collapsedLevelsAreSubtotals="1" fieldPosition="0"/>
    </format>
    <format dxfId="8">
      <pivotArea dataOnly="0" labelOnly="1" fieldPosition="0">
        <references count="1">
          <reference field="10" count="0"/>
        </references>
      </pivotArea>
    </format>
    <format dxfId="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807" tableType="queryTable" totalsRowShown="0">
  <autoFilter ref="A1:P807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6"/>
    <tableColumn id="8" xr3:uid="{ACD7121A-FEE7-4A0B-BFC8-9A4E695E6B60}" name="Valor Neto" dataDxfId="5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07"/>
  <sheetViews>
    <sheetView tabSelected="1" topLeftCell="A769" workbookViewId="0">
      <selection activeCell="B791" sqref="B791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594</v>
      </c>
      <c r="C775" t="s">
        <v>286</v>
      </c>
      <c r="D775">
        <v>74</v>
      </c>
      <c r="E775" t="s">
        <v>595</v>
      </c>
      <c r="F775">
        <v>50</v>
      </c>
      <c r="G775" s="1">
        <v>1088</v>
      </c>
      <c r="H775" s="1">
        <v>54400</v>
      </c>
    </row>
    <row r="776" spans="1:14" x14ac:dyDescent="0.25">
      <c r="A776" t="s">
        <v>572</v>
      </c>
      <c r="B776" t="s">
        <v>573</v>
      </c>
      <c r="C776" t="s">
        <v>276</v>
      </c>
      <c r="D776">
        <v>75</v>
      </c>
      <c r="E776" t="s">
        <v>574</v>
      </c>
      <c r="F776">
        <v>5</v>
      </c>
      <c r="G776" s="1">
        <v>18990</v>
      </c>
      <c r="H776" s="1">
        <v>94950</v>
      </c>
    </row>
    <row r="777" spans="1:14" x14ac:dyDescent="0.25">
      <c r="A777" t="s">
        <v>579</v>
      </c>
      <c r="B777" t="s">
        <v>580</v>
      </c>
      <c r="C777" t="s">
        <v>296</v>
      </c>
      <c r="D777">
        <v>76</v>
      </c>
      <c r="E777" t="s">
        <v>581</v>
      </c>
      <c r="F777">
        <v>5</v>
      </c>
      <c r="G777" s="1">
        <v>1342</v>
      </c>
      <c r="H777" s="1">
        <v>6710</v>
      </c>
    </row>
    <row r="778" spans="1:14" x14ac:dyDescent="0.25">
      <c r="A778" t="s">
        <v>579</v>
      </c>
      <c r="B778" t="s">
        <v>580</v>
      </c>
      <c r="C778" t="s">
        <v>296</v>
      </c>
      <c r="D778">
        <v>76</v>
      </c>
      <c r="E778" t="s">
        <v>582</v>
      </c>
      <c r="F778">
        <v>5</v>
      </c>
      <c r="G778" s="1">
        <v>1289</v>
      </c>
      <c r="H778" s="1">
        <v>6445</v>
      </c>
    </row>
    <row r="779" spans="1:14" x14ac:dyDescent="0.25">
      <c r="A779" t="s">
        <v>579</v>
      </c>
      <c r="B779" t="s">
        <v>580</v>
      </c>
      <c r="C779" t="s">
        <v>296</v>
      </c>
      <c r="D779">
        <v>76</v>
      </c>
      <c r="E779" t="s">
        <v>583</v>
      </c>
      <c r="F779">
        <v>5</v>
      </c>
      <c r="G779" s="1">
        <v>1247</v>
      </c>
      <c r="H779" s="1">
        <v>6235</v>
      </c>
    </row>
    <row r="780" spans="1:14" x14ac:dyDescent="0.25">
      <c r="A780" t="s">
        <v>579</v>
      </c>
      <c r="B780" t="s">
        <v>580</v>
      </c>
      <c r="C780" t="s">
        <v>296</v>
      </c>
      <c r="D780">
        <v>76</v>
      </c>
      <c r="E780" t="s">
        <v>584</v>
      </c>
      <c r="F780">
        <v>5</v>
      </c>
      <c r="G780" s="1">
        <v>1820</v>
      </c>
      <c r="H780" s="1">
        <v>9100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585</v>
      </c>
      <c r="F781">
        <v>5</v>
      </c>
      <c r="G781" s="1">
        <v>2410</v>
      </c>
      <c r="H781" s="1">
        <v>12050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586</v>
      </c>
      <c r="F782">
        <v>6</v>
      </c>
      <c r="G782" s="1">
        <v>876</v>
      </c>
      <c r="H782" s="1">
        <v>5256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587</v>
      </c>
      <c r="F783">
        <v>10</v>
      </c>
      <c r="G783" s="1">
        <v>2872</v>
      </c>
      <c r="H783" s="1">
        <v>28720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588</v>
      </c>
      <c r="F784">
        <v>5</v>
      </c>
      <c r="G784" s="1">
        <v>985</v>
      </c>
      <c r="H784" s="1">
        <v>4925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589</v>
      </c>
      <c r="F785">
        <v>5</v>
      </c>
      <c r="G785" s="1">
        <v>1221</v>
      </c>
      <c r="H785" s="1">
        <v>6105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590</v>
      </c>
      <c r="F786">
        <v>6</v>
      </c>
      <c r="G786" s="1">
        <v>660</v>
      </c>
      <c r="H786" s="1">
        <v>3960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591</v>
      </c>
      <c r="F787">
        <v>5</v>
      </c>
      <c r="G787" s="1">
        <v>1619</v>
      </c>
      <c r="H787" s="1">
        <v>8095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592</v>
      </c>
      <c r="F788">
        <v>10</v>
      </c>
      <c r="G788" s="1">
        <v>128</v>
      </c>
      <c r="H788" s="1">
        <v>1280</v>
      </c>
    </row>
    <row r="789" spans="1:8" x14ac:dyDescent="0.25">
      <c r="A789" t="s">
        <v>615</v>
      </c>
      <c r="B789" t="s">
        <v>616</v>
      </c>
      <c r="C789" t="s">
        <v>299</v>
      </c>
      <c r="D789">
        <v>77</v>
      </c>
      <c r="E789" t="s">
        <v>617</v>
      </c>
      <c r="F789">
        <v>1</v>
      </c>
      <c r="G789" s="1">
        <v>41172</v>
      </c>
      <c r="H789" s="1">
        <v>41172</v>
      </c>
    </row>
    <row r="790" spans="1:8" x14ac:dyDescent="0.25">
      <c r="A790" t="s">
        <v>618</v>
      </c>
      <c r="B790" t="s">
        <v>620</v>
      </c>
      <c r="C790" t="s">
        <v>619</v>
      </c>
      <c r="D790">
        <v>78</v>
      </c>
      <c r="E790" t="s">
        <v>617</v>
      </c>
      <c r="F790">
        <v>1</v>
      </c>
      <c r="G790" s="1">
        <v>41172</v>
      </c>
      <c r="H790" s="1">
        <v>41172</v>
      </c>
    </row>
    <row r="791" spans="1:8" x14ac:dyDescent="0.25">
      <c r="A791" t="s">
        <v>639</v>
      </c>
      <c r="B791" t="s">
        <v>640</v>
      </c>
      <c r="C791" t="s">
        <v>641</v>
      </c>
      <c r="D791">
        <v>81</v>
      </c>
      <c r="E791" t="s">
        <v>642</v>
      </c>
      <c r="F791">
        <v>4</v>
      </c>
      <c r="G791" s="1">
        <v>4687</v>
      </c>
      <c r="H791" s="1">
        <v>18748</v>
      </c>
    </row>
    <row r="792" spans="1:8" x14ac:dyDescent="0.25">
      <c r="A792" t="s">
        <v>639</v>
      </c>
      <c r="B792" t="s">
        <v>640</v>
      </c>
      <c r="C792" t="s">
        <v>641</v>
      </c>
      <c r="D792">
        <v>81</v>
      </c>
      <c r="E792" t="s">
        <v>643</v>
      </c>
      <c r="F792">
        <v>4</v>
      </c>
      <c r="G792" s="1">
        <v>12521</v>
      </c>
      <c r="H792" s="1">
        <v>50084</v>
      </c>
    </row>
    <row r="793" spans="1:8" x14ac:dyDescent="0.25">
      <c r="A793" t="s">
        <v>639</v>
      </c>
      <c r="B793" t="s">
        <v>640</v>
      </c>
      <c r="C793" t="s">
        <v>641</v>
      </c>
      <c r="D793">
        <v>81</v>
      </c>
      <c r="E793" t="s">
        <v>644</v>
      </c>
      <c r="F793">
        <v>8</v>
      </c>
      <c r="G793" s="1">
        <v>2114</v>
      </c>
      <c r="H793" s="1">
        <v>16912</v>
      </c>
    </row>
    <row r="794" spans="1:8" x14ac:dyDescent="0.25">
      <c r="A794" t="s">
        <v>639</v>
      </c>
      <c r="B794" t="s">
        <v>640</v>
      </c>
      <c r="C794" t="s">
        <v>641</v>
      </c>
      <c r="D794">
        <v>81</v>
      </c>
      <c r="E794" t="s">
        <v>645</v>
      </c>
      <c r="F794">
        <v>10</v>
      </c>
      <c r="G794" s="1">
        <v>1924</v>
      </c>
      <c r="H794" s="1">
        <v>19244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646</v>
      </c>
      <c r="F795">
        <v>2</v>
      </c>
      <c r="G795" s="1">
        <v>5874</v>
      </c>
      <c r="H795" s="1">
        <v>11748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176</v>
      </c>
      <c r="F796">
        <v>6</v>
      </c>
      <c r="G796" s="1">
        <v>3857</v>
      </c>
      <c r="H796" s="1">
        <v>23142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647</v>
      </c>
      <c r="F797">
        <v>4</v>
      </c>
      <c r="G797" s="1">
        <v>4141</v>
      </c>
      <c r="H797" s="1">
        <v>16564</v>
      </c>
    </row>
    <row r="798" spans="1:8" x14ac:dyDescent="0.25">
      <c r="A798" t="s">
        <v>621</v>
      </c>
      <c r="B798" t="s">
        <v>622</v>
      </c>
      <c r="C798" t="s">
        <v>334</v>
      </c>
      <c r="D798">
        <v>89</v>
      </c>
      <c r="E798" t="s">
        <v>623</v>
      </c>
      <c r="F798">
        <v>2</v>
      </c>
      <c r="G798" s="1">
        <v>125966</v>
      </c>
      <c r="H798" s="1">
        <v>251933</v>
      </c>
    </row>
    <row r="799" spans="1:8" x14ac:dyDescent="0.25">
      <c r="A799" t="s">
        <v>628</v>
      </c>
      <c r="B799" t="s">
        <v>629</v>
      </c>
      <c r="C799" t="s">
        <v>630</v>
      </c>
      <c r="D799">
        <v>92</v>
      </c>
      <c r="E799" t="s">
        <v>631</v>
      </c>
      <c r="F799">
        <v>1</v>
      </c>
      <c r="G799" s="1">
        <v>370000</v>
      </c>
      <c r="H799" s="1">
        <v>370000</v>
      </c>
    </row>
    <row r="800" spans="1:8" x14ac:dyDescent="0.25">
      <c r="A800" t="s">
        <v>628</v>
      </c>
      <c r="B800" t="s">
        <v>629</v>
      </c>
      <c r="C800" t="s">
        <v>630</v>
      </c>
      <c r="D800">
        <v>92</v>
      </c>
      <c r="E800" t="s">
        <v>632</v>
      </c>
      <c r="F800">
        <v>1</v>
      </c>
      <c r="G800" s="1">
        <v>132890</v>
      </c>
      <c r="H800" s="1">
        <v>132890</v>
      </c>
    </row>
    <row r="801" spans="1:16" x14ac:dyDescent="0.25">
      <c r="A801" t="s">
        <v>628</v>
      </c>
      <c r="B801" t="s">
        <v>633</v>
      </c>
      <c r="C801" t="s">
        <v>634</v>
      </c>
      <c r="D801">
        <v>92</v>
      </c>
      <c r="E801" t="s">
        <v>635</v>
      </c>
      <c r="F801">
        <v>1</v>
      </c>
      <c r="G801" s="1">
        <v>29600</v>
      </c>
      <c r="H801" s="1">
        <v>29600</v>
      </c>
    </row>
    <row r="802" spans="1:16" x14ac:dyDescent="0.25">
      <c r="A802" t="s">
        <v>624</v>
      </c>
      <c r="B802" t="s">
        <v>625</v>
      </c>
      <c r="C802" t="s">
        <v>626</v>
      </c>
      <c r="D802">
        <v>94</v>
      </c>
      <c r="E802" t="s">
        <v>627</v>
      </c>
      <c r="F802">
        <v>1</v>
      </c>
      <c r="G802" s="1">
        <v>1050000</v>
      </c>
      <c r="H802" s="1">
        <v>1050000</v>
      </c>
    </row>
    <row r="803" spans="1:16" x14ac:dyDescent="0.25">
      <c r="A803" t="s">
        <v>636</v>
      </c>
      <c r="B803" t="s">
        <v>637</v>
      </c>
      <c r="C803" t="s">
        <v>338</v>
      </c>
      <c r="D803">
        <v>96</v>
      </c>
      <c r="E803" t="s">
        <v>638</v>
      </c>
      <c r="F803">
        <v>100</v>
      </c>
      <c r="G803" s="1">
        <v>1088</v>
      </c>
      <c r="H803" s="1">
        <v>108800</v>
      </c>
    </row>
    <row r="804" spans="1:16" x14ac:dyDescent="0.25">
      <c r="A804" t="s">
        <v>648</v>
      </c>
      <c r="B804" t="s">
        <v>649</v>
      </c>
      <c r="C804" t="s">
        <v>650</v>
      </c>
      <c r="D804">
        <v>98</v>
      </c>
      <c r="E804" t="s">
        <v>651</v>
      </c>
      <c r="F804">
        <v>10</v>
      </c>
      <c r="G804" s="1">
        <v>4193</v>
      </c>
      <c r="H804" s="1">
        <v>41930</v>
      </c>
    </row>
    <row r="805" spans="1:16" x14ac:dyDescent="0.25">
      <c r="A805" t="s">
        <v>652</v>
      </c>
      <c r="B805" t="s">
        <v>653</v>
      </c>
      <c r="C805" t="s">
        <v>382</v>
      </c>
      <c r="D805">
        <v>100</v>
      </c>
      <c r="E805" t="s">
        <v>654</v>
      </c>
      <c r="F805">
        <v>1</v>
      </c>
      <c r="G805" s="1">
        <v>15966</v>
      </c>
      <c r="H805" s="1">
        <v>15966</v>
      </c>
    </row>
    <row r="806" spans="1:16" x14ac:dyDescent="0.25">
      <c r="A806" t="s">
        <v>652</v>
      </c>
      <c r="B806" t="s">
        <v>653</v>
      </c>
      <c r="C806" t="s">
        <v>382</v>
      </c>
      <c r="D806">
        <v>100</v>
      </c>
      <c r="E806" t="s">
        <v>655</v>
      </c>
      <c r="F806">
        <v>1</v>
      </c>
      <c r="G806" s="1">
        <v>15967</v>
      </c>
      <c r="H806" s="1">
        <v>15967</v>
      </c>
    </row>
    <row r="807" spans="1:16" x14ac:dyDescent="0.25">
      <c r="A807" t="s">
        <v>652</v>
      </c>
      <c r="B807" t="s">
        <v>653</v>
      </c>
      <c r="C807" t="s">
        <v>382</v>
      </c>
      <c r="D807">
        <v>100</v>
      </c>
      <c r="E807" t="s">
        <v>656</v>
      </c>
      <c r="F807">
        <v>1</v>
      </c>
      <c r="G807" s="1">
        <v>418487</v>
      </c>
      <c r="H807" s="1">
        <v>418487</v>
      </c>
      <c r="O807" t="s">
        <v>70</v>
      </c>
      <c r="P807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75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14062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31933</v>
      </c>
      <c r="K74" s="7">
        <v>31933</v>
      </c>
    </row>
    <row r="75" spans="1:11" x14ac:dyDescent="0.25">
      <c r="A75" s="5" t="s">
        <v>498</v>
      </c>
      <c r="B75" s="7">
        <v>9641505</v>
      </c>
      <c r="C75" s="7">
        <v>684312</v>
      </c>
      <c r="D75" s="7">
        <v>4907902</v>
      </c>
      <c r="E75" s="7">
        <v>7273854</v>
      </c>
      <c r="F75" s="7">
        <v>414309</v>
      </c>
      <c r="G75" s="7">
        <v>5879109</v>
      </c>
      <c r="H75" s="7">
        <v>25301336</v>
      </c>
      <c r="I75" s="7">
        <v>2092687</v>
      </c>
      <c r="J75" s="7">
        <v>6334778</v>
      </c>
      <c r="K75" s="7">
        <v>62529792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2026-08-10T16:01:17Z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