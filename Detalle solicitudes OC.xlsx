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291C174C-1C00-40B2-817F-DC8CB28FF65F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Cotizaciones!$A$1:$N$915</definedName>
    <definedName name="DatosExternos_1" localSheetId="0" hidden="1">Detalle!$A$1:$N$1034</definedName>
    <definedName name="DatosExternos_1" localSheetId="1" hidden="1">Requisiciones!$A$1:$P$838</definedName>
  </definedNames>
  <calcPr calcId="191028"/>
  <pivotCaches>
    <pivotCache cacheId="43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<sst xmlns="http://schemas.openxmlformats.org/spreadsheetml/2006/main" count="19064" uniqueCount="2304">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</sst>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1.504947800924" createdVersion="8" refreshedVersion="6" minRefreshableVersion="3" recordCount="1033" xr:uid="{CFCF1F21-8EFC-4C15-98EE-861C56BEE2F6}">
  <cacheSource type="worksheet">
    <worksheetSource name="_03_Ordenes_de_Compra"/>
  </cacheSource>
  <cacheFields count="16">
    <cacheField name="LLave" numFmtId="0">
      <sharedItems count="102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8_18082026"/>
        <s v="119_18082026"/>
        <s v="121_21082026"/>
        <s v="126_2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26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3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8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8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8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8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8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8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8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99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99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99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99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99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99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99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99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99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99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99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0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1"/>
    <s v="126_24082026_Flota_Maule norte_SEBMAQ_100_OC"/>
    <s v="OC 100"/>
    <n v="126"/>
    <s v="[SB200-171] Calza Balde"/>
    <n v="5"/>
    <n v="14990"/>
    <n v="749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4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1" firstHeaderRow="1" firstDataRow="2" firstDataCol="1" rowPageCount="1" colPageCount="1"/>
  <pivotFields count="16">
    <pivotField axis="axisRow" showAll="0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99"/>
        <item x="73"/>
        <item x="74"/>
        <item x="79"/>
        <item x="97"/>
        <item x="98"/>
        <item x="100"/>
        <item x="10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97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34" tableType="queryTable" totalsRowShown="0">
  <autoFilter ref="A1:P1034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838" tableType="queryTable" totalsRowShown="0">
  <autoFilter ref="A1:P838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15" tableType="queryTable" totalsRowShown="0">
  <autoFilter ref="A1:N915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34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1992</v>
      </c>
      <c r="F941">
        <v>1</v>
      </c>
      <c r="G941" s="1">
        <v>21930</v>
      </c>
      <c r="H941" s="1">
        <v>21930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1993</v>
      </c>
      <c r="F942">
        <v>2</v>
      </c>
      <c r="G942" s="1">
        <v>21930</v>
      </c>
      <c r="H942" s="1">
        <v>43860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1994</v>
      </c>
      <c r="F943">
        <v>6</v>
      </c>
      <c r="G943" s="1">
        <v>5780</v>
      </c>
      <c r="H943" s="1">
        <v>34680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1995</v>
      </c>
      <c r="F944">
        <v>2</v>
      </c>
      <c r="G944" s="1">
        <v>5780</v>
      </c>
      <c r="H944" s="1">
        <v>11560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1996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1997</v>
      </c>
      <c r="F946">
        <v>2</v>
      </c>
      <c r="G946" s="1">
        <v>32725</v>
      </c>
      <c r="H946" s="1">
        <v>65450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1998</v>
      </c>
      <c r="F947">
        <v>2</v>
      </c>
      <c r="G947" s="1">
        <v>19975</v>
      </c>
      <c r="H947" s="1">
        <v>39950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1999</v>
      </c>
      <c r="F948">
        <v>1</v>
      </c>
      <c r="G948" s="1">
        <v>32725</v>
      </c>
      <c r="H948" s="1">
        <v>32725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1959</v>
      </c>
      <c r="F949">
        <v>4</v>
      </c>
      <c r="G949" s="1">
        <v>21930</v>
      </c>
      <c r="H949" s="1">
        <v>87720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1960</v>
      </c>
      <c r="F950">
        <v>5</v>
      </c>
      <c r="G950" s="1">
        <v>21930</v>
      </c>
      <c r="H950" s="1">
        <v>109650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2000</v>
      </c>
      <c r="F951">
        <v>11</v>
      </c>
      <c r="G951" s="1">
        <v>251</v>
      </c>
      <c r="H951" s="1">
        <v>2761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2001</v>
      </c>
      <c r="F952">
        <v>1</v>
      </c>
      <c r="G952" s="1">
        <v>4973</v>
      </c>
      <c r="H952" s="1">
        <v>4973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2002</v>
      </c>
      <c r="F953">
        <v>3</v>
      </c>
      <c r="G953" s="1">
        <v>13685</v>
      </c>
      <c r="H953" s="1">
        <v>41055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2003</v>
      </c>
      <c r="F954">
        <v>2</v>
      </c>
      <c r="G954" s="1">
        <v>13685</v>
      </c>
      <c r="H954" s="1">
        <v>27370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2005</v>
      </c>
      <c r="F956">
        <v>2</v>
      </c>
      <c r="G956" s="1">
        <v>5185</v>
      </c>
      <c r="H956" s="1">
        <v>10370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2006</v>
      </c>
      <c r="F957">
        <v>1</v>
      </c>
      <c r="G957" s="1">
        <v>5780</v>
      </c>
      <c r="H957" s="1">
        <v>5780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2007</v>
      </c>
      <c r="F958">
        <v>4</v>
      </c>
      <c r="G958" s="1">
        <v>5185</v>
      </c>
      <c r="H958" s="1">
        <v>20740</v>
      </c>
    </row>
    <row r="959" spans="1:8" x14ac:dyDescent="0.25">
      <c r="A959" t="s">
        <v>1819</v>
      </c>
      <c r="B959" t="s">
        <v>1991</v>
      </c>
      <c r="C959" t="s">
        <v>361</v>
      </c>
      <c r="D959">
        <v>107</v>
      </c>
      <c r="E959" t="s">
        <v>2008</v>
      </c>
      <c r="F959">
        <v>2</v>
      </c>
      <c r="G959" s="1">
        <v>4973</v>
      </c>
      <c r="H959" s="1">
        <v>9946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2009</v>
      </c>
      <c r="F960">
        <v>2</v>
      </c>
      <c r="G960" s="1">
        <v>5185</v>
      </c>
      <c r="H960" s="1">
        <v>10370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2010</v>
      </c>
      <c r="F961">
        <v>1</v>
      </c>
      <c r="G961" s="1">
        <v>5950</v>
      </c>
      <c r="H961" s="1">
        <v>5950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2011</v>
      </c>
      <c r="F962">
        <v>2</v>
      </c>
      <c r="G962" s="1">
        <v>5950</v>
      </c>
      <c r="H962" s="1">
        <v>11900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2012</v>
      </c>
      <c r="F963">
        <v>2</v>
      </c>
      <c r="G963" s="1">
        <v>32725</v>
      </c>
      <c r="H963" s="1">
        <v>65450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2013</v>
      </c>
      <c r="F964">
        <v>11</v>
      </c>
      <c r="G964" s="1">
        <v>17901</v>
      </c>
      <c r="H964" s="1">
        <v>196911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2014</v>
      </c>
      <c r="F965">
        <v>1</v>
      </c>
      <c r="G965" s="1">
        <v>32725</v>
      </c>
      <c r="H965" s="1">
        <v>32725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2015</v>
      </c>
      <c r="F966">
        <v>1</v>
      </c>
      <c r="G966" s="1">
        <v>5950</v>
      </c>
      <c r="H966" s="1">
        <v>5950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2016</v>
      </c>
      <c r="F967">
        <v>8</v>
      </c>
      <c r="G967" s="1">
        <v>270</v>
      </c>
      <c r="H967" s="1">
        <v>2160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2017</v>
      </c>
      <c r="F968">
        <v>3</v>
      </c>
      <c r="G968" s="1">
        <v>5950</v>
      </c>
      <c r="H968" s="1">
        <v>17850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2018</v>
      </c>
      <c r="F969">
        <v>4</v>
      </c>
      <c r="G969" s="1">
        <v>5950</v>
      </c>
      <c r="H969" s="1">
        <v>23800</v>
      </c>
    </row>
    <row r="970" spans="1:8" x14ac:dyDescent="0.25">
      <c r="A970" t="s">
        <v>1819</v>
      </c>
      <c r="B970" t="s">
        <v>1991</v>
      </c>
      <c r="C970" t="s">
        <v>361</v>
      </c>
      <c r="D970">
        <v>107</v>
      </c>
      <c r="E970" t="s">
        <v>2019</v>
      </c>
      <c r="F970">
        <v>2</v>
      </c>
      <c r="G970" s="1">
        <v>5950</v>
      </c>
      <c r="H970" s="1">
        <v>11900</v>
      </c>
    </row>
    <row r="971" spans="1:8" x14ac:dyDescent="0.25">
      <c r="A971" t="s">
        <v>1819</v>
      </c>
      <c r="B971" t="s">
        <v>1991</v>
      </c>
      <c r="C971" t="s">
        <v>361</v>
      </c>
      <c r="D971">
        <v>107</v>
      </c>
      <c r="E971" t="s">
        <v>2020</v>
      </c>
      <c r="F971">
        <v>5</v>
      </c>
      <c r="G971" s="1">
        <v>3060</v>
      </c>
      <c r="H971" s="1">
        <v>15300</v>
      </c>
    </row>
    <row r="972" spans="1:8" x14ac:dyDescent="0.25">
      <c r="A972" t="s">
        <v>1819</v>
      </c>
      <c r="B972" t="s">
        <v>1991</v>
      </c>
      <c r="C972" t="s">
        <v>361</v>
      </c>
      <c r="D972">
        <v>107</v>
      </c>
      <c r="E972" t="s">
        <v>2021</v>
      </c>
      <c r="F972">
        <v>1</v>
      </c>
      <c r="G972" s="1">
        <v>4488</v>
      </c>
      <c r="H972" s="1">
        <v>4488</v>
      </c>
    </row>
    <row r="973" spans="1:8" x14ac:dyDescent="0.25">
      <c r="A973" t="s">
        <v>1819</v>
      </c>
      <c r="B973" t="s">
        <v>1991</v>
      </c>
      <c r="C973" t="s">
        <v>361</v>
      </c>
      <c r="D973">
        <v>107</v>
      </c>
      <c r="E973" t="s">
        <v>2022</v>
      </c>
      <c r="F973">
        <v>5</v>
      </c>
      <c r="G973" s="1">
        <v>19975</v>
      </c>
      <c r="H973" s="1">
        <v>99875</v>
      </c>
    </row>
    <row r="974" spans="1:8" x14ac:dyDescent="0.25">
      <c r="A974" t="s">
        <v>1819</v>
      </c>
      <c r="B974" t="s">
        <v>1991</v>
      </c>
      <c r="C974" t="s">
        <v>361</v>
      </c>
      <c r="D974">
        <v>107</v>
      </c>
      <c r="E974" t="s">
        <v>2023</v>
      </c>
      <c r="F974">
        <v>2</v>
      </c>
      <c r="G974" s="1">
        <v>19975</v>
      </c>
      <c r="H974" s="1">
        <v>39950</v>
      </c>
    </row>
    <row r="975" spans="1:8" x14ac:dyDescent="0.25">
      <c r="A975" t="s">
        <v>1819</v>
      </c>
      <c r="B975" t="s">
        <v>1991</v>
      </c>
      <c r="C975" t="s">
        <v>361</v>
      </c>
      <c r="D975">
        <v>107</v>
      </c>
      <c r="E975" t="s">
        <v>2024</v>
      </c>
      <c r="F975">
        <v>3</v>
      </c>
      <c r="G975" s="1">
        <v>19975</v>
      </c>
      <c r="H975" s="1">
        <v>59925</v>
      </c>
    </row>
    <row r="976" spans="1:8" x14ac:dyDescent="0.25">
      <c r="A976" t="s">
        <v>1819</v>
      </c>
      <c r="B976" t="s">
        <v>1991</v>
      </c>
      <c r="C976" t="s">
        <v>361</v>
      </c>
      <c r="D976">
        <v>107</v>
      </c>
      <c r="E976" t="s">
        <v>2025</v>
      </c>
      <c r="F976">
        <v>1</v>
      </c>
      <c r="G976" s="1">
        <v>36465</v>
      </c>
      <c r="H976" s="1">
        <v>36465</v>
      </c>
    </row>
    <row r="977" spans="1:8" x14ac:dyDescent="0.25">
      <c r="A977" t="s">
        <v>1819</v>
      </c>
      <c r="B977" t="s">
        <v>1991</v>
      </c>
      <c r="C977" t="s">
        <v>361</v>
      </c>
      <c r="D977">
        <v>107</v>
      </c>
      <c r="E977" t="s">
        <v>2026</v>
      </c>
      <c r="F977">
        <v>2</v>
      </c>
      <c r="G977" s="1">
        <v>36465</v>
      </c>
      <c r="H977" s="1">
        <v>72930</v>
      </c>
    </row>
    <row r="978" spans="1:8" x14ac:dyDescent="0.25">
      <c r="A978" t="s">
        <v>1819</v>
      </c>
      <c r="B978" t="s">
        <v>1991</v>
      </c>
      <c r="C978" t="s">
        <v>361</v>
      </c>
      <c r="D978">
        <v>107</v>
      </c>
      <c r="E978" t="s">
        <v>2027</v>
      </c>
      <c r="F978">
        <v>2</v>
      </c>
      <c r="G978" s="1">
        <v>4488</v>
      </c>
      <c r="H978" s="1">
        <v>8976</v>
      </c>
    </row>
    <row r="979" spans="1:8" x14ac:dyDescent="0.25">
      <c r="A979" t="s">
        <v>1819</v>
      </c>
      <c r="B979" t="s">
        <v>1991</v>
      </c>
      <c r="C979" t="s">
        <v>361</v>
      </c>
      <c r="D979">
        <v>107</v>
      </c>
      <c r="E979" t="s">
        <v>2028</v>
      </c>
      <c r="F979">
        <v>1</v>
      </c>
      <c r="G979" s="1">
        <v>4488</v>
      </c>
      <c r="H979" s="1">
        <v>4488</v>
      </c>
    </row>
    <row r="980" spans="1:8" x14ac:dyDescent="0.25">
      <c r="A980" t="s">
        <v>1819</v>
      </c>
      <c r="B980" t="s">
        <v>1991</v>
      </c>
      <c r="C980" t="s">
        <v>361</v>
      </c>
      <c r="D980">
        <v>107</v>
      </c>
      <c r="E980" t="s">
        <v>2029</v>
      </c>
      <c r="F980">
        <v>1</v>
      </c>
      <c r="G980" s="1">
        <v>4488</v>
      </c>
      <c r="H980" s="1">
        <v>4488</v>
      </c>
    </row>
    <row r="981" spans="1:8" x14ac:dyDescent="0.25">
      <c r="A981" t="s">
        <v>1854</v>
      </c>
      <c r="B981" t="s">
        <v>1862</v>
      </c>
      <c r="C981" t="s">
        <v>1863</v>
      </c>
      <c r="D981">
        <v>109</v>
      </c>
      <c r="E981" t="s">
        <v>1855</v>
      </c>
      <c r="F981">
        <v>1</v>
      </c>
      <c r="G981" s="1">
        <v>102513</v>
      </c>
      <c r="H981" s="1">
        <v>102513</v>
      </c>
    </row>
    <row r="982" spans="1:8" x14ac:dyDescent="0.25">
      <c r="A982" t="s">
        <v>1864</v>
      </c>
      <c r="B982" t="s">
        <v>2030</v>
      </c>
      <c r="C982" t="s">
        <v>371</v>
      </c>
      <c r="D982">
        <v>110</v>
      </c>
      <c r="E982" t="s">
        <v>1871</v>
      </c>
      <c r="F982">
        <v>8</v>
      </c>
      <c r="G982" s="1">
        <v>110282</v>
      </c>
      <c r="H982" s="1">
        <v>882256</v>
      </c>
    </row>
    <row r="983" spans="1:8" x14ac:dyDescent="0.25">
      <c r="A983" t="s">
        <v>1864</v>
      </c>
      <c r="B983" t="s">
        <v>2030</v>
      </c>
      <c r="C983" t="s">
        <v>371</v>
      </c>
      <c r="D983">
        <v>110</v>
      </c>
      <c r="E983" t="s">
        <v>1872</v>
      </c>
      <c r="F983">
        <v>3</v>
      </c>
      <c r="G983" s="1">
        <v>36761</v>
      </c>
      <c r="H983" s="1">
        <v>110283</v>
      </c>
    </row>
    <row r="984" spans="1:8" x14ac:dyDescent="0.25">
      <c r="A984" t="s">
        <v>1864</v>
      </c>
      <c r="B984" t="s">
        <v>2030</v>
      </c>
      <c r="C984" t="s">
        <v>371</v>
      </c>
      <c r="D984">
        <v>110</v>
      </c>
      <c r="E984" t="s">
        <v>1874</v>
      </c>
      <c r="F984">
        <v>3</v>
      </c>
      <c r="G984" s="1">
        <v>20586</v>
      </c>
      <c r="H984" s="1">
        <v>61758</v>
      </c>
    </row>
    <row r="985" spans="1:8" x14ac:dyDescent="0.25">
      <c r="A985" t="s">
        <v>1864</v>
      </c>
      <c r="B985" t="s">
        <v>2030</v>
      </c>
      <c r="C985" t="s">
        <v>371</v>
      </c>
      <c r="D985">
        <v>110</v>
      </c>
      <c r="E985" t="s">
        <v>874</v>
      </c>
      <c r="F985">
        <v>2</v>
      </c>
      <c r="G985" s="1">
        <v>36761</v>
      </c>
      <c r="H985" s="1">
        <v>73522</v>
      </c>
    </row>
    <row r="986" spans="1:8" x14ac:dyDescent="0.25">
      <c r="A986" t="s">
        <v>1864</v>
      </c>
      <c r="B986" t="s">
        <v>2030</v>
      </c>
      <c r="C986" t="s">
        <v>371</v>
      </c>
      <c r="D986">
        <v>110</v>
      </c>
      <c r="E986" t="s">
        <v>1867</v>
      </c>
      <c r="F986">
        <v>2</v>
      </c>
      <c r="G986" s="1">
        <v>20586</v>
      </c>
      <c r="H986" s="1">
        <v>41172</v>
      </c>
    </row>
    <row r="987" spans="1:8" x14ac:dyDescent="0.25">
      <c r="A987" t="s">
        <v>1864</v>
      </c>
      <c r="B987" t="s">
        <v>2030</v>
      </c>
      <c r="C987" t="s">
        <v>371</v>
      </c>
      <c r="D987">
        <v>110</v>
      </c>
      <c r="E987" t="s">
        <v>1869</v>
      </c>
      <c r="F987">
        <v>4</v>
      </c>
      <c r="G987" s="1">
        <v>8455</v>
      </c>
      <c r="H987" s="1">
        <v>33820</v>
      </c>
    </row>
    <row r="988" spans="1:8" x14ac:dyDescent="0.25">
      <c r="A988" t="s">
        <v>1876</v>
      </c>
      <c r="B988" t="s">
        <v>2031</v>
      </c>
      <c r="C988" t="s">
        <v>2032</v>
      </c>
      <c r="D988">
        <v>111</v>
      </c>
      <c r="E988" t="s">
        <v>1881</v>
      </c>
      <c r="F988">
        <v>3</v>
      </c>
      <c r="G988" s="1">
        <v>47789</v>
      </c>
      <c r="H988" s="1">
        <v>143367</v>
      </c>
    </row>
    <row r="989" spans="1:8" x14ac:dyDescent="0.25">
      <c r="A989" t="s">
        <v>1876</v>
      </c>
      <c r="B989" t="s">
        <v>2031</v>
      </c>
      <c r="C989" t="s">
        <v>2032</v>
      </c>
      <c r="D989">
        <v>111</v>
      </c>
      <c r="E989" t="s">
        <v>1882</v>
      </c>
      <c r="F989">
        <v>3</v>
      </c>
      <c r="G989" s="1">
        <v>8455</v>
      </c>
      <c r="H989" s="1">
        <v>25365</v>
      </c>
    </row>
    <row r="990" spans="1:8" x14ac:dyDescent="0.25">
      <c r="A990" t="s">
        <v>1876</v>
      </c>
      <c r="B990" t="s">
        <v>2031</v>
      </c>
      <c r="C990" t="s">
        <v>2032</v>
      </c>
      <c r="D990">
        <v>111</v>
      </c>
      <c r="E990" t="s">
        <v>1883</v>
      </c>
      <c r="F990">
        <v>2</v>
      </c>
      <c r="G990" s="1">
        <v>36761</v>
      </c>
      <c r="H990" s="1">
        <v>73522</v>
      </c>
    </row>
    <row r="991" spans="1:8" x14ac:dyDescent="0.25">
      <c r="A991" t="s">
        <v>1876</v>
      </c>
      <c r="B991" t="s">
        <v>2031</v>
      </c>
      <c r="C991" t="s">
        <v>2032</v>
      </c>
      <c r="D991">
        <v>111</v>
      </c>
      <c r="E991" t="s">
        <v>1880</v>
      </c>
      <c r="F991">
        <v>3</v>
      </c>
      <c r="G991" s="1">
        <v>36761</v>
      </c>
      <c r="H991" s="1">
        <v>110283</v>
      </c>
    </row>
    <row r="992" spans="1:8" x14ac:dyDescent="0.25">
      <c r="A992" t="s">
        <v>1876</v>
      </c>
      <c r="B992" t="s">
        <v>2031</v>
      </c>
      <c r="C992" t="s">
        <v>2032</v>
      </c>
      <c r="D992">
        <v>111</v>
      </c>
      <c r="E992" t="s">
        <v>1877</v>
      </c>
      <c r="F992">
        <v>9</v>
      </c>
      <c r="G992" s="1">
        <v>110282</v>
      </c>
      <c r="H992" s="1">
        <v>992538</v>
      </c>
    </row>
    <row r="993" spans="1:8" x14ac:dyDescent="0.25">
      <c r="A993" t="s">
        <v>1876</v>
      </c>
      <c r="B993" t="s">
        <v>2031</v>
      </c>
      <c r="C993" t="s">
        <v>2032</v>
      </c>
      <c r="D993">
        <v>111</v>
      </c>
      <c r="E993" t="s">
        <v>1115</v>
      </c>
      <c r="F993">
        <v>3</v>
      </c>
      <c r="G993" s="1">
        <v>20586</v>
      </c>
      <c r="H993" s="1">
        <v>61758</v>
      </c>
    </row>
    <row r="994" spans="1:8" x14ac:dyDescent="0.25">
      <c r="A994" t="s">
        <v>1876</v>
      </c>
      <c r="B994" t="s">
        <v>2031</v>
      </c>
      <c r="C994" t="s">
        <v>2032</v>
      </c>
      <c r="D994">
        <v>111</v>
      </c>
      <c r="E994" t="s">
        <v>1879</v>
      </c>
      <c r="F994">
        <v>3</v>
      </c>
      <c r="G994" s="1">
        <v>20586</v>
      </c>
      <c r="H994" s="1">
        <v>61758</v>
      </c>
    </row>
    <row r="995" spans="1:8" x14ac:dyDescent="0.25">
      <c r="A995" t="s">
        <v>1884</v>
      </c>
      <c r="B995" t="s">
        <v>2033</v>
      </c>
      <c r="C995" t="s">
        <v>2034</v>
      </c>
      <c r="D995">
        <v>112</v>
      </c>
      <c r="E995" t="s">
        <v>1881</v>
      </c>
      <c r="F995">
        <v>5</v>
      </c>
      <c r="G995" s="1">
        <v>47789</v>
      </c>
      <c r="H995" s="1">
        <v>238945</v>
      </c>
    </row>
    <row r="996" spans="1:8" x14ac:dyDescent="0.25">
      <c r="A996" t="s">
        <v>1884</v>
      </c>
      <c r="B996" t="s">
        <v>2033</v>
      </c>
      <c r="C996" t="s">
        <v>2034</v>
      </c>
      <c r="D996">
        <v>112</v>
      </c>
      <c r="E996" t="s">
        <v>1882</v>
      </c>
      <c r="F996">
        <v>12</v>
      </c>
      <c r="G996" s="1">
        <v>8455</v>
      </c>
      <c r="H996" s="1">
        <v>101460</v>
      </c>
    </row>
    <row r="997" spans="1:8" x14ac:dyDescent="0.25">
      <c r="A997" t="s">
        <v>1884</v>
      </c>
      <c r="B997" t="s">
        <v>2033</v>
      </c>
      <c r="C997" t="s">
        <v>2034</v>
      </c>
      <c r="D997">
        <v>112</v>
      </c>
      <c r="E997" t="s">
        <v>1883</v>
      </c>
      <c r="F997">
        <v>5</v>
      </c>
      <c r="G997" s="1">
        <v>36761</v>
      </c>
      <c r="H997" s="1">
        <v>183805</v>
      </c>
    </row>
    <row r="998" spans="1:8" x14ac:dyDescent="0.25">
      <c r="A998" t="s">
        <v>1884</v>
      </c>
      <c r="B998" t="s">
        <v>2033</v>
      </c>
      <c r="C998" t="s">
        <v>2034</v>
      </c>
      <c r="D998">
        <v>112</v>
      </c>
      <c r="E998" t="s">
        <v>1880</v>
      </c>
      <c r="F998">
        <v>5</v>
      </c>
      <c r="G998" s="1">
        <v>36761</v>
      </c>
      <c r="H998" s="1">
        <v>183805</v>
      </c>
    </row>
    <row r="999" spans="1:8" x14ac:dyDescent="0.25">
      <c r="A999" t="s">
        <v>1884</v>
      </c>
      <c r="B999" t="s">
        <v>2033</v>
      </c>
      <c r="C999" t="s">
        <v>2034</v>
      </c>
      <c r="D999">
        <v>112</v>
      </c>
      <c r="E999" t="s">
        <v>1877</v>
      </c>
      <c r="F999">
        <v>10</v>
      </c>
      <c r="G999" s="1">
        <v>110282</v>
      </c>
      <c r="H999" s="1">
        <v>1102820</v>
      </c>
    </row>
    <row r="1000" spans="1:8" x14ac:dyDescent="0.25">
      <c r="A1000" t="s">
        <v>1884</v>
      </c>
      <c r="B1000" t="s">
        <v>2033</v>
      </c>
      <c r="C1000" t="s">
        <v>2034</v>
      </c>
      <c r="D1000">
        <v>112</v>
      </c>
      <c r="E1000" t="s">
        <v>1115</v>
      </c>
      <c r="F1000">
        <v>5</v>
      </c>
      <c r="G1000" s="1">
        <v>20586</v>
      </c>
      <c r="H1000" s="1">
        <v>102930</v>
      </c>
    </row>
    <row r="1001" spans="1:8" x14ac:dyDescent="0.25">
      <c r="A1001" t="s">
        <v>1884</v>
      </c>
      <c r="B1001" t="s">
        <v>2033</v>
      </c>
      <c r="C1001" t="s">
        <v>2034</v>
      </c>
      <c r="D1001">
        <v>112</v>
      </c>
      <c r="E1001" t="s">
        <v>1879</v>
      </c>
      <c r="F1001">
        <v>5</v>
      </c>
      <c r="G1001" s="1">
        <v>20586</v>
      </c>
      <c r="H1001" s="1">
        <v>102930</v>
      </c>
    </row>
    <row r="1002" spans="1:8" x14ac:dyDescent="0.25">
      <c r="A1002" t="s">
        <v>1885</v>
      </c>
      <c r="B1002" t="s">
        <v>2035</v>
      </c>
      <c r="C1002" t="s">
        <v>2036</v>
      </c>
      <c r="D1002">
        <v>113</v>
      </c>
      <c r="E1002" t="s">
        <v>1881</v>
      </c>
      <c r="F1002">
        <v>1</v>
      </c>
      <c r="G1002" s="1">
        <v>47789</v>
      </c>
      <c r="H1002" s="1">
        <v>47789</v>
      </c>
    </row>
    <row r="1003" spans="1:8" x14ac:dyDescent="0.25">
      <c r="A1003" t="s">
        <v>1886</v>
      </c>
      <c r="B1003" t="s">
        <v>2037</v>
      </c>
      <c r="C1003" t="s">
        <v>2038</v>
      </c>
      <c r="D1003">
        <v>114</v>
      </c>
      <c r="E1003" t="s">
        <v>1899</v>
      </c>
      <c r="F1003">
        <v>5</v>
      </c>
      <c r="G1003" s="1">
        <v>110282</v>
      </c>
      <c r="H1003" s="1">
        <v>551410</v>
      </c>
    </row>
    <row r="1004" spans="1:8" x14ac:dyDescent="0.25">
      <c r="A1004" t="s">
        <v>1886</v>
      </c>
      <c r="B1004" t="s">
        <v>2037</v>
      </c>
      <c r="C1004" t="s">
        <v>2038</v>
      </c>
      <c r="D1004">
        <v>114</v>
      </c>
      <c r="E1004" t="s">
        <v>1897</v>
      </c>
      <c r="F1004">
        <v>2</v>
      </c>
      <c r="G1004" s="1">
        <v>36761</v>
      </c>
      <c r="H1004" s="1">
        <v>73522</v>
      </c>
    </row>
    <row r="1005" spans="1:8" x14ac:dyDescent="0.25">
      <c r="A1005" t="s">
        <v>1886</v>
      </c>
      <c r="B1005" t="s">
        <v>2037</v>
      </c>
      <c r="C1005" t="s">
        <v>2038</v>
      </c>
      <c r="D1005">
        <v>114</v>
      </c>
      <c r="E1005" t="s">
        <v>1902</v>
      </c>
      <c r="F1005">
        <v>2</v>
      </c>
      <c r="G1005" s="1">
        <v>47789</v>
      </c>
      <c r="H1005" s="1">
        <v>95578</v>
      </c>
    </row>
    <row r="1006" spans="1:8" x14ac:dyDescent="0.25">
      <c r="A1006" t="s">
        <v>1886</v>
      </c>
      <c r="B1006" t="s">
        <v>2037</v>
      </c>
      <c r="C1006" t="s">
        <v>2038</v>
      </c>
      <c r="D1006">
        <v>114</v>
      </c>
      <c r="E1006" t="s">
        <v>1900</v>
      </c>
      <c r="F1006">
        <v>2</v>
      </c>
      <c r="G1006" s="1">
        <v>47789</v>
      </c>
      <c r="H1006" s="1">
        <v>95578</v>
      </c>
    </row>
    <row r="1007" spans="1:8" x14ac:dyDescent="0.25">
      <c r="A1007" t="s">
        <v>1886</v>
      </c>
      <c r="B1007" t="s">
        <v>2037</v>
      </c>
      <c r="C1007" t="s">
        <v>2038</v>
      </c>
      <c r="D1007">
        <v>114</v>
      </c>
      <c r="E1007" t="s">
        <v>1891</v>
      </c>
      <c r="F1007">
        <v>2</v>
      </c>
      <c r="G1007" s="1">
        <v>20586</v>
      </c>
      <c r="H1007" s="1">
        <v>41172</v>
      </c>
    </row>
    <row r="1008" spans="1:8" x14ac:dyDescent="0.25">
      <c r="A1008" t="s">
        <v>1886</v>
      </c>
      <c r="B1008" t="s">
        <v>2037</v>
      </c>
      <c r="C1008" t="s">
        <v>2038</v>
      </c>
      <c r="D1008">
        <v>114</v>
      </c>
      <c r="E1008" t="s">
        <v>1888</v>
      </c>
      <c r="F1008">
        <v>2</v>
      </c>
      <c r="G1008" s="1">
        <v>8455</v>
      </c>
      <c r="H1008" s="1">
        <v>16910</v>
      </c>
    </row>
    <row r="1009" spans="1:8" x14ac:dyDescent="0.25">
      <c r="A1009" t="s">
        <v>1886</v>
      </c>
      <c r="B1009" t="s">
        <v>2037</v>
      </c>
      <c r="C1009" t="s">
        <v>2038</v>
      </c>
      <c r="D1009">
        <v>114</v>
      </c>
      <c r="E1009" t="s">
        <v>1895</v>
      </c>
      <c r="F1009">
        <v>2</v>
      </c>
      <c r="G1009" s="1">
        <v>36761</v>
      </c>
      <c r="H1009" s="1">
        <v>73522</v>
      </c>
    </row>
    <row r="1010" spans="1:8" x14ac:dyDescent="0.25">
      <c r="A1010" t="s">
        <v>1886</v>
      </c>
      <c r="B1010" t="s">
        <v>2037</v>
      </c>
      <c r="C1010" t="s">
        <v>2038</v>
      </c>
      <c r="D1010">
        <v>114</v>
      </c>
      <c r="E1010" t="s">
        <v>1893</v>
      </c>
      <c r="F1010">
        <v>2</v>
      </c>
      <c r="G1010" s="1">
        <v>20586</v>
      </c>
      <c r="H1010" s="1">
        <v>41172</v>
      </c>
    </row>
    <row r="1011" spans="1:8" x14ac:dyDescent="0.25">
      <c r="A1011" t="s">
        <v>1903</v>
      </c>
      <c r="B1011" t="s">
        <v>2039</v>
      </c>
      <c r="C1011" t="s">
        <v>467</v>
      </c>
      <c r="D1011">
        <v>115</v>
      </c>
      <c r="E1011" t="s">
        <v>1909</v>
      </c>
      <c r="F1011">
        <v>1</v>
      </c>
      <c r="G1011" s="1">
        <v>126050</v>
      </c>
      <c r="H1011" s="1">
        <v>126050</v>
      </c>
    </row>
    <row r="1012" spans="1:8" x14ac:dyDescent="0.25">
      <c r="A1012" t="s">
        <v>1916</v>
      </c>
      <c r="B1012" t="s">
        <v>2283</v>
      </c>
      <c r="C1012" t="s">
        <v>2284</v>
      </c>
      <c r="D1012">
        <v>116</v>
      </c>
      <c r="E1012" t="s">
        <v>2285</v>
      </c>
      <c r="F1012">
        <v>37</v>
      </c>
      <c r="G1012" s="1">
        <v>9450</v>
      </c>
      <c r="H1012" s="1">
        <v>349650</v>
      </c>
    </row>
    <row r="1013" spans="1:8" x14ac:dyDescent="0.25">
      <c r="A1013" t="s">
        <v>1928</v>
      </c>
      <c r="B1013" t="s">
        <v>2286</v>
      </c>
      <c r="C1013" t="s">
        <v>2287</v>
      </c>
      <c r="D1013">
        <v>118</v>
      </c>
      <c r="E1013" t="s">
        <v>1943</v>
      </c>
      <c r="F1013">
        <v>1</v>
      </c>
      <c r="G1013" s="1">
        <v>45060</v>
      </c>
      <c r="H1013" s="1">
        <v>45060</v>
      </c>
    </row>
    <row r="1014" spans="1:8" x14ac:dyDescent="0.25">
      <c r="A1014" t="s">
        <v>1928</v>
      </c>
      <c r="B1014" t="s">
        <v>2286</v>
      </c>
      <c r="C1014" t="s">
        <v>2287</v>
      </c>
      <c r="D1014">
        <v>118</v>
      </c>
      <c r="E1014" t="s">
        <v>1942</v>
      </c>
      <c r="F1014">
        <v>1</v>
      </c>
      <c r="G1014" s="1">
        <v>34920</v>
      </c>
      <c r="H1014" s="1">
        <v>34920</v>
      </c>
    </row>
    <row r="1015" spans="1:8" x14ac:dyDescent="0.25">
      <c r="A1015" t="s">
        <v>1928</v>
      </c>
      <c r="B1015" t="s">
        <v>2286</v>
      </c>
      <c r="C1015" t="s">
        <v>2287</v>
      </c>
      <c r="D1015">
        <v>118</v>
      </c>
      <c r="E1015" t="s">
        <v>1944</v>
      </c>
      <c r="F1015">
        <v>1</v>
      </c>
      <c r="G1015" s="1">
        <v>70860</v>
      </c>
      <c r="H1015" s="1">
        <v>70860</v>
      </c>
    </row>
    <row r="1016" spans="1:8" x14ac:dyDescent="0.25">
      <c r="A1016" t="s">
        <v>1928</v>
      </c>
      <c r="B1016" t="s">
        <v>2286</v>
      </c>
      <c r="C1016" t="s">
        <v>2287</v>
      </c>
      <c r="D1016">
        <v>118</v>
      </c>
      <c r="E1016" t="s">
        <v>1941</v>
      </c>
      <c r="F1016">
        <v>1</v>
      </c>
      <c r="G1016" s="1">
        <v>78230</v>
      </c>
      <c r="H1016" s="1">
        <v>78230</v>
      </c>
    </row>
    <row r="1017" spans="1:8" x14ac:dyDescent="0.25">
      <c r="A1017" t="s">
        <v>1928</v>
      </c>
      <c r="B1017" t="s">
        <v>2286</v>
      </c>
      <c r="C1017" t="s">
        <v>2287</v>
      </c>
      <c r="D1017">
        <v>118</v>
      </c>
      <c r="E1017" t="s">
        <v>1940</v>
      </c>
      <c r="F1017">
        <v>1</v>
      </c>
      <c r="G1017" s="1">
        <v>40450</v>
      </c>
      <c r="H1017" s="1">
        <v>40450</v>
      </c>
    </row>
    <row r="1018" spans="1:8" x14ac:dyDescent="0.25">
      <c r="A1018" t="s">
        <v>1928</v>
      </c>
      <c r="B1018" t="s">
        <v>2286</v>
      </c>
      <c r="C1018" t="s">
        <v>2287</v>
      </c>
      <c r="D1018">
        <v>118</v>
      </c>
      <c r="E1018" t="s">
        <v>1939</v>
      </c>
      <c r="F1018">
        <v>1</v>
      </c>
      <c r="G1018" s="1">
        <v>44140</v>
      </c>
      <c r="H1018" s="1">
        <v>44140</v>
      </c>
    </row>
    <row r="1019" spans="1:8" x14ac:dyDescent="0.25">
      <c r="A1019" t="s">
        <v>1928</v>
      </c>
      <c r="B1019" t="s">
        <v>2286</v>
      </c>
      <c r="C1019" t="s">
        <v>2287</v>
      </c>
      <c r="D1019">
        <v>118</v>
      </c>
      <c r="E1019" t="s">
        <v>1941</v>
      </c>
      <c r="F1019">
        <v>1</v>
      </c>
      <c r="G1019" s="1">
        <v>78230</v>
      </c>
      <c r="H1019" s="1">
        <v>78230</v>
      </c>
    </row>
    <row r="1020" spans="1:8" x14ac:dyDescent="0.25">
      <c r="A1020" t="s">
        <v>1928</v>
      </c>
      <c r="B1020" t="s">
        <v>2286</v>
      </c>
      <c r="C1020" t="s">
        <v>2287</v>
      </c>
      <c r="D1020">
        <v>118</v>
      </c>
      <c r="E1020" t="s">
        <v>1939</v>
      </c>
      <c r="F1020">
        <v>1</v>
      </c>
      <c r="G1020" s="1">
        <v>44140</v>
      </c>
      <c r="H1020" s="1">
        <v>44140</v>
      </c>
    </row>
    <row r="1021" spans="1:8" x14ac:dyDescent="0.25">
      <c r="A1021" t="s">
        <v>1929</v>
      </c>
      <c r="B1021" t="s">
        <v>2067</v>
      </c>
      <c r="C1021" t="s">
        <v>478</v>
      </c>
      <c r="D1021">
        <v>119</v>
      </c>
      <c r="E1021" t="s">
        <v>1953</v>
      </c>
      <c r="F1021">
        <v>1</v>
      </c>
      <c r="G1021" s="1">
        <v>35615</v>
      </c>
      <c r="H1021" s="1">
        <v>35615</v>
      </c>
    </row>
    <row r="1022" spans="1:8" x14ac:dyDescent="0.25">
      <c r="A1022" t="s">
        <v>1929</v>
      </c>
      <c r="B1022" t="s">
        <v>2067</v>
      </c>
      <c r="C1022" t="s">
        <v>478</v>
      </c>
      <c r="D1022">
        <v>119</v>
      </c>
      <c r="E1022" t="s">
        <v>1952</v>
      </c>
      <c r="F1022">
        <v>1</v>
      </c>
      <c r="G1022" s="1">
        <v>39440</v>
      </c>
      <c r="H1022" s="1">
        <v>39440</v>
      </c>
    </row>
    <row r="1023" spans="1:8" x14ac:dyDescent="0.25">
      <c r="A1023" t="s">
        <v>1929</v>
      </c>
      <c r="B1023" t="s">
        <v>2067</v>
      </c>
      <c r="C1023" t="s">
        <v>478</v>
      </c>
      <c r="D1023">
        <v>119</v>
      </c>
      <c r="E1023" t="s">
        <v>1951</v>
      </c>
      <c r="F1023">
        <v>1</v>
      </c>
      <c r="G1023" s="1">
        <v>36465</v>
      </c>
      <c r="H1023" s="1">
        <v>36465</v>
      </c>
    </row>
    <row r="1024" spans="1:8" x14ac:dyDescent="0.25">
      <c r="A1024" t="s">
        <v>1929</v>
      </c>
      <c r="B1024" t="s">
        <v>2067</v>
      </c>
      <c r="C1024" t="s">
        <v>478</v>
      </c>
      <c r="D1024">
        <v>119</v>
      </c>
      <c r="E1024" t="s">
        <v>1956</v>
      </c>
      <c r="F1024">
        <v>1</v>
      </c>
      <c r="G1024" s="1">
        <v>72165</v>
      </c>
      <c r="H1024" s="1">
        <v>72165</v>
      </c>
    </row>
    <row r="1025" spans="1:16" x14ac:dyDescent="0.25">
      <c r="A1025" t="s">
        <v>1929</v>
      </c>
      <c r="B1025" t="s">
        <v>2067</v>
      </c>
      <c r="C1025" t="s">
        <v>478</v>
      </c>
      <c r="D1025">
        <v>119</v>
      </c>
      <c r="E1025" t="s">
        <v>1955</v>
      </c>
      <c r="F1025">
        <v>1</v>
      </c>
      <c r="G1025" s="1">
        <v>41565</v>
      </c>
      <c r="H1025" s="1">
        <v>41565</v>
      </c>
    </row>
    <row r="1026" spans="1:16" x14ac:dyDescent="0.25">
      <c r="A1026" t="s">
        <v>1929</v>
      </c>
      <c r="B1026" t="s">
        <v>2067</v>
      </c>
      <c r="C1026" t="s">
        <v>478</v>
      </c>
      <c r="D1026">
        <v>119</v>
      </c>
      <c r="E1026" t="s">
        <v>1954</v>
      </c>
      <c r="F1026">
        <v>1</v>
      </c>
      <c r="G1026" s="1">
        <v>33065</v>
      </c>
      <c r="H1026" s="1">
        <v>33065</v>
      </c>
    </row>
    <row r="1027" spans="1:16" x14ac:dyDescent="0.25">
      <c r="A1027" t="s">
        <v>1929</v>
      </c>
      <c r="B1027" t="s">
        <v>2067</v>
      </c>
      <c r="C1027" t="s">
        <v>478</v>
      </c>
      <c r="D1027">
        <v>119</v>
      </c>
      <c r="E1027" t="s">
        <v>1947</v>
      </c>
      <c r="F1027">
        <v>1</v>
      </c>
      <c r="G1027" s="1">
        <v>41565</v>
      </c>
      <c r="H1027" s="1">
        <v>41565</v>
      </c>
    </row>
    <row r="1028" spans="1:16" x14ac:dyDescent="0.25">
      <c r="A1028" t="s">
        <v>1929</v>
      </c>
      <c r="B1028" t="s">
        <v>2067</v>
      </c>
      <c r="C1028" t="s">
        <v>478</v>
      </c>
      <c r="D1028">
        <v>119</v>
      </c>
      <c r="E1028" t="s">
        <v>1946</v>
      </c>
      <c r="F1028">
        <v>1</v>
      </c>
      <c r="G1028" s="1">
        <v>37740</v>
      </c>
      <c r="H1028" s="1">
        <v>37740</v>
      </c>
    </row>
    <row r="1029" spans="1:16" x14ac:dyDescent="0.25">
      <c r="A1029" t="s">
        <v>1929</v>
      </c>
      <c r="B1029" t="s">
        <v>2067</v>
      </c>
      <c r="C1029" t="s">
        <v>478</v>
      </c>
      <c r="D1029">
        <v>119</v>
      </c>
      <c r="E1029" t="s">
        <v>1945</v>
      </c>
      <c r="F1029">
        <v>1</v>
      </c>
      <c r="G1029" s="1">
        <v>33065</v>
      </c>
      <c r="H1029" s="1">
        <v>33065</v>
      </c>
    </row>
    <row r="1030" spans="1:16" x14ac:dyDescent="0.25">
      <c r="A1030" t="s">
        <v>1929</v>
      </c>
      <c r="B1030" t="s">
        <v>2067</v>
      </c>
      <c r="C1030" t="s">
        <v>478</v>
      </c>
      <c r="D1030">
        <v>119</v>
      </c>
      <c r="E1030" t="s">
        <v>1950</v>
      </c>
      <c r="F1030">
        <v>1</v>
      </c>
      <c r="G1030" s="1">
        <v>63365</v>
      </c>
      <c r="H1030" s="1">
        <v>63365</v>
      </c>
    </row>
    <row r="1031" spans="1:16" x14ac:dyDescent="0.25">
      <c r="A1031" t="s">
        <v>1929</v>
      </c>
      <c r="B1031" t="s">
        <v>2067</v>
      </c>
      <c r="C1031" t="s">
        <v>478</v>
      </c>
      <c r="D1031">
        <v>119</v>
      </c>
      <c r="E1031" t="s">
        <v>1949</v>
      </c>
      <c r="F1031">
        <v>1</v>
      </c>
      <c r="G1031" s="1">
        <v>36465</v>
      </c>
      <c r="H1031" s="1">
        <v>36465</v>
      </c>
    </row>
    <row r="1032" spans="1:16" x14ac:dyDescent="0.25">
      <c r="A1032" t="s">
        <v>1929</v>
      </c>
      <c r="B1032" t="s">
        <v>2067</v>
      </c>
      <c r="C1032" t="s">
        <v>478</v>
      </c>
      <c r="D1032">
        <v>119</v>
      </c>
      <c r="E1032" t="s">
        <v>1948</v>
      </c>
      <c r="F1032">
        <v>1</v>
      </c>
      <c r="G1032" s="1">
        <v>35615</v>
      </c>
      <c r="H1032" s="1">
        <v>35615</v>
      </c>
    </row>
    <row r="1033" spans="1:16" x14ac:dyDescent="0.25">
      <c r="A1033" t="s">
        <v>2063</v>
      </c>
      <c r="B1033" t="s">
        <v>2288</v>
      </c>
      <c r="C1033" t="s">
        <v>2289</v>
      </c>
      <c r="D1033">
        <v>121</v>
      </c>
      <c r="E1033" t="s">
        <v>627</v>
      </c>
      <c r="F1033">
        <v>1</v>
      </c>
      <c r="G1033" s="1">
        <v>1050000</v>
      </c>
      <c r="H1033" s="1">
        <v>1050000</v>
      </c>
    </row>
    <row r="1034" spans="1:16" x14ac:dyDescent="0.25">
      <c r="A1034" t="s">
        <v>2093</v>
      </c>
      <c r="B1034" t="s">
        <v>2290</v>
      </c>
      <c r="C1034" t="s">
        <v>2291</v>
      </c>
      <c r="D1034">
        <v>126</v>
      </c>
      <c r="E1034" t="s">
        <v>2292</v>
      </c>
      <c r="F1034">
        <v>5</v>
      </c>
      <c r="G1034" s="1">
        <v>14990</v>
      </c>
      <c r="H1034" s="1">
        <v>74950</v>
      </c>
      <c r="O1034" t="s">
        <v>70</v>
      </c>
      <c r="P1034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838"/>
  <sheetViews>
    <sheetView tabSelected="1" workbookViewId="0">
      <selection activeCell="B11" sqref="B11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15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2234</v>
      </c>
      <c r="B891">
        <v>5</v>
      </c>
      <c r="C891" t="s">
        <v>2295</v>
      </c>
      <c r="E891" t="s">
        <v>2296</v>
      </c>
      <c r="G891" t="s">
        <v>1487</v>
      </c>
      <c r="I891" s="8">
        <v>44950</v>
      </c>
      <c r="J891" s="8">
        <v>8540.5</v>
      </c>
      <c r="K891" s="8">
        <v>53490.5</v>
      </c>
    </row>
    <row r="892" spans="1:11" x14ac:dyDescent="0.25">
      <c r="A892" t="s">
        <v>2234</v>
      </c>
      <c r="B892">
        <v>5</v>
      </c>
      <c r="C892" t="s">
        <v>2297</v>
      </c>
      <c r="E892" t="s">
        <v>2296</v>
      </c>
      <c r="G892" t="s">
        <v>1487</v>
      </c>
      <c r="I892" s="8">
        <v>104950</v>
      </c>
      <c r="J892" s="8">
        <v>19940.5</v>
      </c>
      <c r="K892" s="8">
        <v>124890.5</v>
      </c>
    </row>
    <row r="893" spans="1:11" x14ac:dyDescent="0.25">
      <c r="A893" t="s">
        <v>2237</v>
      </c>
      <c r="B893">
        <v>7</v>
      </c>
      <c r="C893" t="s">
        <v>2295</v>
      </c>
      <c r="E893" t="s">
        <v>2296</v>
      </c>
      <c r="G893" t="s">
        <v>1487</v>
      </c>
      <c r="I893" s="8">
        <v>62930</v>
      </c>
      <c r="J893" s="8">
        <v>11956.7</v>
      </c>
      <c r="K893" s="8">
        <v>74886.7</v>
      </c>
    </row>
    <row r="894" spans="1:11" x14ac:dyDescent="0.25">
      <c r="A894" t="s">
        <v>2237</v>
      </c>
      <c r="B894">
        <v>7</v>
      </c>
      <c r="C894" t="s">
        <v>2297</v>
      </c>
      <c r="E894" t="s">
        <v>2296</v>
      </c>
      <c r="G894" t="s">
        <v>1487</v>
      </c>
      <c r="I894" s="8">
        <v>146930</v>
      </c>
      <c r="J894" s="8">
        <v>27916.7</v>
      </c>
      <c r="K894" s="8">
        <v>174846.7</v>
      </c>
    </row>
    <row r="895" spans="1:11" x14ac:dyDescent="0.25">
      <c r="A895" t="s">
        <v>2298</v>
      </c>
      <c r="B895">
        <v>5</v>
      </c>
      <c r="C895" t="s">
        <v>830</v>
      </c>
      <c r="E895" t="s">
        <v>1582</v>
      </c>
      <c r="G895" t="s">
        <v>1493</v>
      </c>
      <c r="I895" s="8">
        <v>2000</v>
      </c>
      <c r="J895" s="8">
        <v>380</v>
      </c>
      <c r="K895" s="8">
        <v>2380</v>
      </c>
    </row>
    <row r="896" spans="1:11" x14ac:dyDescent="0.25">
      <c r="A896" t="s">
        <v>2298</v>
      </c>
      <c r="B896">
        <v>10</v>
      </c>
      <c r="C896" t="s">
        <v>2299</v>
      </c>
      <c r="E896" t="s">
        <v>1582</v>
      </c>
      <c r="G896" t="s">
        <v>1493</v>
      </c>
      <c r="I896" s="8">
        <v>8860</v>
      </c>
      <c r="J896" s="8">
        <v>1683.4</v>
      </c>
      <c r="K896" s="8">
        <v>10543.4</v>
      </c>
    </row>
    <row r="897" spans="1:11" x14ac:dyDescent="0.25">
      <c r="A897" t="s">
        <v>2298</v>
      </c>
      <c r="B897">
        <v>15</v>
      </c>
      <c r="C897" t="s">
        <v>973</v>
      </c>
      <c r="E897" t="s">
        <v>1582</v>
      </c>
      <c r="G897" t="s">
        <v>1493</v>
      </c>
      <c r="I897" s="8">
        <v>43080</v>
      </c>
      <c r="J897" s="8">
        <v>8185.2</v>
      </c>
      <c r="K897" s="8">
        <v>51265.2</v>
      </c>
    </row>
    <row r="898" spans="1:11" x14ac:dyDescent="0.25">
      <c r="A898" t="s">
        <v>2298</v>
      </c>
      <c r="B898">
        <v>20</v>
      </c>
      <c r="C898" t="s">
        <v>975</v>
      </c>
      <c r="E898" t="s">
        <v>1582</v>
      </c>
      <c r="G898" t="s">
        <v>1493</v>
      </c>
      <c r="I898" s="8">
        <v>2560</v>
      </c>
      <c r="J898" s="8">
        <v>486.4</v>
      </c>
      <c r="K898" s="8">
        <v>3046.4</v>
      </c>
    </row>
    <row r="899" spans="1:11" x14ac:dyDescent="0.25">
      <c r="A899" t="s">
        <v>2298</v>
      </c>
      <c r="B899">
        <v>10</v>
      </c>
      <c r="C899" t="s">
        <v>2300</v>
      </c>
      <c r="E899" t="s">
        <v>1582</v>
      </c>
      <c r="G899" t="s">
        <v>1493</v>
      </c>
      <c r="I899" s="8">
        <v>46600</v>
      </c>
      <c r="J899" s="8">
        <v>8854</v>
      </c>
      <c r="K899" s="8">
        <v>55454</v>
      </c>
    </row>
    <row r="900" spans="1:11" x14ac:dyDescent="0.25">
      <c r="A900" t="s">
        <v>2298</v>
      </c>
      <c r="B900">
        <v>10</v>
      </c>
      <c r="C900" t="s">
        <v>590</v>
      </c>
      <c r="E900" t="s">
        <v>1582</v>
      </c>
      <c r="G900" t="s">
        <v>1493</v>
      </c>
      <c r="I900" s="8">
        <v>8610</v>
      </c>
      <c r="J900" s="8">
        <v>1635.9</v>
      </c>
      <c r="K900" s="8">
        <v>10245.9</v>
      </c>
    </row>
    <row r="901" spans="1:11" x14ac:dyDescent="0.25">
      <c r="A901" t="s">
        <v>2298</v>
      </c>
      <c r="B901">
        <v>10</v>
      </c>
      <c r="C901" t="s">
        <v>583</v>
      </c>
      <c r="E901" t="s">
        <v>1582</v>
      </c>
      <c r="G901" t="s">
        <v>1493</v>
      </c>
      <c r="I901" s="8">
        <v>12470</v>
      </c>
      <c r="J901" s="8">
        <v>2369.3000000000002</v>
      </c>
      <c r="K901" s="8">
        <v>14839.3</v>
      </c>
    </row>
    <row r="902" spans="1:11" x14ac:dyDescent="0.25">
      <c r="A902" t="s">
        <v>2298</v>
      </c>
      <c r="B902">
        <v>10</v>
      </c>
      <c r="C902" t="s">
        <v>1234</v>
      </c>
      <c r="E902" t="s">
        <v>1582</v>
      </c>
      <c r="G902" t="s">
        <v>1493</v>
      </c>
      <c r="I902" s="8">
        <v>3040</v>
      </c>
      <c r="J902" s="8">
        <v>577.6</v>
      </c>
      <c r="K902" s="8">
        <v>3617.6</v>
      </c>
    </row>
    <row r="903" spans="1:11" x14ac:dyDescent="0.25">
      <c r="A903" t="s">
        <v>2298</v>
      </c>
      <c r="B903">
        <v>5</v>
      </c>
      <c r="C903" t="s">
        <v>581</v>
      </c>
      <c r="E903" t="s">
        <v>1582</v>
      </c>
      <c r="G903" t="s">
        <v>1493</v>
      </c>
      <c r="I903" s="8">
        <v>6710</v>
      </c>
      <c r="J903" s="8">
        <v>1274.9000000000001</v>
      </c>
      <c r="K903" s="8">
        <v>7984.9</v>
      </c>
    </row>
    <row r="904" spans="1:11" x14ac:dyDescent="0.25">
      <c r="A904" t="s">
        <v>2298</v>
      </c>
      <c r="B904">
        <v>6</v>
      </c>
      <c r="C904" t="s">
        <v>1237</v>
      </c>
      <c r="E904" t="s">
        <v>1582</v>
      </c>
      <c r="G904" t="s">
        <v>1493</v>
      </c>
      <c r="I904" s="8">
        <v>1224</v>
      </c>
      <c r="J904" s="8">
        <v>232.56</v>
      </c>
      <c r="K904" s="8">
        <v>1456.56</v>
      </c>
    </row>
    <row r="905" spans="1:11" x14ac:dyDescent="0.25">
      <c r="A905" t="s">
        <v>2298</v>
      </c>
      <c r="B905">
        <v>10</v>
      </c>
      <c r="C905" t="s">
        <v>1130</v>
      </c>
      <c r="E905" t="s">
        <v>1582</v>
      </c>
      <c r="G905" t="s">
        <v>1493</v>
      </c>
      <c r="I905" s="8">
        <v>10500</v>
      </c>
      <c r="J905" s="8">
        <v>1995</v>
      </c>
      <c r="K905" s="8">
        <v>12495</v>
      </c>
    </row>
    <row r="906" spans="1:11" x14ac:dyDescent="0.25">
      <c r="A906" t="s">
        <v>2298</v>
      </c>
      <c r="B906">
        <v>5</v>
      </c>
      <c r="C906" t="s">
        <v>584</v>
      </c>
      <c r="E906" t="s">
        <v>1582</v>
      </c>
      <c r="G906" t="s">
        <v>1493</v>
      </c>
      <c r="I906" s="8">
        <v>9100</v>
      </c>
      <c r="J906" s="8">
        <v>1729</v>
      </c>
      <c r="K906" s="8">
        <v>10829</v>
      </c>
    </row>
    <row r="907" spans="1:11" x14ac:dyDescent="0.25">
      <c r="A907" t="s">
        <v>2298</v>
      </c>
      <c r="B907">
        <v>10</v>
      </c>
      <c r="C907" t="s">
        <v>2301</v>
      </c>
      <c r="E907" t="s">
        <v>1582</v>
      </c>
      <c r="G907" t="s">
        <v>1493</v>
      </c>
      <c r="I907" s="8">
        <v>141400</v>
      </c>
      <c r="J907" s="8">
        <v>26866</v>
      </c>
      <c r="K907" s="8">
        <v>168266</v>
      </c>
    </row>
    <row r="908" spans="1:11" x14ac:dyDescent="0.25">
      <c r="A908" t="s">
        <v>2298</v>
      </c>
      <c r="B908">
        <v>10</v>
      </c>
      <c r="C908" t="s">
        <v>590</v>
      </c>
      <c r="E908" t="s">
        <v>1582</v>
      </c>
      <c r="G908" t="s">
        <v>1493</v>
      </c>
      <c r="I908" s="8">
        <v>4760</v>
      </c>
      <c r="J908" s="8">
        <v>904.4</v>
      </c>
      <c r="K908" s="8">
        <v>5664.4</v>
      </c>
    </row>
    <row r="909" spans="1:11" x14ac:dyDescent="0.25">
      <c r="A909" t="s">
        <v>2298</v>
      </c>
      <c r="B909">
        <v>10</v>
      </c>
      <c r="C909" t="s">
        <v>590</v>
      </c>
      <c r="E909" t="s">
        <v>1582</v>
      </c>
      <c r="G909" t="s">
        <v>1493</v>
      </c>
      <c r="I909" s="8">
        <v>28870</v>
      </c>
      <c r="J909" s="8">
        <v>5485.3</v>
      </c>
      <c r="K909" s="8">
        <v>34355.300000000003</v>
      </c>
    </row>
    <row r="910" spans="1:11" x14ac:dyDescent="0.25">
      <c r="A910" t="s">
        <v>2298</v>
      </c>
      <c r="B910">
        <v>5</v>
      </c>
      <c r="C910" t="s">
        <v>2077</v>
      </c>
      <c r="E910" t="s">
        <v>1582</v>
      </c>
      <c r="G910" t="s">
        <v>1493</v>
      </c>
      <c r="I910" s="8">
        <v>30950</v>
      </c>
      <c r="J910" s="8">
        <v>5880.5</v>
      </c>
      <c r="K910" s="8">
        <v>36830.5</v>
      </c>
    </row>
    <row r="911" spans="1:11" x14ac:dyDescent="0.25">
      <c r="A911" t="s">
        <v>2298</v>
      </c>
      <c r="B911">
        <v>5</v>
      </c>
      <c r="C911" t="s">
        <v>2080</v>
      </c>
      <c r="E911" t="s">
        <v>1582</v>
      </c>
      <c r="G911" t="s">
        <v>1493</v>
      </c>
      <c r="I911" s="8">
        <v>21975</v>
      </c>
      <c r="J911" s="8">
        <v>4175.25</v>
      </c>
      <c r="K911" s="8">
        <v>26150.25</v>
      </c>
    </row>
    <row r="912" spans="1:11" x14ac:dyDescent="0.25">
      <c r="A912" t="s">
        <v>2298</v>
      </c>
      <c r="B912">
        <v>3</v>
      </c>
      <c r="C912" t="s">
        <v>977</v>
      </c>
      <c r="E912" t="s">
        <v>1582</v>
      </c>
      <c r="G912" t="s">
        <v>1493</v>
      </c>
      <c r="I912" s="8">
        <v>8094</v>
      </c>
      <c r="J912" s="8">
        <v>1537.86</v>
      </c>
      <c r="K912" s="8">
        <v>9631.86</v>
      </c>
    </row>
    <row r="913" spans="1:11" x14ac:dyDescent="0.25">
      <c r="A913" t="s">
        <v>2298</v>
      </c>
      <c r="B913">
        <v>5</v>
      </c>
      <c r="C913" t="s">
        <v>2302</v>
      </c>
      <c r="E913" t="s">
        <v>1582</v>
      </c>
      <c r="G913" t="s">
        <v>1493</v>
      </c>
      <c r="I913" s="8">
        <v>6215</v>
      </c>
      <c r="J913" s="8">
        <v>1180.8499999999999</v>
      </c>
      <c r="K913" s="8">
        <v>7395.85</v>
      </c>
    </row>
    <row r="914" spans="1:11" x14ac:dyDescent="0.25">
      <c r="A914" t="s">
        <v>2298</v>
      </c>
      <c r="B914">
        <v>1</v>
      </c>
      <c r="C914" t="s">
        <v>830</v>
      </c>
      <c r="E914" t="s">
        <v>1582</v>
      </c>
      <c r="G914" t="s">
        <v>1493</v>
      </c>
      <c r="I914" s="8">
        <v>400</v>
      </c>
      <c r="J914" s="8">
        <v>76</v>
      </c>
      <c r="K914" s="8">
        <v>476</v>
      </c>
    </row>
    <row r="915" spans="1:11" x14ac:dyDescent="0.25">
      <c r="A915" t="s">
        <v>2298</v>
      </c>
      <c r="B915">
        <v>5</v>
      </c>
      <c r="C915" t="s">
        <v>2303</v>
      </c>
      <c r="E915" t="s">
        <v>1582</v>
      </c>
      <c r="G915" t="s">
        <v>1493</v>
      </c>
      <c r="I915" s="8">
        <v>23300</v>
      </c>
      <c r="J915" s="8">
        <v>4427</v>
      </c>
      <c r="K915" s="8">
        <v>27727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1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498</v>
      </c>
      <c r="B101" s="7">
        <v>9641505</v>
      </c>
      <c r="C101" s="7">
        <v>684312</v>
      </c>
      <c r="D101" s="7">
        <v>4907902</v>
      </c>
      <c r="E101" s="7">
        <v>7273854</v>
      </c>
      <c r="F101" s="7">
        <v>414309</v>
      </c>
      <c r="G101" s="7">
        <v>5879109</v>
      </c>
      <c r="H101" s="7">
        <v>25301336</v>
      </c>
      <c r="I101" s="7">
        <v>2092687</v>
      </c>
      <c r="J101" s="7">
        <v>28817580</v>
      </c>
      <c r="K101" s="7">
        <v>85012594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2026-08-27T16:07:17Z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