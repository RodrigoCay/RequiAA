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833D26C-DB1A-4641-AED8-6A5B64107EB5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Cotizaciones!$A$1:$N$740</definedName>
    <definedName name="DatosExternos_1" localSheetId="0" hidden="1">Detalle!$A$1:$N$984</definedName>
    <definedName name="DatosExternos_1" localSheetId="1" hidden="1">Requisiciones!$A$1:$P$685</definedName>
  </definedNames>
  <calcPr calcId="191028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<sst xmlns="http://schemas.openxmlformats.org/spreadsheetml/2006/main" count="17511" uniqueCount="2068">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</sst>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7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8.501442361114" createdVersion="8" refreshedVersion="6" minRefreshableVersion="3" recordCount="983" xr:uid="{CFCF1F21-8EFC-4C15-98EE-861C56BEE2F6}">
  <cacheSource type="worksheet">
    <worksheetSource name="_03_Ordenes_de_Compra"/>
  </cacheSource>
  <cacheFields count="16">
    <cacheField name="LLave" numFmtId="0">
      <sharedItems count="9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9_18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9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3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4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94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94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94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94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94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5" firstHeaderRow="1" firstDataRow="2" firstDataCol="1" rowPageCount="1" colPageCount="1"/>
  <pivotFields count="16">
    <pivotField axis="axisRow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x="9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9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84" tableType="queryTable" totalsRowShown="0">
  <autoFilter ref="A1:P984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85" tableType="queryTable" totalsRowShown="0">
  <autoFilter ref="A1:P685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40" tableType="queryTable" totalsRowShown="0">
  <autoFilter ref="A1:N740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3"/>
    <tableColumn id="8" xr3:uid="{ACD7121A-FEE7-4A0B-BFC8-9A4E695E6B60}" name="Valor Neto" dataDxfId="1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4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621</v>
      </c>
      <c r="B821" t="s">
        <v>622</v>
      </c>
      <c r="C821" t="s">
        <v>334</v>
      </c>
      <c r="D821">
        <v>89</v>
      </c>
      <c r="E821" t="s">
        <v>623</v>
      </c>
      <c r="F821">
        <v>2</v>
      </c>
      <c r="G821" s="1">
        <v>125966</v>
      </c>
      <c r="H821" s="1">
        <v>251933</v>
      </c>
    </row>
    <row r="822" spans="1:8" x14ac:dyDescent="0.25">
      <c r="A822" t="s">
        <v>628</v>
      </c>
      <c r="B822" t="s">
        <v>629</v>
      </c>
      <c r="C822" t="s">
        <v>630</v>
      </c>
      <c r="D822">
        <v>92</v>
      </c>
      <c r="E822" t="s">
        <v>631</v>
      </c>
      <c r="F822">
        <v>1</v>
      </c>
      <c r="G822" s="1">
        <v>370000</v>
      </c>
      <c r="H822" s="1">
        <v>370000</v>
      </c>
    </row>
    <row r="823" spans="1:8" x14ac:dyDescent="0.25">
      <c r="A823" t="s">
        <v>628</v>
      </c>
      <c r="B823" t="s">
        <v>629</v>
      </c>
      <c r="C823" t="s">
        <v>630</v>
      </c>
      <c r="D823">
        <v>92</v>
      </c>
      <c r="E823" t="s">
        <v>632</v>
      </c>
      <c r="F823">
        <v>1</v>
      </c>
      <c r="G823" s="1">
        <v>132890</v>
      </c>
      <c r="H823" s="1">
        <v>132890</v>
      </c>
    </row>
    <row r="824" spans="1:8" x14ac:dyDescent="0.25">
      <c r="A824" t="s">
        <v>628</v>
      </c>
      <c r="B824" t="s">
        <v>633</v>
      </c>
      <c r="C824" t="s">
        <v>634</v>
      </c>
      <c r="D824">
        <v>92</v>
      </c>
      <c r="E824" t="s">
        <v>635</v>
      </c>
      <c r="F824">
        <v>1</v>
      </c>
      <c r="G824" s="1">
        <v>29600</v>
      </c>
      <c r="H824" s="1">
        <v>29600</v>
      </c>
    </row>
    <row r="825" spans="1:8" x14ac:dyDescent="0.25">
      <c r="A825" t="s">
        <v>624</v>
      </c>
      <c r="B825" t="s">
        <v>625</v>
      </c>
      <c r="C825" t="s">
        <v>626</v>
      </c>
      <c r="D825">
        <v>94</v>
      </c>
      <c r="E825" t="s">
        <v>627</v>
      </c>
      <c r="F825">
        <v>1</v>
      </c>
      <c r="G825" s="1">
        <v>1050000</v>
      </c>
      <c r="H825" s="1">
        <v>1050000</v>
      </c>
    </row>
    <row r="826" spans="1:8" x14ac:dyDescent="0.25">
      <c r="A826" t="s">
        <v>636</v>
      </c>
      <c r="B826" t="s">
        <v>637</v>
      </c>
      <c r="C826" t="s">
        <v>338</v>
      </c>
      <c r="D826">
        <v>96</v>
      </c>
      <c r="E826" t="s">
        <v>638</v>
      </c>
      <c r="F826">
        <v>100</v>
      </c>
      <c r="G826" s="1">
        <v>1088</v>
      </c>
      <c r="H826" s="1">
        <v>108800</v>
      </c>
    </row>
    <row r="827" spans="1:8" x14ac:dyDescent="0.25">
      <c r="A827" t="s">
        <v>648</v>
      </c>
      <c r="B827" t="s">
        <v>649</v>
      </c>
      <c r="C827" t="s">
        <v>650</v>
      </c>
      <c r="D827">
        <v>98</v>
      </c>
      <c r="E827" t="s">
        <v>651</v>
      </c>
      <c r="F827">
        <v>10</v>
      </c>
      <c r="G827" s="1">
        <v>4193</v>
      </c>
      <c r="H827" s="1">
        <v>41930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1770</v>
      </c>
      <c r="F828">
        <v>5</v>
      </c>
      <c r="G828" s="1">
        <v>54918</v>
      </c>
      <c r="H828" s="1">
        <v>274588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1764</v>
      </c>
      <c r="F829">
        <v>5</v>
      </c>
      <c r="G829" s="1">
        <v>13941</v>
      </c>
      <c r="H829" s="1">
        <v>69705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1772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1843</v>
      </c>
      <c r="C831" t="s">
        <v>1844</v>
      </c>
      <c r="D831">
        <v>99</v>
      </c>
      <c r="E831" t="s">
        <v>692</v>
      </c>
      <c r="F831">
        <v>4</v>
      </c>
      <c r="G831" s="1">
        <v>54494</v>
      </c>
      <c r="H831" s="1">
        <v>217976</v>
      </c>
    </row>
    <row r="832" spans="1:8" x14ac:dyDescent="0.25">
      <c r="A832" t="s">
        <v>1411</v>
      </c>
      <c r="B832" t="s">
        <v>1841</v>
      </c>
      <c r="C832" t="s">
        <v>450</v>
      </c>
      <c r="D832">
        <v>99</v>
      </c>
      <c r="E832" t="s">
        <v>1751</v>
      </c>
      <c r="F832">
        <v>1</v>
      </c>
      <c r="G832" s="1">
        <v>45756</v>
      </c>
      <c r="H832" s="1">
        <v>45756</v>
      </c>
    </row>
    <row r="833" spans="1:8" x14ac:dyDescent="0.25">
      <c r="A833" t="s">
        <v>1411</v>
      </c>
      <c r="B833" t="s">
        <v>1841</v>
      </c>
      <c r="C833" t="s">
        <v>450</v>
      </c>
      <c r="D833">
        <v>99</v>
      </c>
      <c r="E833" t="s">
        <v>212</v>
      </c>
      <c r="F833">
        <v>3</v>
      </c>
      <c r="G833" s="1">
        <v>33286</v>
      </c>
      <c r="H833" s="1">
        <v>99858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1771</v>
      </c>
      <c r="F834">
        <v>1</v>
      </c>
      <c r="G834" s="1">
        <v>32725</v>
      </c>
      <c r="H834" s="1">
        <v>32725</v>
      </c>
    </row>
    <row r="835" spans="1:8" x14ac:dyDescent="0.25">
      <c r="A835" t="s">
        <v>1411</v>
      </c>
      <c r="B835" t="s">
        <v>1845</v>
      </c>
      <c r="C835" t="s">
        <v>442</v>
      </c>
      <c r="D835">
        <v>99</v>
      </c>
      <c r="E835" t="s">
        <v>1767</v>
      </c>
      <c r="F835">
        <v>5</v>
      </c>
      <c r="G835" s="1">
        <v>13495</v>
      </c>
      <c r="H835" s="1">
        <v>67473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1766</v>
      </c>
      <c r="F836">
        <v>5</v>
      </c>
      <c r="G836" s="1">
        <v>7740</v>
      </c>
      <c r="H836" s="1">
        <v>38700</v>
      </c>
    </row>
    <row r="837" spans="1:8" x14ac:dyDescent="0.25">
      <c r="A837" t="s">
        <v>1411</v>
      </c>
      <c r="B837" t="s">
        <v>1845</v>
      </c>
      <c r="C837" t="s">
        <v>442</v>
      </c>
      <c r="D837">
        <v>99</v>
      </c>
      <c r="E837" t="s">
        <v>1765</v>
      </c>
      <c r="F837">
        <v>5</v>
      </c>
      <c r="G837" s="1">
        <v>47055</v>
      </c>
      <c r="H837" s="1">
        <v>235275</v>
      </c>
    </row>
    <row r="838" spans="1:8" x14ac:dyDescent="0.25">
      <c r="A838" t="s">
        <v>1411</v>
      </c>
      <c r="B838" t="s">
        <v>1842</v>
      </c>
      <c r="C838" t="s">
        <v>416</v>
      </c>
      <c r="D838">
        <v>99</v>
      </c>
      <c r="E838" t="s">
        <v>1846</v>
      </c>
      <c r="F838">
        <v>16</v>
      </c>
      <c r="G838" s="1">
        <v>4675</v>
      </c>
      <c r="H838" s="1">
        <v>74800</v>
      </c>
    </row>
    <row r="839" spans="1:8" x14ac:dyDescent="0.25">
      <c r="A839" t="s">
        <v>1411</v>
      </c>
      <c r="B839" t="s">
        <v>1842</v>
      </c>
      <c r="C839" t="s">
        <v>416</v>
      </c>
      <c r="D839">
        <v>99</v>
      </c>
      <c r="E839" t="s">
        <v>1763</v>
      </c>
      <c r="F839">
        <v>1</v>
      </c>
      <c r="G839" s="1">
        <v>7559</v>
      </c>
      <c r="H839" s="1">
        <v>7559</v>
      </c>
    </row>
    <row r="840" spans="1:8" x14ac:dyDescent="0.25">
      <c r="A840" t="s">
        <v>1411</v>
      </c>
      <c r="B840" t="s">
        <v>1845</v>
      </c>
      <c r="C840" t="s">
        <v>442</v>
      </c>
      <c r="D840">
        <v>99</v>
      </c>
      <c r="E840" t="s">
        <v>1769</v>
      </c>
      <c r="F840">
        <v>10</v>
      </c>
      <c r="G840" s="1">
        <v>2059</v>
      </c>
      <c r="H840" s="1">
        <v>20586</v>
      </c>
    </row>
    <row r="841" spans="1:8" x14ac:dyDescent="0.25">
      <c r="A841" t="s">
        <v>652</v>
      </c>
      <c r="B841" t="s">
        <v>653</v>
      </c>
      <c r="C841" t="s">
        <v>382</v>
      </c>
      <c r="D841">
        <v>100</v>
      </c>
      <c r="E841" t="s">
        <v>654</v>
      </c>
      <c r="F841">
        <v>1</v>
      </c>
      <c r="G841" s="1">
        <v>15966</v>
      </c>
      <c r="H841" s="1">
        <v>15966</v>
      </c>
    </row>
    <row r="842" spans="1:8" x14ac:dyDescent="0.25">
      <c r="A842" t="s">
        <v>652</v>
      </c>
      <c r="B842" t="s">
        <v>653</v>
      </c>
      <c r="C842" t="s">
        <v>382</v>
      </c>
      <c r="D842">
        <v>100</v>
      </c>
      <c r="E842" t="s">
        <v>655</v>
      </c>
      <c r="F842">
        <v>1</v>
      </c>
      <c r="G842" s="1">
        <v>15967</v>
      </c>
      <c r="H842" s="1">
        <v>15967</v>
      </c>
    </row>
    <row r="843" spans="1:8" x14ac:dyDescent="0.25">
      <c r="A843" t="s">
        <v>652</v>
      </c>
      <c r="B843" t="s">
        <v>653</v>
      </c>
      <c r="C843" t="s">
        <v>382</v>
      </c>
      <c r="D843">
        <v>100</v>
      </c>
      <c r="E843" t="s">
        <v>656</v>
      </c>
      <c r="F843">
        <v>1</v>
      </c>
      <c r="G843" s="1">
        <v>418487</v>
      </c>
      <c r="H843" s="1">
        <v>418487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1433</v>
      </c>
      <c r="F844">
        <v>4</v>
      </c>
      <c r="G844" s="1">
        <v>12500</v>
      </c>
      <c r="H844" s="1">
        <v>50000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1431</v>
      </c>
      <c r="F845">
        <v>3</v>
      </c>
      <c r="G845" s="1">
        <v>12500</v>
      </c>
      <c r="H845" s="1">
        <v>37500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1435</v>
      </c>
      <c r="F846">
        <v>5</v>
      </c>
      <c r="G846" s="1">
        <v>12500</v>
      </c>
      <c r="H846" s="1">
        <v>62500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1438</v>
      </c>
      <c r="F847">
        <v>4</v>
      </c>
      <c r="G847" s="1">
        <v>12500</v>
      </c>
      <c r="H847" s="1">
        <v>50000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1437</v>
      </c>
      <c r="F848">
        <v>5</v>
      </c>
      <c r="G848" s="1">
        <v>12500</v>
      </c>
      <c r="H848" s="1">
        <v>62500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1429</v>
      </c>
      <c r="F849">
        <v>48</v>
      </c>
      <c r="G849" s="1">
        <v>1585</v>
      </c>
      <c r="H849" s="1">
        <v>76080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1419</v>
      </c>
      <c r="F850">
        <v>24</v>
      </c>
      <c r="G850" s="1">
        <v>890</v>
      </c>
      <c r="H850" s="1">
        <v>21360</v>
      </c>
    </row>
    <row r="851" spans="1:8" x14ac:dyDescent="0.25">
      <c r="A851" t="s">
        <v>1418</v>
      </c>
      <c r="B851" t="s">
        <v>1847</v>
      </c>
      <c r="C851" t="s">
        <v>1848</v>
      </c>
      <c r="D851">
        <v>101</v>
      </c>
      <c r="E851" t="s">
        <v>1419</v>
      </c>
      <c r="F851">
        <v>24</v>
      </c>
      <c r="G851" s="1">
        <v>890</v>
      </c>
      <c r="H851" s="1">
        <v>21360</v>
      </c>
    </row>
    <row r="852" spans="1:8" x14ac:dyDescent="0.25">
      <c r="A852" t="s">
        <v>1418</v>
      </c>
      <c r="B852" t="s">
        <v>1847</v>
      </c>
      <c r="C852" t="s">
        <v>1848</v>
      </c>
      <c r="D852">
        <v>101</v>
      </c>
      <c r="E852" t="s">
        <v>1423</v>
      </c>
      <c r="F852">
        <v>48</v>
      </c>
      <c r="G852" s="1">
        <v>380</v>
      </c>
      <c r="H852" s="1">
        <v>18240</v>
      </c>
    </row>
    <row r="853" spans="1:8" x14ac:dyDescent="0.25">
      <c r="A853" t="s">
        <v>1418</v>
      </c>
      <c r="B853" t="s">
        <v>1847</v>
      </c>
      <c r="C853" t="s">
        <v>1848</v>
      </c>
      <c r="D853">
        <v>101</v>
      </c>
      <c r="E853" t="s">
        <v>1426</v>
      </c>
      <c r="F853">
        <v>24</v>
      </c>
      <c r="G853" s="1">
        <v>980</v>
      </c>
      <c r="H853" s="1">
        <v>23520</v>
      </c>
    </row>
    <row r="854" spans="1:8" x14ac:dyDescent="0.25">
      <c r="A854" t="s">
        <v>1418</v>
      </c>
      <c r="B854" t="s">
        <v>1847</v>
      </c>
      <c r="C854" t="s">
        <v>1848</v>
      </c>
      <c r="D854">
        <v>101</v>
      </c>
      <c r="E854" t="s">
        <v>1328</v>
      </c>
      <c r="F854">
        <v>24</v>
      </c>
      <c r="G854" s="1">
        <v>980</v>
      </c>
      <c r="H854" s="1">
        <v>23520</v>
      </c>
    </row>
    <row r="855" spans="1:8" x14ac:dyDescent="0.25">
      <c r="A855" t="s">
        <v>1439</v>
      </c>
      <c r="B855" t="s">
        <v>1911</v>
      </c>
      <c r="C855" t="s">
        <v>1912</v>
      </c>
      <c r="D855">
        <v>102</v>
      </c>
      <c r="E855" t="s">
        <v>1913</v>
      </c>
      <c r="F855">
        <v>1</v>
      </c>
      <c r="G855" s="1">
        <v>663866</v>
      </c>
      <c r="H855" s="1">
        <v>663866</v>
      </c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1450</v>
      </c>
      <c r="F856">
        <v>1</v>
      </c>
      <c r="G856" s="1"/>
      <c r="H856" s="1"/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1451</v>
      </c>
      <c r="F857">
        <v>1</v>
      </c>
      <c r="G857" s="1"/>
      <c r="H857" s="1"/>
    </row>
    <row r="858" spans="1:8" x14ac:dyDescent="0.25">
      <c r="A858" t="s">
        <v>1443</v>
      </c>
      <c r="B858" t="s">
        <v>1914</v>
      </c>
      <c r="C858" t="s">
        <v>353</v>
      </c>
      <c r="D858">
        <v>103</v>
      </c>
      <c r="E858" t="s">
        <v>1452</v>
      </c>
      <c r="F858">
        <v>1</v>
      </c>
      <c r="G858" s="1"/>
      <c r="H858" s="1"/>
    </row>
    <row r="859" spans="1:8" x14ac:dyDescent="0.25">
      <c r="A859" t="s">
        <v>1443</v>
      </c>
      <c r="B859" t="s">
        <v>1914</v>
      </c>
      <c r="C859" t="s">
        <v>353</v>
      </c>
      <c r="D859">
        <v>103</v>
      </c>
      <c r="E859" t="s">
        <v>1444</v>
      </c>
      <c r="F859">
        <v>3</v>
      </c>
      <c r="G859" s="1"/>
      <c r="H859" s="1"/>
    </row>
    <row r="860" spans="1:8" x14ac:dyDescent="0.25">
      <c r="A860" t="s">
        <v>1443</v>
      </c>
      <c r="B860" t="s">
        <v>1914</v>
      </c>
      <c r="C860" t="s">
        <v>353</v>
      </c>
      <c r="D860">
        <v>103</v>
      </c>
      <c r="E860" t="s">
        <v>1447</v>
      </c>
      <c r="F860">
        <v>1</v>
      </c>
      <c r="G860" s="1">
        <v>1396700</v>
      </c>
      <c r="H860" s="1">
        <v>1396700</v>
      </c>
    </row>
    <row r="861" spans="1:8" x14ac:dyDescent="0.25">
      <c r="A861" t="s">
        <v>1443</v>
      </c>
      <c r="B861" t="s">
        <v>1914</v>
      </c>
      <c r="C861" t="s">
        <v>353</v>
      </c>
      <c r="D861">
        <v>103</v>
      </c>
      <c r="E861" t="s">
        <v>1449</v>
      </c>
      <c r="F861">
        <v>3</v>
      </c>
      <c r="G861" s="1"/>
      <c r="H861" s="1"/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1852</v>
      </c>
      <c r="F862">
        <v>1</v>
      </c>
      <c r="G862" s="1">
        <v>6800</v>
      </c>
      <c r="H862" s="1">
        <v>6800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1852</v>
      </c>
      <c r="F863">
        <v>1</v>
      </c>
      <c r="G863" s="1">
        <v>6800</v>
      </c>
      <c r="H863" s="1">
        <v>6800</v>
      </c>
    </row>
    <row r="864" spans="1:8" x14ac:dyDescent="0.25">
      <c r="A864" t="s">
        <v>1453</v>
      </c>
      <c r="B864" t="s">
        <v>1860</v>
      </c>
      <c r="C864" t="s">
        <v>1861</v>
      </c>
      <c r="D864">
        <v>104</v>
      </c>
      <c r="E864" t="s">
        <v>1853</v>
      </c>
      <c r="F864">
        <v>1</v>
      </c>
      <c r="G864" s="1">
        <v>6800</v>
      </c>
      <c r="H864" s="1">
        <v>6800</v>
      </c>
    </row>
    <row r="865" spans="1:8" x14ac:dyDescent="0.25">
      <c r="A865" t="s">
        <v>1453</v>
      </c>
      <c r="B865" t="s">
        <v>1860</v>
      </c>
      <c r="C865" t="s">
        <v>1861</v>
      </c>
      <c r="D865">
        <v>104</v>
      </c>
      <c r="E865" t="s">
        <v>1849</v>
      </c>
      <c r="F865">
        <v>1</v>
      </c>
      <c r="G865" s="1">
        <v>13500</v>
      </c>
      <c r="H865" s="1">
        <v>13500</v>
      </c>
    </row>
    <row r="866" spans="1:8" x14ac:dyDescent="0.25">
      <c r="A866" t="s">
        <v>1453</v>
      </c>
      <c r="B866" t="s">
        <v>1860</v>
      </c>
      <c r="C866" t="s">
        <v>1861</v>
      </c>
      <c r="D866">
        <v>104</v>
      </c>
      <c r="E866" t="s">
        <v>1850</v>
      </c>
      <c r="F866">
        <v>1</v>
      </c>
      <c r="G866" s="1">
        <v>13500</v>
      </c>
      <c r="H866" s="1">
        <v>13500</v>
      </c>
    </row>
    <row r="867" spans="1:8" x14ac:dyDescent="0.25">
      <c r="A867" t="s">
        <v>1453</v>
      </c>
      <c r="B867" t="s">
        <v>1860</v>
      </c>
      <c r="C867" t="s">
        <v>1861</v>
      </c>
      <c r="D867">
        <v>104</v>
      </c>
      <c r="E867" t="s">
        <v>1851</v>
      </c>
      <c r="F867">
        <v>1</v>
      </c>
      <c r="G867" s="1">
        <v>13500</v>
      </c>
      <c r="H867" s="1">
        <v>13500</v>
      </c>
    </row>
    <row r="868" spans="1:8" x14ac:dyDescent="0.25">
      <c r="A868" t="s">
        <v>1460</v>
      </c>
      <c r="B868" t="s">
        <v>1915</v>
      </c>
      <c r="C868" t="s">
        <v>367</v>
      </c>
      <c r="D868">
        <v>105</v>
      </c>
      <c r="E868" t="s">
        <v>1779</v>
      </c>
      <c r="F868">
        <v>1</v>
      </c>
      <c r="G868" s="1">
        <v>176454</v>
      </c>
      <c r="H868" s="1">
        <v>176454</v>
      </c>
    </row>
    <row r="869" spans="1:8" x14ac:dyDescent="0.25">
      <c r="A869" t="s">
        <v>1460</v>
      </c>
      <c r="B869" t="s">
        <v>1915</v>
      </c>
      <c r="C869" t="s">
        <v>367</v>
      </c>
      <c r="D869">
        <v>105</v>
      </c>
      <c r="E869" t="s">
        <v>1304</v>
      </c>
      <c r="F869">
        <v>1</v>
      </c>
      <c r="G869" s="1">
        <v>120966</v>
      </c>
      <c r="H869" s="1">
        <v>120966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1959</v>
      </c>
      <c r="F870">
        <v>3</v>
      </c>
      <c r="G870" s="1">
        <v>21930</v>
      </c>
      <c r="H870" s="1">
        <v>65790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1960</v>
      </c>
      <c r="F871">
        <v>2</v>
      </c>
      <c r="G871" s="1">
        <v>21930</v>
      </c>
      <c r="H871" s="1">
        <v>43860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1961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1962</v>
      </c>
      <c r="F873">
        <v>3</v>
      </c>
      <c r="G873" s="1">
        <v>21930</v>
      </c>
      <c r="H873" s="1">
        <v>65790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1963</v>
      </c>
      <c r="F874">
        <v>1</v>
      </c>
      <c r="G874" s="1">
        <v>30990</v>
      </c>
      <c r="H874" s="1">
        <v>30990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1964</v>
      </c>
      <c r="F875">
        <v>1</v>
      </c>
      <c r="G875" s="1">
        <v>15980</v>
      </c>
      <c r="H875" s="1">
        <v>15980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1965</v>
      </c>
      <c r="F876">
        <v>1</v>
      </c>
      <c r="G876" s="1">
        <v>21930</v>
      </c>
      <c r="H876" s="1">
        <v>21930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1966</v>
      </c>
      <c r="F877">
        <v>1</v>
      </c>
      <c r="G877" s="1">
        <v>30990</v>
      </c>
      <c r="H877" s="1">
        <v>30990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1967</v>
      </c>
      <c r="F878">
        <v>1</v>
      </c>
      <c r="G878" s="1">
        <v>13690</v>
      </c>
      <c r="H878" s="1">
        <v>13690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1968</v>
      </c>
      <c r="F879">
        <v>1</v>
      </c>
      <c r="G879" s="1">
        <v>13690</v>
      </c>
      <c r="H879" s="1">
        <v>13690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1969</v>
      </c>
      <c r="F880">
        <v>1</v>
      </c>
      <c r="G880" s="1">
        <v>13690</v>
      </c>
      <c r="H880" s="1">
        <v>13690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1970</v>
      </c>
      <c r="F881">
        <v>1</v>
      </c>
      <c r="G881" s="1">
        <v>13690</v>
      </c>
      <c r="H881" s="1">
        <v>13690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1971</v>
      </c>
      <c r="F882">
        <v>2</v>
      </c>
      <c r="G882" s="1">
        <v>3640</v>
      </c>
      <c r="H882" s="1">
        <v>7280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1972</v>
      </c>
      <c r="F883">
        <v>1</v>
      </c>
      <c r="G883" s="1">
        <v>3640</v>
      </c>
      <c r="H883" s="1">
        <v>3640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1973</v>
      </c>
      <c r="F884">
        <v>10</v>
      </c>
      <c r="G884" s="1">
        <v>124</v>
      </c>
      <c r="H884" s="1">
        <v>1240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1974</v>
      </c>
      <c r="F885">
        <v>1</v>
      </c>
      <c r="G885" s="1">
        <v>3640</v>
      </c>
      <c r="H885" s="1">
        <v>3640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1975</v>
      </c>
      <c r="F886">
        <v>2</v>
      </c>
      <c r="G886" s="1">
        <v>29990</v>
      </c>
      <c r="H886" s="1">
        <v>59980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1976</v>
      </c>
      <c r="F887">
        <v>1</v>
      </c>
      <c r="G887" s="1">
        <v>29990</v>
      </c>
      <c r="H887" s="1">
        <v>29990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1977</v>
      </c>
      <c r="F888">
        <v>1</v>
      </c>
      <c r="G888" s="1">
        <v>36470</v>
      </c>
      <c r="H888" s="1">
        <v>36470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1978</v>
      </c>
      <c r="F889">
        <v>5</v>
      </c>
      <c r="G889" s="1">
        <v>17901</v>
      </c>
      <c r="H889" s="1">
        <v>89505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1979</v>
      </c>
      <c r="F890">
        <v>3</v>
      </c>
      <c r="G890" s="1">
        <v>5950</v>
      </c>
      <c r="H890" s="1">
        <v>17850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1980</v>
      </c>
      <c r="F891">
        <v>5</v>
      </c>
      <c r="G891" s="1">
        <v>185</v>
      </c>
      <c r="H891" s="1">
        <v>925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1981</v>
      </c>
      <c r="F892">
        <v>1</v>
      </c>
      <c r="G892" s="1">
        <v>5950</v>
      </c>
      <c r="H892" s="1">
        <v>5950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1982</v>
      </c>
      <c r="F893">
        <v>3</v>
      </c>
      <c r="G893" s="1">
        <v>5950</v>
      </c>
      <c r="H893" s="1">
        <v>17850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1983</v>
      </c>
      <c r="F894">
        <v>1</v>
      </c>
      <c r="G894" s="1">
        <v>3060</v>
      </c>
      <c r="H894" s="1">
        <v>3060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1984</v>
      </c>
      <c r="F895">
        <v>9</v>
      </c>
      <c r="G895" s="1">
        <v>530</v>
      </c>
      <c r="H895" s="1">
        <v>4770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1985</v>
      </c>
      <c r="F896">
        <v>2</v>
      </c>
      <c r="G896" s="1">
        <v>15980</v>
      </c>
      <c r="H896" s="1">
        <v>31960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1986</v>
      </c>
      <c r="F897">
        <v>2</v>
      </c>
      <c r="G897" s="1">
        <v>15980</v>
      </c>
      <c r="H897" s="1">
        <v>31960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1987</v>
      </c>
      <c r="F898">
        <v>1</v>
      </c>
      <c r="G898" s="1">
        <v>4490</v>
      </c>
      <c r="H898" s="1">
        <v>4490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1988</v>
      </c>
      <c r="F899">
        <v>1</v>
      </c>
      <c r="G899" s="1">
        <v>36470</v>
      </c>
      <c r="H899" s="1">
        <v>36470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1989</v>
      </c>
      <c r="F900">
        <v>1</v>
      </c>
      <c r="G900" s="1">
        <v>4490</v>
      </c>
      <c r="H900" s="1">
        <v>4490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1990</v>
      </c>
      <c r="F901">
        <v>2</v>
      </c>
      <c r="G901" s="1">
        <v>4490</v>
      </c>
      <c r="H901" s="1">
        <v>8980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1992</v>
      </c>
      <c r="F902">
        <v>1</v>
      </c>
      <c r="G902" s="1">
        <v>21930</v>
      </c>
      <c r="H902" s="1">
        <v>21930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1993</v>
      </c>
      <c r="F903">
        <v>2</v>
      </c>
      <c r="G903" s="1">
        <v>21930</v>
      </c>
      <c r="H903" s="1">
        <v>43860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1994</v>
      </c>
      <c r="F904">
        <v>6</v>
      </c>
      <c r="G904" s="1">
        <v>5780</v>
      </c>
      <c r="H904" s="1">
        <v>34680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1995</v>
      </c>
      <c r="F905">
        <v>2</v>
      </c>
      <c r="G905" s="1">
        <v>5780</v>
      </c>
      <c r="H905" s="1">
        <v>11560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1996</v>
      </c>
      <c r="F906">
        <v>6</v>
      </c>
      <c r="G906" s="1">
        <v>5780</v>
      </c>
      <c r="H906" s="1">
        <v>34680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1997</v>
      </c>
      <c r="F907">
        <v>2</v>
      </c>
      <c r="G907" s="1">
        <v>32725</v>
      </c>
      <c r="H907" s="1">
        <v>65450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1998</v>
      </c>
      <c r="F908">
        <v>2</v>
      </c>
      <c r="G908" s="1">
        <v>19975</v>
      </c>
      <c r="H908" s="1">
        <v>39950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1999</v>
      </c>
      <c r="F909">
        <v>1</v>
      </c>
      <c r="G909" s="1">
        <v>32725</v>
      </c>
      <c r="H909" s="1">
        <v>32725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1959</v>
      </c>
      <c r="F910">
        <v>4</v>
      </c>
      <c r="G910" s="1">
        <v>21930</v>
      </c>
      <c r="H910" s="1">
        <v>87720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1960</v>
      </c>
      <c r="F911">
        <v>5</v>
      </c>
      <c r="G911" s="1">
        <v>21930</v>
      </c>
      <c r="H911" s="1">
        <v>109650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2000</v>
      </c>
      <c r="F912">
        <v>11</v>
      </c>
      <c r="G912" s="1">
        <v>251</v>
      </c>
      <c r="H912" s="1">
        <v>2761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2001</v>
      </c>
      <c r="F913">
        <v>1</v>
      </c>
      <c r="G913" s="1">
        <v>4973</v>
      </c>
      <c r="H913" s="1">
        <v>4973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2002</v>
      </c>
      <c r="F914">
        <v>3</v>
      </c>
      <c r="G914" s="1">
        <v>13685</v>
      </c>
      <c r="H914" s="1">
        <v>41055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2003</v>
      </c>
      <c r="F915">
        <v>2</v>
      </c>
      <c r="G915" s="1">
        <v>13685</v>
      </c>
      <c r="H915" s="1">
        <v>27370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2004</v>
      </c>
      <c r="F916">
        <v>5</v>
      </c>
      <c r="G916" s="1">
        <v>13685</v>
      </c>
      <c r="H916" s="1">
        <v>68425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2005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2006</v>
      </c>
      <c r="F918">
        <v>1</v>
      </c>
      <c r="G918" s="1">
        <v>5780</v>
      </c>
      <c r="H918" s="1">
        <v>5780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2007</v>
      </c>
      <c r="F919">
        <v>4</v>
      </c>
      <c r="G919" s="1">
        <v>5185</v>
      </c>
      <c r="H919" s="1">
        <v>20740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2008</v>
      </c>
      <c r="F920">
        <v>2</v>
      </c>
      <c r="G920" s="1">
        <v>4973</v>
      </c>
      <c r="H920" s="1">
        <v>9946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2009</v>
      </c>
      <c r="F921">
        <v>2</v>
      </c>
      <c r="G921" s="1">
        <v>5185</v>
      </c>
      <c r="H921" s="1">
        <v>10370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2010</v>
      </c>
      <c r="F922">
        <v>1</v>
      </c>
      <c r="G922" s="1">
        <v>5950</v>
      </c>
      <c r="H922" s="1">
        <v>5950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2011</v>
      </c>
      <c r="F923">
        <v>2</v>
      </c>
      <c r="G923" s="1">
        <v>5950</v>
      </c>
      <c r="H923" s="1">
        <v>11900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2012</v>
      </c>
      <c r="F924">
        <v>2</v>
      </c>
      <c r="G924" s="1">
        <v>32725</v>
      </c>
      <c r="H924" s="1">
        <v>65450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2013</v>
      </c>
      <c r="F925">
        <v>11</v>
      </c>
      <c r="G925" s="1">
        <v>17901</v>
      </c>
      <c r="H925" s="1">
        <v>196911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2014</v>
      </c>
      <c r="F926">
        <v>1</v>
      </c>
      <c r="G926" s="1">
        <v>32725</v>
      </c>
      <c r="H926" s="1">
        <v>32725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2015</v>
      </c>
      <c r="F927">
        <v>1</v>
      </c>
      <c r="G927" s="1">
        <v>5950</v>
      </c>
      <c r="H927" s="1">
        <v>5950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2016</v>
      </c>
      <c r="F928">
        <v>8</v>
      </c>
      <c r="G928" s="1">
        <v>270</v>
      </c>
      <c r="H928" s="1">
        <v>2160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2017</v>
      </c>
      <c r="F929">
        <v>3</v>
      </c>
      <c r="G929" s="1">
        <v>5950</v>
      </c>
      <c r="H929" s="1">
        <v>17850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2018</v>
      </c>
      <c r="F930">
        <v>4</v>
      </c>
      <c r="G930" s="1">
        <v>5950</v>
      </c>
      <c r="H930" s="1">
        <v>23800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2019</v>
      </c>
      <c r="F931">
        <v>2</v>
      </c>
      <c r="G931" s="1">
        <v>5950</v>
      </c>
      <c r="H931" s="1">
        <v>11900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2020</v>
      </c>
      <c r="F932">
        <v>5</v>
      </c>
      <c r="G932" s="1">
        <v>3060</v>
      </c>
      <c r="H932" s="1">
        <v>15300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2021</v>
      </c>
      <c r="F933">
        <v>1</v>
      </c>
      <c r="G933" s="1">
        <v>4488</v>
      </c>
      <c r="H933" s="1">
        <v>4488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2022</v>
      </c>
      <c r="F934">
        <v>5</v>
      </c>
      <c r="G934" s="1">
        <v>19975</v>
      </c>
      <c r="H934" s="1">
        <v>99875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2023</v>
      </c>
      <c r="F935">
        <v>2</v>
      </c>
      <c r="G935" s="1">
        <v>19975</v>
      </c>
      <c r="H935" s="1">
        <v>39950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2024</v>
      </c>
      <c r="F936">
        <v>3</v>
      </c>
      <c r="G936" s="1">
        <v>19975</v>
      </c>
      <c r="H936" s="1">
        <v>59925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2025</v>
      </c>
      <c r="F937">
        <v>1</v>
      </c>
      <c r="G937" s="1">
        <v>36465</v>
      </c>
      <c r="H937" s="1">
        <v>36465</v>
      </c>
    </row>
    <row r="938" spans="1:8" x14ac:dyDescent="0.25">
      <c r="A938" t="s">
        <v>1819</v>
      </c>
      <c r="B938" t="s">
        <v>1991</v>
      </c>
      <c r="C938" t="s">
        <v>361</v>
      </c>
      <c r="D938">
        <v>107</v>
      </c>
      <c r="E938" t="s">
        <v>2026</v>
      </c>
      <c r="F938">
        <v>2</v>
      </c>
      <c r="G938" s="1">
        <v>36465</v>
      </c>
      <c r="H938" s="1">
        <v>72930</v>
      </c>
    </row>
    <row r="939" spans="1:8" x14ac:dyDescent="0.25">
      <c r="A939" t="s">
        <v>1819</v>
      </c>
      <c r="B939" t="s">
        <v>1991</v>
      </c>
      <c r="C939" t="s">
        <v>361</v>
      </c>
      <c r="D939">
        <v>107</v>
      </c>
      <c r="E939" t="s">
        <v>2027</v>
      </c>
      <c r="F939">
        <v>2</v>
      </c>
      <c r="G939" s="1">
        <v>4488</v>
      </c>
      <c r="H939" s="1">
        <v>8976</v>
      </c>
    </row>
    <row r="940" spans="1:8" x14ac:dyDescent="0.25">
      <c r="A940" t="s">
        <v>1819</v>
      </c>
      <c r="B940" t="s">
        <v>1991</v>
      </c>
      <c r="C940" t="s">
        <v>361</v>
      </c>
      <c r="D940">
        <v>107</v>
      </c>
      <c r="E940" t="s">
        <v>2028</v>
      </c>
      <c r="F940">
        <v>1</v>
      </c>
      <c r="G940" s="1">
        <v>4488</v>
      </c>
      <c r="H940" s="1">
        <v>4488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2029</v>
      </c>
      <c r="F941">
        <v>1</v>
      </c>
      <c r="G941" s="1">
        <v>4488</v>
      </c>
      <c r="H941" s="1">
        <v>4488</v>
      </c>
    </row>
    <row r="942" spans="1:8" x14ac:dyDescent="0.25">
      <c r="A942" t="s">
        <v>1854</v>
      </c>
      <c r="B942" t="s">
        <v>1862</v>
      </c>
      <c r="C942" t="s">
        <v>1863</v>
      </c>
      <c r="D942">
        <v>109</v>
      </c>
      <c r="E942" t="s">
        <v>1855</v>
      </c>
      <c r="F942">
        <v>1</v>
      </c>
      <c r="G942" s="1">
        <v>102513</v>
      </c>
      <c r="H942" s="1">
        <v>102513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1871</v>
      </c>
      <c r="F943">
        <v>8</v>
      </c>
      <c r="G943" s="1">
        <v>110282</v>
      </c>
      <c r="H943" s="1">
        <v>882256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1872</v>
      </c>
      <c r="F944">
        <v>3</v>
      </c>
      <c r="G944" s="1">
        <v>36761</v>
      </c>
      <c r="H944" s="1">
        <v>110283</v>
      </c>
    </row>
    <row r="945" spans="1:8" x14ac:dyDescent="0.25">
      <c r="A945" t="s">
        <v>1864</v>
      </c>
      <c r="B945" t="s">
        <v>2030</v>
      </c>
      <c r="C945" t="s">
        <v>371</v>
      </c>
      <c r="D945">
        <v>110</v>
      </c>
      <c r="E945" t="s">
        <v>1874</v>
      </c>
      <c r="F945">
        <v>3</v>
      </c>
      <c r="G945" s="1">
        <v>20586</v>
      </c>
      <c r="H945" s="1">
        <v>61758</v>
      </c>
    </row>
    <row r="946" spans="1:8" x14ac:dyDescent="0.25">
      <c r="A946" t="s">
        <v>1864</v>
      </c>
      <c r="B946" t="s">
        <v>2030</v>
      </c>
      <c r="C946" t="s">
        <v>371</v>
      </c>
      <c r="D946">
        <v>110</v>
      </c>
      <c r="E946" t="s">
        <v>874</v>
      </c>
      <c r="F946">
        <v>2</v>
      </c>
      <c r="G946" s="1">
        <v>36761</v>
      </c>
      <c r="H946" s="1">
        <v>73522</v>
      </c>
    </row>
    <row r="947" spans="1:8" x14ac:dyDescent="0.25">
      <c r="A947" t="s">
        <v>1864</v>
      </c>
      <c r="B947" t="s">
        <v>2030</v>
      </c>
      <c r="C947" t="s">
        <v>371</v>
      </c>
      <c r="D947">
        <v>110</v>
      </c>
      <c r="E947" t="s">
        <v>1867</v>
      </c>
      <c r="F947">
        <v>2</v>
      </c>
      <c r="G947" s="1">
        <v>20586</v>
      </c>
      <c r="H947" s="1">
        <v>41172</v>
      </c>
    </row>
    <row r="948" spans="1:8" x14ac:dyDescent="0.25">
      <c r="A948" t="s">
        <v>1864</v>
      </c>
      <c r="B948" t="s">
        <v>2030</v>
      </c>
      <c r="C948" t="s">
        <v>371</v>
      </c>
      <c r="D948">
        <v>110</v>
      </c>
      <c r="E948" t="s">
        <v>1869</v>
      </c>
      <c r="F948">
        <v>4</v>
      </c>
      <c r="G948" s="1">
        <v>8455</v>
      </c>
      <c r="H948" s="1">
        <v>33820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1881</v>
      </c>
      <c r="F949">
        <v>3</v>
      </c>
      <c r="G949" s="1">
        <v>47789</v>
      </c>
      <c r="H949" s="1">
        <v>143367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1882</v>
      </c>
      <c r="F950">
        <v>3</v>
      </c>
      <c r="G950" s="1">
        <v>8455</v>
      </c>
      <c r="H950" s="1">
        <v>25365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1883</v>
      </c>
      <c r="F951">
        <v>2</v>
      </c>
      <c r="G951" s="1">
        <v>36761</v>
      </c>
      <c r="H951" s="1">
        <v>73522</v>
      </c>
    </row>
    <row r="952" spans="1:8" x14ac:dyDescent="0.25">
      <c r="A952" t="s">
        <v>1876</v>
      </c>
      <c r="B952" t="s">
        <v>2031</v>
      </c>
      <c r="C952" t="s">
        <v>2032</v>
      </c>
      <c r="D952">
        <v>111</v>
      </c>
      <c r="E952" t="s">
        <v>1880</v>
      </c>
      <c r="F952">
        <v>3</v>
      </c>
      <c r="G952" s="1">
        <v>36761</v>
      </c>
      <c r="H952" s="1">
        <v>110283</v>
      </c>
    </row>
    <row r="953" spans="1:8" x14ac:dyDescent="0.25">
      <c r="A953" t="s">
        <v>1876</v>
      </c>
      <c r="B953" t="s">
        <v>2031</v>
      </c>
      <c r="C953" t="s">
        <v>2032</v>
      </c>
      <c r="D953">
        <v>111</v>
      </c>
      <c r="E953" t="s">
        <v>1877</v>
      </c>
      <c r="F953">
        <v>9</v>
      </c>
      <c r="G953" s="1">
        <v>110282</v>
      </c>
      <c r="H953" s="1">
        <v>992538</v>
      </c>
    </row>
    <row r="954" spans="1:8" x14ac:dyDescent="0.25">
      <c r="A954" t="s">
        <v>1876</v>
      </c>
      <c r="B954" t="s">
        <v>2031</v>
      </c>
      <c r="C954" t="s">
        <v>2032</v>
      </c>
      <c r="D954">
        <v>111</v>
      </c>
      <c r="E954" t="s">
        <v>1115</v>
      </c>
      <c r="F954">
        <v>3</v>
      </c>
      <c r="G954" s="1">
        <v>20586</v>
      </c>
      <c r="H954" s="1">
        <v>61758</v>
      </c>
    </row>
    <row r="955" spans="1:8" x14ac:dyDescent="0.25">
      <c r="A955" t="s">
        <v>1876</v>
      </c>
      <c r="B955" t="s">
        <v>2031</v>
      </c>
      <c r="C955" t="s">
        <v>2032</v>
      </c>
      <c r="D955">
        <v>111</v>
      </c>
      <c r="E955" t="s">
        <v>1879</v>
      </c>
      <c r="F955">
        <v>3</v>
      </c>
      <c r="G955" s="1">
        <v>20586</v>
      </c>
      <c r="H955" s="1">
        <v>61758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1881</v>
      </c>
      <c r="F956">
        <v>5</v>
      </c>
      <c r="G956" s="1">
        <v>47789</v>
      </c>
      <c r="H956" s="1">
        <v>238945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1882</v>
      </c>
      <c r="F957">
        <v>12</v>
      </c>
      <c r="G957" s="1">
        <v>8455</v>
      </c>
      <c r="H957" s="1">
        <v>101460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1883</v>
      </c>
      <c r="F958">
        <v>5</v>
      </c>
      <c r="G958" s="1">
        <v>36761</v>
      </c>
      <c r="H958" s="1">
        <v>183805</v>
      </c>
    </row>
    <row r="959" spans="1:8" x14ac:dyDescent="0.25">
      <c r="A959" t="s">
        <v>1884</v>
      </c>
      <c r="B959" t="s">
        <v>2033</v>
      </c>
      <c r="C959" t="s">
        <v>2034</v>
      </c>
      <c r="D959">
        <v>112</v>
      </c>
      <c r="E959" t="s">
        <v>1880</v>
      </c>
      <c r="F959">
        <v>5</v>
      </c>
      <c r="G959" s="1">
        <v>36761</v>
      </c>
      <c r="H959" s="1">
        <v>183805</v>
      </c>
    </row>
    <row r="960" spans="1:8" x14ac:dyDescent="0.25">
      <c r="A960" t="s">
        <v>1884</v>
      </c>
      <c r="B960" t="s">
        <v>2033</v>
      </c>
      <c r="C960" t="s">
        <v>2034</v>
      </c>
      <c r="D960">
        <v>112</v>
      </c>
      <c r="E960" t="s">
        <v>1877</v>
      </c>
      <c r="F960">
        <v>10</v>
      </c>
      <c r="G960" s="1">
        <v>110282</v>
      </c>
      <c r="H960" s="1">
        <v>1102820</v>
      </c>
    </row>
    <row r="961" spans="1:8" x14ac:dyDescent="0.25">
      <c r="A961" t="s">
        <v>1884</v>
      </c>
      <c r="B961" t="s">
        <v>2033</v>
      </c>
      <c r="C961" t="s">
        <v>2034</v>
      </c>
      <c r="D961">
        <v>112</v>
      </c>
      <c r="E961" t="s">
        <v>1115</v>
      </c>
      <c r="F961">
        <v>5</v>
      </c>
      <c r="G961" s="1">
        <v>20586</v>
      </c>
      <c r="H961" s="1">
        <v>102930</v>
      </c>
    </row>
    <row r="962" spans="1:8" x14ac:dyDescent="0.25">
      <c r="A962" t="s">
        <v>1884</v>
      </c>
      <c r="B962" t="s">
        <v>2033</v>
      </c>
      <c r="C962" t="s">
        <v>2034</v>
      </c>
      <c r="D962">
        <v>112</v>
      </c>
      <c r="E962" t="s">
        <v>1879</v>
      </c>
      <c r="F962">
        <v>5</v>
      </c>
      <c r="G962" s="1">
        <v>20586</v>
      </c>
      <c r="H962" s="1">
        <v>102930</v>
      </c>
    </row>
    <row r="963" spans="1:8" x14ac:dyDescent="0.25">
      <c r="A963" t="s">
        <v>1885</v>
      </c>
      <c r="B963" t="s">
        <v>2035</v>
      </c>
      <c r="C963" t="s">
        <v>2036</v>
      </c>
      <c r="D963">
        <v>113</v>
      </c>
      <c r="E963" t="s">
        <v>1881</v>
      </c>
      <c r="F963">
        <v>1</v>
      </c>
      <c r="G963" s="1">
        <v>47789</v>
      </c>
      <c r="H963" s="1">
        <v>47789</v>
      </c>
    </row>
    <row r="964" spans="1:8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1899</v>
      </c>
      <c r="F964">
        <v>5</v>
      </c>
      <c r="G964" s="1">
        <v>110282</v>
      </c>
      <c r="H964" s="1">
        <v>551410</v>
      </c>
    </row>
    <row r="965" spans="1:8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1897</v>
      </c>
      <c r="F965">
        <v>2</v>
      </c>
      <c r="G965" s="1">
        <v>36761</v>
      </c>
      <c r="H965" s="1">
        <v>73522</v>
      </c>
    </row>
    <row r="966" spans="1:8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1902</v>
      </c>
      <c r="F966">
        <v>2</v>
      </c>
      <c r="G966" s="1">
        <v>47789</v>
      </c>
      <c r="H966" s="1">
        <v>95578</v>
      </c>
    </row>
    <row r="967" spans="1:8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1900</v>
      </c>
      <c r="F967">
        <v>2</v>
      </c>
      <c r="G967" s="1">
        <v>47789</v>
      </c>
      <c r="H967" s="1">
        <v>95578</v>
      </c>
    </row>
    <row r="968" spans="1:8" x14ac:dyDescent="0.25">
      <c r="A968" t="s">
        <v>1886</v>
      </c>
      <c r="B968" t="s">
        <v>2037</v>
      </c>
      <c r="C968" t="s">
        <v>2038</v>
      </c>
      <c r="D968">
        <v>114</v>
      </c>
      <c r="E968" t="s">
        <v>1891</v>
      </c>
      <c r="F968">
        <v>2</v>
      </c>
      <c r="G968" s="1">
        <v>20586</v>
      </c>
      <c r="H968" s="1">
        <v>41172</v>
      </c>
    </row>
    <row r="969" spans="1:8" x14ac:dyDescent="0.25">
      <c r="A969" t="s">
        <v>1886</v>
      </c>
      <c r="B969" t="s">
        <v>2037</v>
      </c>
      <c r="C969" t="s">
        <v>2038</v>
      </c>
      <c r="D969">
        <v>114</v>
      </c>
      <c r="E969" t="s">
        <v>1888</v>
      </c>
      <c r="F969">
        <v>2</v>
      </c>
      <c r="G969" s="1">
        <v>8455</v>
      </c>
      <c r="H969" s="1">
        <v>16910</v>
      </c>
    </row>
    <row r="970" spans="1:8" x14ac:dyDescent="0.25">
      <c r="A970" t="s">
        <v>1886</v>
      </c>
      <c r="B970" t="s">
        <v>2037</v>
      </c>
      <c r="C970" t="s">
        <v>2038</v>
      </c>
      <c r="D970">
        <v>114</v>
      </c>
      <c r="E970" t="s">
        <v>1895</v>
      </c>
      <c r="F970">
        <v>2</v>
      </c>
      <c r="G970" s="1">
        <v>36761</v>
      </c>
      <c r="H970" s="1">
        <v>73522</v>
      </c>
    </row>
    <row r="971" spans="1:8" x14ac:dyDescent="0.25">
      <c r="A971" t="s">
        <v>1886</v>
      </c>
      <c r="B971" t="s">
        <v>2037</v>
      </c>
      <c r="C971" t="s">
        <v>2038</v>
      </c>
      <c r="D971">
        <v>114</v>
      </c>
      <c r="E971" t="s">
        <v>1893</v>
      </c>
      <c r="F971">
        <v>2</v>
      </c>
      <c r="G971" s="1">
        <v>20586</v>
      </c>
      <c r="H971" s="1">
        <v>41172</v>
      </c>
    </row>
    <row r="972" spans="1:8" x14ac:dyDescent="0.25">
      <c r="A972" t="s">
        <v>1903</v>
      </c>
      <c r="B972" t="s">
        <v>2039</v>
      </c>
      <c r="C972" t="s">
        <v>467</v>
      </c>
      <c r="D972">
        <v>115</v>
      </c>
      <c r="E972" t="s">
        <v>1909</v>
      </c>
      <c r="F972">
        <v>1</v>
      </c>
      <c r="G972" s="1">
        <v>126050</v>
      </c>
      <c r="H972" s="1">
        <v>126050</v>
      </c>
    </row>
    <row r="973" spans="1:8" x14ac:dyDescent="0.25">
      <c r="A973" t="s">
        <v>1929</v>
      </c>
      <c r="B973" t="s">
        <v>2067</v>
      </c>
      <c r="C973" t="s">
        <v>478</v>
      </c>
      <c r="D973">
        <v>119</v>
      </c>
      <c r="E973" t="s">
        <v>1953</v>
      </c>
      <c r="F973">
        <v>1</v>
      </c>
      <c r="G973" s="1">
        <v>35615</v>
      </c>
      <c r="H973" s="1">
        <v>35615</v>
      </c>
    </row>
    <row r="974" spans="1:8" x14ac:dyDescent="0.25">
      <c r="A974" t="s">
        <v>1929</v>
      </c>
      <c r="B974" t="s">
        <v>2067</v>
      </c>
      <c r="C974" t="s">
        <v>478</v>
      </c>
      <c r="D974">
        <v>119</v>
      </c>
      <c r="E974" t="s">
        <v>1952</v>
      </c>
      <c r="F974">
        <v>1</v>
      </c>
      <c r="G974" s="1">
        <v>39440</v>
      </c>
      <c r="H974" s="1">
        <v>39440</v>
      </c>
    </row>
    <row r="975" spans="1:8" x14ac:dyDescent="0.25">
      <c r="A975" t="s">
        <v>1929</v>
      </c>
      <c r="B975" t="s">
        <v>2067</v>
      </c>
      <c r="C975" t="s">
        <v>478</v>
      </c>
      <c r="D975">
        <v>119</v>
      </c>
      <c r="E975" t="s">
        <v>1951</v>
      </c>
      <c r="F975">
        <v>1</v>
      </c>
      <c r="G975" s="1">
        <v>36465</v>
      </c>
      <c r="H975" s="1">
        <v>36465</v>
      </c>
    </row>
    <row r="976" spans="1:8" x14ac:dyDescent="0.25">
      <c r="A976" t="s">
        <v>1929</v>
      </c>
      <c r="B976" t="s">
        <v>2067</v>
      </c>
      <c r="C976" t="s">
        <v>478</v>
      </c>
      <c r="D976">
        <v>119</v>
      </c>
      <c r="E976" t="s">
        <v>1956</v>
      </c>
      <c r="F976">
        <v>1</v>
      </c>
      <c r="G976" s="1">
        <v>72165</v>
      </c>
      <c r="H976" s="1">
        <v>72165</v>
      </c>
    </row>
    <row r="977" spans="1:16" x14ac:dyDescent="0.25">
      <c r="A977" t="s">
        <v>1929</v>
      </c>
      <c r="B977" t="s">
        <v>2067</v>
      </c>
      <c r="C977" t="s">
        <v>478</v>
      </c>
      <c r="D977">
        <v>119</v>
      </c>
      <c r="E977" t="s">
        <v>1955</v>
      </c>
      <c r="F977">
        <v>1</v>
      </c>
      <c r="G977" s="1">
        <v>41565</v>
      </c>
      <c r="H977" s="1">
        <v>41565</v>
      </c>
    </row>
    <row r="978" spans="1:16" x14ac:dyDescent="0.25">
      <c r="A978" t="s">
        <v>1929</v>
      </c>
      <c r="B978" t="s">
        <v>2067</v>
      </c>
      <c r="C978" t="s">
        <v>478</v>
      </c>
      <c r="D978">
        <v>119</v>
      </c>
      <c r="E978" t="s">
        <v>1954</v>
      </c>
      <c r="F978">
        <v>1</v>
      </c>
      <c r="G978" s="1">
        <v>33065</v>
      </c>
      <c r="H978" s="1">
        <v>33065</v>
      </c>
    </row>
    <row r="979" spans="1:16" x14ac:dyDescent="0.25">
      <c r="A979" t="s">
        <v>1929</v>
      </c>
      <c r="B979" t="s">
        <v>2067</v>
      </c>
      <c r="C979" t="s">
        <v>478</v>
      </c>
      <c r="D979">
        <v>119</v>
      </c>
      <c r="E979" t="s">
        <v>1947</v>
      </c>
      <c r="F979">
        <v>1</v>
      </c>
      <c r="G979" s="1">
        <v>41565</v>
      </c>
      <c r="H979" s="1">
        <v>41565</v>
      </c>
    </row>
    <row r="980" spans="1:16" x14ac:dyDescent="0.25">
      <c r="A980" t="s">
        <v>1929</v>
      </c>
      <c r="B980" t="s">
        <v>2067</v>
      </c>
      <c r="C980" t="s">
        <v>478</v>
      </c>
      <c r="D980">
        <v>119</v>
      </c>
      <c r="E980" t="s">
        <v>1946</v>
      </c>
      <c r="F980">
        <v>1</v>
      </c>
      <c r="G980" s="1">
        <v>37740</v>
      </c>
      <c r="H980" s="1">
        <v>37740</v>
      </c>
    </row>
    <row r="981" spans="1:16" x14ac:dyDescent="0.25">
      <c r="A981" t="s">
        <v>1929</v>
      </c>
      <c r="B981" t="s">
        <v>2067</v>
      </c>
      <c r="C981" t="s">
        <v>478</v>
      </c>
      <c r="D981">
        <v>119</v>
      </c>
      <c r="E981" t="s">
        <v>1945</v>
      </c>
      <c r="F981">
        <v>1</v>
      </c>
      <c r="G981" s="1">
        <v>33065</v>
      </c>
      <c r="H981" s="1">
        <v>33065</v>
      </c>
    </row>
    <row r="982" spans="1:16" x14ac:dyDescent="0.25">
      <c r="A982" t="s">
        <v>1929</v>
      </c>
      <c r="B982" t="s">
        <v>2067</v>
      </c>
      <c r="C982" t="s">
        <v>478</v>
      </c>
      <c r="D982">
        <v>119</v>
      </c>
      <c r="E982" t="s">
        <v>1950</v>
      </c>
      <c r="F982">
        <v>1</v>
      </c>
      <c r="G982" s="1">
        <v>63365</v>
      </c>
      <c r="H982" s="1">
        <v>63365</v>
      </c>
    </row>
    <row r="983" spans="1:16" x14ac:dyDescent="0.25">
      <c r="A983" t="s">
        <v>1929</v>
      </c>
      <c r="B983" t="s">
        <v>2067</v>
      </c>
      <c r="C983" t="s">
        <v>478</v>
      </c>
      <c r="D983">
        <v>119</v>
      </c>
      <c r="E983" t="s">
        <v>1949</v>
      </c>
      <c r="F983">
        <v>1</v>
      </c>
      <c r="G983" s="1">
        <v>36465</v>
      </c>
      <c r="H983" s="1">
        <v>36465</v>
      </c>
    </row>
    <row r="984" spans="1:16" x14ac:dyDescent="0.25">
      <c r="A984" t="s">
        <v>1929</v>
      </c>
      <c r="B984" t="s">
        <v>2067</v>
      </c>
      <c r="C984" t="s">
        <v>478</v>
      </c>
      <c r="D984">
        <v>119</v>
      </c>
      <c r="E984" t="s">
        <v>1948</v>
      </c>
      <c r="F984">
        <v>1</v>
      </c>
      <c r="G984" s="1">
        <v>35615</v>
      </c>
      <c r="H984" s="1">
        <v>35615</v>
      </c>
      <c r="O984" t="s">
        <v>70</v>
      </c>
      <c r="P984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85"/>
  <sheetViews>
    <sheetView tabSelected="1" workbookViewId="0">
      <selection activeCell="B7" sqref="B7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40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151260</v>
      </c>
      <c r="J674" s="8">
        <v>28739.4</v>
      </c>
      <c r="K674" s="8">
        <v>179999.4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470515</v>
      </c>
      <c r="K94" s="7">
        <v>470515</v>
      </c>
    </row>
    <row r="95" spans="1:11" x14ac:dyDescent="0.25">
      <c r="A95" s="5" t="s">
        <v>498</v>
      </c>
      <c r="B95" s="7">
        <v>9641505</v>
      </c>
      <c r="C95" s="7">
        <v>684312</v>
      </c>
      <c r="D95" s="7">
        <v>4907902</v>
      </c>
      <c r="E95" s="7">
        <v>7273854</v>
      </c>
      <c r="F95" s="7">
        <v>414309</v>
      </c>
      <c r="G95" s="7">
        <v>5879109</v>
      </c>
      <c r="H95" s="7">
        <v>25301336</v>
      </c>
      <c r="I95" s="7">
        <v>2092687</v>
      </c>
      <c r="J95" s="7">
        <v>22869785</v>
      </c>
      <c r="K95" s="7">
        <v>79064799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2026-08-24T16:02:13Z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