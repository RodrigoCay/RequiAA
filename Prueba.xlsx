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94506E5-1694-467E-89DF-27B8E526D07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3" i="3"/>
  <c r="W154" i="3"/>
  <c r="W155" i="3"/>
  <c r="W156" i="3"/>
  <c r="W157" i="3"/>
  <c r="W158" i="3"/>
  <c r="W159" i="3"/>
  <c r="W160" i="3"/>
  <c r="W161" i="3"/>
  <c r="W16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<sst xmlns="http://schemas.openxmlformats.org/spreadsheetml/2006/main" count="4294962690" uniqueCount="1040">
  <si>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</si>
  <si>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</si>
  <si>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</si>
  <si>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</si>
  <si>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</si>
  <si>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</si>
  <si>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</si>
  <si>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</si>
  <si>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</si>
  <si>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</si>
  <si>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</si>
  <si>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</si>
  <si>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</si>
  <si>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</si>
  <si>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</si>
  <si>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</si>
  <si>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</si>
  <si>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</si>
  <si>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</si>
  <si>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</si>
  <si>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</si>
  <si>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</si>
  <si>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</si>
  <si>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</si>
  <si>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</si>
  <si>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</si>
  <si>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</si>
  <si>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</si>
  <si>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</si>
  <si>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</si>
  <si>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</si>
  <si>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</si>
  <si>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</si>
  <si>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</si>
  <si>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</si>
  <si>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</si>
  <si>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</si>
  <si>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</si>
  <si>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</si>
  <si>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</si>
  <si>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</si>
  <si>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</si>
  <si>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</si>
  <si>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</si>
  <si>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</si>
  <si>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</si>
  <si>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</si>
  <si>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</si>
  <si>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</si>
  <si>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</si>
  <si>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</si>
  <si>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</si>
  <si>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</si>
  <si>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</si>
  <si>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</si>
  <si>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</si>
  <si>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</si>
  <si>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</si>
  <si>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</si>
  <si>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</si>
  <si>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</si>
  <si>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</si>
  <si>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</si>
  <si>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</si>
  <si>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</si>
  <si>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</si>
  <si>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</si>
  <si>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</si>
  <si>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</si>
  <si>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</si>
  <si>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</si>
  <si>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</si>
  <si>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</si>
  <si>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</si>
  <si>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</si>
  <si>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</si>
  <si>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</si>
  <si>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</si>
  <si>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</si>
  <si>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</si>
  <si>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</si>
  <si>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</si>
  <si>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</si>
  <si>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</si>
  <si>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</si>
  <si>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</si>
  <si>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</si>
  <si>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</si>
  <si>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</si>
  <si>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</si>
  <si>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</si>
  <si>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</si>
  <si>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</si>
  <si>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</si>
  <si>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</si>
  <si>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</si>
  <si>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</si>
  <si>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</si>
  <si>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</si>
  <si>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</si>
  <si>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</si>
  <si>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</si>
  <si>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</si>
  <si>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</si>
  <si>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</si>
  <si>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</si>
  <si>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</si>
  <si>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</si>
  <si>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</si>
  <si>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</si>
  <si>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</si>
  <si>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</si>
  <si>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</si>
  <si>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</si>
  <si>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</si>
  <si>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</si>
  <si>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</si>
  <si>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</si>
  <si>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</si>
  <si>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</si>
  <si>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</si>
  <si>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</si>
  <si>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</si>
  <si>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</si>
  <si>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</si>
  <si>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</si>
  <si>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</si>
  <si>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</si>
  <si>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</si>
  <si>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</si>
  <si>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</si>
  <si>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</si>
  <si>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</si>
  <si>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</si>
  <si>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</si>
  <si>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</si>
  <si>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</si>
  <si>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</si>
  <si>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</si>
  <si>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</si>
  <si>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</si>
  <si>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</si>
  <si>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</si>
  <si>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</si>
  <si>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</si>
  <si>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</si>
  <si>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</si>
  <si>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</si>
  <si>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</si>
  <si>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</si>
  <si>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</si>
  <si>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</si>
  <si>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</si>
  <si>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</si>
  <si>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</si>
  <si>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</si>
  <si>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</si>
  <si>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</si>
  <si>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</si>
  <si>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</si>
  <si>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</si>
  <si>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</si>
  <si>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</si>
  <si>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</si>
  <si>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</si>
  <si>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</si>
  <si>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</si>
  <si>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</si>
  <si>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</si>
  <si>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</si>
  <si>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</si>
  <si>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</si>
  <si>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</si>
  <si>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</si>
  <si>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</si>
  <si>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</si>
  <si>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</si>
  <si>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</si>
  <si>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</si>
  <si>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</si>
  <si>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</si>
  <si>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</si>
  <si>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</si>
  <si>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</si>
  <si>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</si>
  <si>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</si>
  <si>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</si>
  <si>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</si>
  <si>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</si>
  <si>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</si>
  <si>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</si>
  <si>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</si>
  <si>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</si>
  <si>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</si>
  <si>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</si>
  <si>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</si>
  <si>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</si>
  <si>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</si>
  <si>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</si>
  <si>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</si>
  <si>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</si>
  <si>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</si>
  <si>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</si>
  <si>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</si>
  <si>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</si>
  <si>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</si>
  <si>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</si>
  <si>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</si>
  <si>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</si>
  <si>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</si>
  <si>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</si>
  <si>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</si>
  <si>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</si>
  <si>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</si>
  <si>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</si>
  <si>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</si>
  <si>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</si>
  <si>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</si>
  <si>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</si>
  <si>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</si>
  <si>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</si>
  <si>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</si>
  <si>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</si>
  <si>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</si>
  <si>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</si>
  <si>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</si>
  <si>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</si>
  <si>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</si>
  <si>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</si>
  <si>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</si>
  <si>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</si>
  <si>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</si>
  <si>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</si>
  <si>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</si>
  <si>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</si>
  <si>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</si>
  <si>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</si>
  <si>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</si>
  <si>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</si>
  <si>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</si>
  <si>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</si>
  <si>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</si>
  <si>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</si>
  <si>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</si>
  <si>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</si>
  <si>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</si>
  <si>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</si>
  <si>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</si>
  <si>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</si>
  <si>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</si>
  <si>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</si>
  <si>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</si>
  <si>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</si>
  <si>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</si>
  <si>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</si>
  <si>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</si>
  <si>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</si>
  <si>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</si>
  <si>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</si>
  <si>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</si>
  <si>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</si>
  <si>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</si>
  <si>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</si>
  <si>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</si>
  <si>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</si>
  <si>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</si>
  <si>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</si>
  <si>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</si>
  <si>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</si>
  <si>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</si>
  <si>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</si>
  <si>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</si>
  <si>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</si>
  <si>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</si>
  <si>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</si>
  <si>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</si>
  <si>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</si>
  <si>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</si>
  <si>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</si>
  <si>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</si>
  <si>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</si>
  <si>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</si>
  <si>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</si>
  <si>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</si>
  <si>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</si>
  <si>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</si>
  <si>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</si>
  <si>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</si>
  <si>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</si>
  <si>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</si>
  <si>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</si>
  <si>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</si>
  <si>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</si>
  <si>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</si>
  <si>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</si>
  <si>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</si>
  <si>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</si>
  <si>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</si>
  <si>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</si>
  <si>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</si>
  <si>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</si>
  <si>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</si>
  <si>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</si>
  <si>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</si>
  <si>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</si>
  <si>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</si>
  <si>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</si>
  <si>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</si>
  <si>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</si>
  <si>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</si>
  <si>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</si>
  <si>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</si>
  <si>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</si>
  <si>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</si>
  <si>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</si>
  <si>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</si>
  <si>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</si>
  <si>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</si>
  <si>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</si>
  <si>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</si>
  <si>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</si>
  <si>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</si>
  <si>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</si>
  <si>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</si>
  <si>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</si>
  <si>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</si>
  <si>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</si>
  <si>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</si>
  <si>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</si>
  <si>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</si>
  <si>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</si>
  <si>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</si>
  <si>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</si>
  <si>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</si>
  <si>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</si>
  <si>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</si>
  <si>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</si>
  <si>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</si>
  <si>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</si>
  <si>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</si>
  <si>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</si>
  <si>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</si>
  <si>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</si>
  <si>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</si>
  <si>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</si>
  <si>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</si>
  <si>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</si>
  <si>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</si>
  <si>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</si>
  <si>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</si>
  <si>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</si>
  <si>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</si>
  <si>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</si>
  <si>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</si>
  <si>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</si>
  <si>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</si>
  <si>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</si>
  <si>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</si>
  <si>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</si>
  <si>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</si>
  <si>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</si>
  <si>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</si>
  <si>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</si>
  <si>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</si>
  <si>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</si>
  <si>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</si>
  <si>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</si>
  <si>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</si>
  <si>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</si>
  <si>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</si>
  <si>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</si>
  <si>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</si>
  <si>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</si>
  <si>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</si>
  <si>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</si>
  <si>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</si>
  <si>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</si>
  <si>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</si>
  <si>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</si>
  <si>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</si>
  <si>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</si>
  <si>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</si>
  <si>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</si>
  <si>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</si>
  <si>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</si>
  <si>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</si>
  <si>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</si>
  <si>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</si>
  <si>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</si>
  <si>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</si>
  <si>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</si>
  <si>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</si>
  <si>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</si>
  <si>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</si>
  <si>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</si>
  <si>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</si>
  <si>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</si>
  <si>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</si>
  <si>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</si>
  <si>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</si>
  <si>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</si>
  <si>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</si>
  <si>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</si>
  <si>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</si>
  <si>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</si>
  <si>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</si>
  <si>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</si>
  <si>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</si>
  <si>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</si>
  <si>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</si>
  <si>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</si>
  <si>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</si>
  <si>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</si>
  <si>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</si>
  <si>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</si>
  <si>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</si>
  <si>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</si>
  <si>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</si>
  <si>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</si>
  <si>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</si>
  <si>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</si>
  <si>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</si>
  <si>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</si>
  <si>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</si>
  <si>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</si>
  <si>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</si>
  <si>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</si>
  <si>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</si>
  <si>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</si>
  <si>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</si>
  <si>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</si>
  <si>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</si>
  <si>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</si>
  <si>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</si>
  <si>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</si>
  <si>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</si>
  <si>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</si>
  <si>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</si>
  <si>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</si>
  <si>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</si>
  <si>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</si>
  <si>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</si>
  <si>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</si>
  <si>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</si>
  <si>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</si>
  <si>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</si>
  <si>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</si>
  <si>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</si>
  <si>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</si>
  <si>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</si>
  <si>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</si>
  <si>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</si>
  <si>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</si>
  <si>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</si>
  <si>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</si>
  <si>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</si>
  <si>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</si>
  <si>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</si>
  <si>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</si>
  <si>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</si>
  <si>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</si>
  <si>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</si>
  <si>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</si>
  <si>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</si>
  <si>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</si>
  <si>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</si>
  <si>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</si>
  <si>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</si>
  <si>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</si>
  <si>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</si>
  <si>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</si>
  <si>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</si>
  <si>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</si>
  <si>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</si>
  <si>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</si>
  <si>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</si>
  <si>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</si>
  <si>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</si>
  <si>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</si>
  <si>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</si>
  <si>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</si>
  <si>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</si>
  <si>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</si>
  <si>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</si>
  <si>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</si>
  <si>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</si>
  <si>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</si>
  <si>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</si>
  <si>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</si>
  <si>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</si>
  <si>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</si>
  <si>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</si>
  <si>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</si>
  <si>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</si>
  <si>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</si>
  <si>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</si>
  <si>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</si>
  <si>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</si>
  <si>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</si>
  <si>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</si>
  <si>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</si>
  <si>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</si>
  <si>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</si>
  <si>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</si>
  <si>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</si>
  <si>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</si>
  <si>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</si>
  <si>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</si>
  <si>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</si>
  <si>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</si>
  <si>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</si>
  <si>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</si>
  <si>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</si>
  <si>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</si>
  <si>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</si>
  <si>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</si>
  <si>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</si>
  <si>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</si>
  <si>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</si>
  <si>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</si>
  <si>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</si>
  <si>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</si>
  <si>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</si>
  <si>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</si>
  <si>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</si>
  <si>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</si>
  <si>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</si>
  <si>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</si>
  <si>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</si>
  <si>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</si>
  <si>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</si>
  <si>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</si>
  <si>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</si>
  <si>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</si>
  <si>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</si>
  <si>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</si>
  <si>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</si>
  <si>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</si>
  <si>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</si>
  <si>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</si>
  <si>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</si>
  <si>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</si>
  <si>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</si>
  <si>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</si>
  <si>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</si>
  <si>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</si>
  <si>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</si>
  <si>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</si>
  <si>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</si>
  <si>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</si>
  <si>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</si>
  <si>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</si>
  <si>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</si>
  <si>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</si>
  <si>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</si>
  <si>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</si>
  <si>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</si>
  <si>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</si>
  <si>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</si>
  <si>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</si>
  <si>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</si>
  <si>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</si>
  <si>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</si>
  <si>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</si>
  <si>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</si>
  <si>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</si>
  <si>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</si>
  <si>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</si>
  <si>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</si>
  <si>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</si>
  <si>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</si>
  <si>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</si>
  <si>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</si>
  <si>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</si>
  <si>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</si>
  <si>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</si>
  <si>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</si>
  <si>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</si>
  <si>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</si>
  <si>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</si>
  <si>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</si>
  <si>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</si>
  <si>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</si>
  <si>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</si>
  <si>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</si>
  <si>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</si>
  <si>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</si>
  <si>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</si>
  <si>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</si>
  <si>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</si>
  <si>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</si>
  <si>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</si>
  <si>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</si>
  <si>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</si>
  <si>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</si>
  <si>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</si>
  <si>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</si>
  <si>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</si>
  <si>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</si>
  <si>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</si>
  <si>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</si>
  <si>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</si>
  <si>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</si>
  <si>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</si>
  <si>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</si>
  <si>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</si>
  <si>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</si>
  <si>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</si>
  <si>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</si>
  <si>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</si>
  <si>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</si>
  <si>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</si>
  <si>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</si>
  <si>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</si>
  <si>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</si>
  <si>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</si>
  <si>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</si>
  <si>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</si>
  <si>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</si>
  <si>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</si>
  <si>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</si>
  <si>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</si>
  <si>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</si>
  <si>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</si>
  <si>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</si>
  <si>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</si>
  <si>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</si>
  <si>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</si>
  <si>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</si>
  <si>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</si>
  <si>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</si>
  <si>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</si>
  <si>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</si>
  <si>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</si>
  <si>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</si>
  <si>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</si>
  <si>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</si>
  <si>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</si>
  <si>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</si>
  <si>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</si>
  <si>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</si>
  <si>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</si>
  <si>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</si>
  <si>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</si>
  <si>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</si>
  <si>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</si>
  <si>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</si>
  <si>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</si>
  <si>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</si>
  <si>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</si>
  <si>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</si>
  <si>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</si>
  <si>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</si>
  <si>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</si>
  <si>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</si>
  <si>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</si>
  <si>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</si>
  <si>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</si>
  <si>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</si>
  <si>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</si>
  <si>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</si>
  <si>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</si>
  <si>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</si>
  <si>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</si>
  <si>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</si>
  <si>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</si>
  <si>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</si>
  <si>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</si>
  <si>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</si>
  <si>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</si>
  <si>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</si>
  <si>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</si>
  <si>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</si>
  <si>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</si>
  <si>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</si>
  <si>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</si>
  <si>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</si>
  <si>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</si>
  <si>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</si>
  <si>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</si>
  <si>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</si>
  <si>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</si>
  <si>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</si>
  <si>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</si>
  <si>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</si>
  <si>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</si>
  <si>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</si>
  <si>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</si>
  <si>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</si>
  <si>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</si>
  <si>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</si>
  <si>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</si>
  <si>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</si>
  <si>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</si>
  <si>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</si>
  <si>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</si>
  <si>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</si>
  <si>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</si>
  <si>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</si>
  <si>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</si>
  <si>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</si>
  <si>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</si>
  <si>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</si>
  <si>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</si>
  <si>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</si>
  <si>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</si>
  <si>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</si>
  <si>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</si>
  <si>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</si>
  <si>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</si>
  <si>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</si>
  <si>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</si>
  <si>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</si>
  <si>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</si>
  <si>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</si>
  <si>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</si>
  <si>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</si>
  <si>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</si>
  <si>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</si>
  <si>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</si>
  <si>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</si>
  <si>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</si>
  <si>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</si>
  <si>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</si>
  <si>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</si>
  <si>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</si>
  <si>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</si>
  <si>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</si>
  <si>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</si>
  <si>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</si>
  <si>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</si>
  <si>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</si>
  <si>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</si>
  <si>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</si>
  <si>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</si>
  <si>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</si>
  <si>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</si>
  <si>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</si>
  <si>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</si>
  <si>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</si>
  <si>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</si>
  <si>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</si>
  <si>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</si>
  <si>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</si>
  <si>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</si>
  <si>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</si>
  <si>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</si>
  <si>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</si>
  <si>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</si>
  <si>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</si>
  <si>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</si>
  <si>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</si>
  <si>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</si>
  <si>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</si>
  <si>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</si>
  <si>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</si>
  <si>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</si>
  <si>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</si>
  <si>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</si>
  <si>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</si>
  <si>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</si>
  <si>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</si>
  <si>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</si>
  <si>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</si>
  <si>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</si>
  <si>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</si>
  <si>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</si>
  <si>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</si>
  <si>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</si>
  <si>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</si>
  <si>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</si>
  <si>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</si>
  <si>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</si>
  <si>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</si>
  <si>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</si>
  <si>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</si>
  <si>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</si>
  <si>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</si>
  <si>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</si>
  <si>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</si>
  <si>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</si>
  <si>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</si>
  <si>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</si>
  <si>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</si>
  <si>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</si>
  <si>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</si>
  <si>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</si>
  <si>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</si>
  <si>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</si>
  <si>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</si>
  <si>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</si>
  <si>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</si>
  <si>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</si>
  <si>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</si>
  <si>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</si>
  <si>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</si>
  <si>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</si>
  <si>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</si>
  <si>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</si>
  <si>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</si>
  <si>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</si>
  <si>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</si>
  <si>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</si>
  <si>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</si>
  <si>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</si>
  <si>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</si>
  <si>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</si>
  <si>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</si>
  <si>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</si>
  <si>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</si>
  <si>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</si>
  <si>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</si>
  <si>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</si>
  <si>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</si>
  <si>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</si>
  <si>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</si>
  <si>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</si>
  <si>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</si>
  <si>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</si>
  <si>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</si>
  <si>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</si>
  <si>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</si>
  <si>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</si>
  <si>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</si>
  <si>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</si>
  <si>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</si>
  <si>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</si>
  <si>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</si>
  <si>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</si>
  <si>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</si>
  <si>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</si>
  <si>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</si>
  <si>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</si>
  <si>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</si>
  <si>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</si>
  <si>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</si>
  <si>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</si>
  <si>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</si>
  <si>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</si>
  <si>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</si>
  <si>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</si>
  <si>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</si>
  <si>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</si>
  <si>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</si>
  <si>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</si>
  <si>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</si>
  <si>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</si>
  <si>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</si>
  <si>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</si>
  <si>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</si>
  <si>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</si>
  <si>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</si>
  <si>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</si>
  <si>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</si>
  <si>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</si>
  <si>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</si>
  <si>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</si>
  <si>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</si>
  <si>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</si>
  <si>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</si>
  <si>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</si>
  <si>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</si>
  <si>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</si>
  <si>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</si>
  <si>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</si>
  <si>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</si>
  <si>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</si>
  <si>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</si>
  <si>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</si>
  <si>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</si>
  <si>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</si>
  <si>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</si>
  <si>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</si>
  <si>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</si>
  <si>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</si>
  <si>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</si>
  <si>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</si>
  <si>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</si>
  <si>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</si>
  <si>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</si>
  <si>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</si>
  <si>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</si>
  <si>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</si>
  <si>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</si>
  <si>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</si>
  <si>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</si>
  <si>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</si>
  <si>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</si>
  <si>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</si>
  <si>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</si>
  <si>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</si>
  <si>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</si>
  <si>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</si>
  <si>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</si>
  <si>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</si>
  <si>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</si>
  <si>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</si>
  <si>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</si>
  <si>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</si>
  <si>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</si>
  <si>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</si>
  <si>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</si>
  <si>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</si>
  <si>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</si>
  <si>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</si>
  <si>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</si>
  <si>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</si>
  <si>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</si>
  <si>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</si>
  <si>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</si>
  <si>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</si>
  <si>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</si>
  <si>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</si>
  <si>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</si>
  <si>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</si>
  <si>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</si>
  <si>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</si>
  <si>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</si>
  <si>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</si>
  <si>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</si>
  <si>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</si>
  <si>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</si>
  <si>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</si>
  <si>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</si>
  <si>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</si>
  <si>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</si>
  <si>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</si>
  <si>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</si>
  <si>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</si>
  <si>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</si>
  <si>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</si>
  <si>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</si>
  <si>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</si>
  <si>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</si>
  <si>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</si>
  <si>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</si>
  <si>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</si>
  <si>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</si>
  <si>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</si>
  <si>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</si>
  <si>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</si>
  <si>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</si>
  <si>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</si>
  <si>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</si>
  <si>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</si>
  <si>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</si>
  <si>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</si>
  <si>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</si>
  <si>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</si>
  <si>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</si>
  <si>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</si>
  <si>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</si>
  <si>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</si>
  <si>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</si>
  <si>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</si>
  <si>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</si>
  <si>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</si>
  <si>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</si>
  <si>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</si>
  <si>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</si>
  <si>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</si>
  <si>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</si>
  <si>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</si>
  <si>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</si>
  <si>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</si>
  <si>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</si>
  <si>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</si>
  <si>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</si>
  <si>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</si>
  <si>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</si>
  <si>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</si>
  <si>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</si>
  <si>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</si>
  <si>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</si>
  <si>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</si>
  <si>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</si>
  <si>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</si>
  <si>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</si>
  <si>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</si>
  <si>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</si>
  <si>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</si>
  <si>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</si>
  <si>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</si>
  <si>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</si>
  <si>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</si>
  <si>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</si>
  <si>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</si>
  <si>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</si>
  <si>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</si>
  <si>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</si>
  <si>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</si>
  <si>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</si>
  <si>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</si>
  <si>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</si>
  <si>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</si>
  <si>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</si>
  <si>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</si>
  <si>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</si>
  <si>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</si>
  <si>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</si>
  <si>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</si>
  <si>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</si>
  <si>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</si>
  <si>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</si>
  <si>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</si>
  <si>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</si>
  <si>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</si>
  <si>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</si>
  <si>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</si>
  <si>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</si>
  <si>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</si>
  <si>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</si>
  <si>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</si>
  <si>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</si>
  <si>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</si>
  <si>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</si>
  <si>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</si>
  <si>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</si>
  <si>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</si>
  <si>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</si>
  <si>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</si>
  <si>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</si>
  <si>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</si>
  <si>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</si>
  <si>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</si>
  <si>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</si>
  <si>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</si>
  <si>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</si>
  <si>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</si>
  <si>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</si>
  <si>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</si>
  <si>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</si>
  <si>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</si>
  <si>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ok, comprado por rodolfo </t>
  </si>
  <si>
    <t>ok, nomina pagada y productos deben despachar en 15 dias aprox</t>
  </si>
  <si>
    <t>aprobado  entrega parcial solo ropa ( solo max service )</t>
  </si>
  <si>
    <t xml:space="preserve">aprobado ( solo ropa ) parcial </t>
  </si>
  <si>
    <t xml:space="preserve">ok, oc enviada para ejecutar servicio </t>
  </si>
  <si>
    <t>ok, oc enviada max service/ segurycel debe recotizar con logos y enviar oc</t>
  </si>
  <si>
    <t xml:space="preserve">ok, pisones llegan el 22 al 1 septiembre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</si>
</sst>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62" tableType="queryTable" totalsRowShown="0" headerRowDxfId="23">
  <autoFilter ref="A1:AA16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20" totalsRowShown="0" headerRowDxfId="18" dataDxfId="17">
  <autoFilter ref="A1:G120" xr:uid="{0EB08CB5-F347-46F6-A2BB-419FEB016475}"/>
  <tableColumns count="7">
    <tableColumn id="1" xr3:uid="{EA8F1E43-6EF0-43E9-B71B-98D3C4584ACC}" name="N° solicitud" dataDxfId="16"/>
    <tableColumn id="2" xr3:uid="{9FA8BFE5-861C-4596-A02E-A670F1BDB608}" name="Estado" dataDxfId="15"/>
    <tableColumn id="3" xr3:uid="{E58581DB-8B04-4C13-8B4F-27FC5E1AE281}" name="Empresa" dataDxfId="14"/>
    <tableColumn id="6" xr3:uid="{DAADF8D0-34FE-479B-9430-88C5F34DBAE2}" name="fecha pago " dataDxfId="13"/>
    <tableColumn id="7" xr3:uid="{7D80F5CD-A672-43F9-903B-537A4B66EACC}" name="fecha entrega" dataDxfId="12"/>
    <tableColumn id="5" xr3:uid="{16163A18-549A-4B29-B76F-2E153A8FC4F4}" name="Comentario" dataDxfId="11"/>
    <tableColumn id="4" xr3:uid="{AB2C7C8D-292F-499F-B490-59E3C5CBAC30}" name="Columna1" dataDxfId="10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9"/>
    <tableColumn id="9" xr3:uid="{64335130-2EC5-44A7-9C4C-F057150832C4}" name="Fecha de entrega" dataDxfId="8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8"/>
  <sheetViews>
    <sheetView tabSelected="1" topLeftCell="S131" zoomScaleNormal="100" workbookViewId="0">
      <selection activeCell="V149" sqref="V149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67.28515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7" t="s">
        <v>514</v>
      </c>
      <c r="T38" s="2">
        <v>46198</v>
      </c>
      <c r="U38" s="2">
        <v>46204</v>
      </c>
      <c r="V38" s="17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7" t="s">
        <v>514</v>
      </c>
      <c r="U58" s="2">
        <v>46211</v>
      </c>
      <c r="V58" s="17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7" t="s">
        <v>514</v>
      </c>
      <c r="U73" s="2">
        <v>46218</v>
      </c>
      <c r="V73" s="17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777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778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875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876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875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876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783</v>
      </c>
      <c r="B111" t="s">
        <v>784</v>
      </c>
      <c r="C111" t="s">
        <v>836</v>
      </c>
      <c r="D111" t="s">
        <v>916</v>
      </c>
      <c r="E111">
        <v>83</v>
      </c>
      <c r="F111" t="s">
        <v>785</v>
      </c>
      <c r="G111" t="s">
        <v>786</v>
      </c>
      <c r="H111" t="s">
        <v>786</v>
      </c>
      <c r="I111" t="s">
        <v>786</v>
      </c>
      <c r="J111" t="s">
        <v>30</v>
      </c>
      <c r="K111" s="5"/>
      <c r="L111" s="5" t="s">
        <v>31</v>
      </c>
      <c r="M111" t="s">
        <v>917</v>
      </c>
      <c r="N111" t="s">
        <v>196</v>
      </c>
      <c r="O111" t="s">
        <v>197</v>
      </c>
      <c r="P111" t="s">
        <v>58</v>
      </c>
      <c r="Q111" t="s">
        <v>36</v>
      </c>
      <c r="R111" t="s">
        <v>918</v>
      </c>
      <c r="S111" t="s">
        <v>514</v>
      </c>
      <c r="U111" s="2">
        <v>46246</v>
      </c>
      <c r="V111" t="s">
        <v>955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787</v>
      </c>
      <c r="B112" t="s">
        <v>788</v>
      </c>
      <c r="C112" t="s">
        <v>837</v>
      </c>
      <c r="D112" t="s">
        <v>919</v>
      </c>
      <c r="E112">
        <v>84</v>
      </c>
      <c r="F112" t="s">
        <v>789</v>
      </c>
      <c r="G112" t="s">
        <v>786</v>
      </c>
      <c r="H112" t="s">
        <v>786</v>
      </c>
      <c r="I112" t="s">
        <v>786</v>
      </c>
      <c r="J112" t="s">
        <v>30</v>
      </c>
      <c r="K112" s="5"/>
      <c r="L112" s="5" t="s">
        <v>31</v>
      </c>
      <c r="M112" t="s">
        <v>917</v>
      </c>
      <c r="N112" t="s">
        <v>196</v>
      </c>
      <c r="O112" t="s">
        <v>197</v>
      </c>
      <c r="P112" t="s">
        <v>124</v>
      </c>
      <c r="Q112" t="s">
        <v>36</v>
      </c>
      <c r="R112" t="s">
        <v>920</v>
      </c>
      <c r="S112" t="s">
        <v>514</v>
      </c>
      <c r="U112" s="2">
        <v>46246</v>
      </c>
      <c r="V112" t="s">
        <v>955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790</v>
      </c>
      <c r="B113" t="s">
        <v>791</v>
      </c>
      <c r="C113" t="s">
        <v>838</v>
      </c>
      <c r="D113" t="s">
        <v>921</v>
      </c>
      <c r="E113">
        <v>85</v>
      </c>
      <c r="F113" t="s">
        <v>792</v>
      </c>
      <c r="G113" t="s">
        <v>786</v>
      </c>
      <c r="H113" t="s">
        <v>786</v>
      </c>
      <c r="I113" t="s">
        <v>786</v>
      </c>
      <c r="J113" t="s">
        <v>30</v>
      </c>
      <c r="K113" s="5"/>
      <c r="L113" s="5" t="s">
        <v>31</v>
      </c>
      <c r="M113" t="s">
        <v>917</v>
      </c>
      <c r="N113" t="s">
        <v>196</v>
      </c>
      <c r="O113" t="s">
        <v>197</v>
      </c>
      <c r="P113" t="s">
        <v>273</v>
      </c>
      <c r="Q113" t="s">
        <v>36</v>
      </c>
      <c r="R113" t="s">
        <v>922</v>
      </c>
      <c r="S113" t="s">
        <v>514</v>
      </c>
      <c r="U113" s="2">
        <v>46246</v>
      </c>
      <c r="V113" t="s">
        <v>955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793</v>
      </c>
      <c r="B114" t="s">
        <v>794</v>
      </c>
      <c r="C114" t="s">
        <v>839</v>
      </c>
      <c r="D114" t="s">
        <v>923</v>
      </c>
      <c r="E114">
        <v>86</v>
      </c>
      <c r="F114" t="s">
        <v>795</v>
      </c>
      <c r="G114" t="s">
        <v>786</v>
      </c>
      <c r="H114" t="s">
        <v>786</v>
      </c>
      <c r="I114" t="s">
        <v>786</v>
      </c>
      <c r="J114" t="s">
        <v>30</v>
      </c>
      <c r="K114" s="5"/>
      <c r="L114" s="5" t="s">
        <v>31</v>
      </c>
      <c r="M114" t="s">
        <v>917</v>
      </c>
      <c r="N114" t="s">
        <v>196</v>
      </c>
      <c r="O114" t="s">
        <v>197</v>
      </c>
      <c r="P114" t="s">
        <v>75</v>
      </c>
      <c r="Q114" t="s">
        <v>36</v>
      </c>
      <c r="R114" t="s">
        <v>924</v>
      </c>
      <c r="S114" t="s">
        <v>514</v>
      </c>
      <c r="U114" s="2">
        <v>46246</v>
      </c>
      <c r="V114" t="s">
        <v>955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803</v>
      </c>
      <c r="B115" t="s">
        <v>804</v>
      </c>
      <c r="C115" t="s">
        <v>822</v>
      </c>
      <c r="D115" t="s">
        <v>823</v>
      </c>
      <c r="E115">
        <v>89</v>
      </c>
      <c r="F115" t="s">
        <v>805</v>
      </c>
      <c r="G115" t="s">
        <v>786</v>
      </c>
      <c r="H115" t="s">
        <v>786</v>
      </c>
      <c r="I115" t="s">
        <v>786</v>
      </c>
      <c r="J115" t="s">
        <v>39</v>
      </c>
      <c r="K115" s="5">
        <v>299800</v>
      </c>
      <c r="L115" s="5" t="s">
        <v>55</v>
      </c>
      <c r="M115" t="s">
        <v>824</v>
      </c>
      <c r="N115" t="s">
        <v>383</v>
      </c>
      <c r="O115" t="s">
        <v>384</v>
      </c>
      <c r="P115" t="s">
        <v>58</v>
      </c>
      <c r="Q115" t="s">
        <v>36</v>
      </c>
      <c r="R115" t="s">
        <v>825</v>
      </c>
      <c r="S115" t="s">
        <v>514</v>
      </c>
      <c r="T115" s="2">
        <v>46237</v>
      </c>
      <c r="U115" s="2">
        <v>46238</v>
      </c>
      <c r="V115" t="s">
        <v>776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813</v>
      </c>
      <c r="B116" s="16" t="s">
        <v>814</v>
      </c>
      <c r="C116" s="16" t="s">
        <v>842</v>
      </c>
      <c r="D116" s="16" t="s">
        <v>847</v>
      </c>
      <c r="E116" s="16">
        <v>92</v>
      </c>
      <c r="F116" s="16" t="s">
        <v>815</v>
      </c>
      <c r="G116" s="16" t="s">
        <v>786</v>
      </c>
      <c r="H116" s="16" t="s">
        <v>786</v>
      </c>
      <c r="I116" s="16" t="s">
        <v>786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848</v>
      </c>
      <c r="S116" s="16" t="s">
        <v>514</v>
      </c>
      <c r="U116" s="2">
        <v>46246</v>
      </c>
      <c r="V116" s="16" t="s">
        <v>776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813</v>
      </c>
      <c r="B117" s="16" t="s">
        <v>814</v>
      </c>
      <c r="C117" s="16" t="s">
        <v>842</v>
      </c>
      <c r="D117" s="16" t="s">
        <v>849</v>
      </c>
      <c r="E117" s="16">
        <v>92</v>
      </c>
      <c r="F117" s="16" t="s">
        <v>815</v>
      </c>
      <c r="G117" s="16" t="s">
        <v>786</v>
      </c>
      <c r="H117" s="16" t="s">
        <v>786</v>
      </c>
      <c r="I117" s="16" t="s">
        <v>786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850</v>
      </c>
      <c r="S117" s="16" t="s">
        <v>514</v>
      </c>
      <c r="U117" s="2">
        <v>46246</v>
      </c>
      <c r="V117" s="16" t="s">
        <v>776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826</v>
      </c>
      <c r="B118" s="16" t="s">
        <v>827</v>
      </c>
      <c r="C118" s="16" t="s">
        <v>828</v>
      </c>
      <c r="D118" s="16" t="s">
        <v>829</v>
      </c>
      <c r="E118" s="16">
        <v>94</v>
      </c>
      <c r="F118" s="16" t="s">
        <v>830</v>
      </c>
      <c r="G118" s="16" t="s">
        <v>831</v>
      </c>
      <c r="H118" s="16" t="s">
        <v>831</v>
      </c>
      <c r="I118" s="16" t="s">
        <v>831</v>
      </c>
      <c r="J118" s="16" t="s">
        <v>39</v>
      </c>
      <c r="K118" s="5"/>
      <c r="L118" s="5" t="s">
        <v>31</v>
      </c>
      <c r="M118" s="16" t="s">
        <v>832</v>
      </c>
      <c r="N118" s="16" t="s">
        <v>833</v>
      </c>
      <c r="O118" s="16" t="s">
        <v>57</v>
      </c>
      <c r="P118" s="16" t="s">
        <v>35</v>
      </c>
      <c r="Q118" s="16" t="s">
        <v>59</v>
      </c>
      <c r="R118" s="16" t="s">
        <v>834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844</v>
      </c>
      <c r="B119" s="16" t="s">
        <v>845</v>
      </c>
      <c r="C119" s="16" t="s">
        <v>851</v>
      </c>
      <c r="D119" s="16" t="s">
        <v>877</v>
      </c>
      <c r="E119" s="16">
        <v>95</v>
      </c>
      <c r="F119" s="16" t="s">
        <v>846</v>
      </c>
      <c r="G119" s="16" t="s">
        <v>786</v>
      </c>
      <c r="H119" s="16" t="s">
        <v>786</v>
      </c>
      <c r="I119" s="16" t="s">
        <v>786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878</v>
      </c>
      <c r="S119" s="16" t="s">
        <v>514</v>
      </c>
      <c r="U119" s="2">
        <v>46247</v>
      </c>
      <c r="V119" s="16" t="s">
        <v>956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852</v>
      </c>
      <c r="B120" s="16" t="s">
        <v>853</v>
      </c>
      <c r="C120" s="16" t="s">
        <v>854</v>
      </c>
      <c r="D120" s="16" t="s">
        <v>855</v>
      </c>
      <c r="E120" s="16">
        <v>96</v>
      </c>
      <c r="F120" s="16" t="s">
        <v>856</v>
      </c>
      <c r="G120" s="16" t="s">
        <v>857</v>
      </c>
      <c r="H120" s="16" t="s">
        <v>857</v>
      </c>
      <c r="I120" s="16" t="s">
        <v>857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858</v>
      </c>
      <c r="S120" s="16" t="s">
        <v>514</v>
      </c>
      <c r="U120" s="2">
        <v>46238</v>
      </c>
      <c r="V120" s="16" t="s">
        <v>874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864</v>
      </c>
      <c r="B121" s="16" t="s">
        <v>865</v>
      </c>
      <c r="C121" s="16" t="s">
        <v>879</v>
      </c>
      <c r="D121" s="16" t="s">
        <v>880</v>
      </c>
      <c r="E121" s="16">
        <v>98</v>
      </c>
      <c r="F121" s="16" t="s">
        <v>866</v>
      </c>
      <c r="G121" s="16" t="s">
        <v>867</v>
      </c>
      <c r="H121" s="16" t="s">
        <v>867</v>
      </c>
      <c r="I121" s="16" t="s">
        <v>867</v>
      </c>
      <c r="J121" s="16" t="s">
        <v>39</v>
      </c>
      <c r="K121" s="5"/>
      <c r="L121" s="5" t="s">
        <v>31</v>
      </c>
      <c r="M121" s="16" t="s">
        <v>881</v>
      </c>
      <c r="N121" s="16" t="s">
        <v>219</v>
      </c>
      <c r="O121" s="16" t="s">
        <v>868</v>
      </c>
      <c r="P121" s="16" t="s">
        <v>124</v>
      </c>
      <c r="Q121" s="16" t="s">
        <v>94</v>
      </c>
      <c r="R121" s="16" t="s">
        <v>882</v>
      </c>
      <c r="S121" s="16" t="s">
        <v>514</v>
      </c>
      <c r="U121" s="2">
        <v>46252</v>
      </c>
      <c r="V121" s="16" t="s">
        <v>1033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5">
        <f>+IF(Control[[#This Row],[Fecha de entrega]]="","",NETWORKDAYS(Control[[#This Row],[Fecha Requisición]],Control[[#This Row],[Fecha de entrega]]))</f>
        <v>10</v>
      </c>
      <c r="Z121" s="16"/>
      <c r="AA121" s="14">
        <f>+_xlfn.ISOWEEKNUM(Control[[#This Row],[Fecha Requisición]])</f>
        <v>32</v>
      </c>
    </row>
    <row r="122" spans="1:27">
      <c r="A122" s="16" t="s">
        <v>869</v>
      </c>
      <c r="B122" s="16" t="s">
        <v>870</v>
      </c>
      <c r="C122" s="16" t="s">
        <v>894</v>
      </c>
      <c r="D122" s="16" t="s">
        <v>925</v>
      </c>
      <c r="E122" s="16">
        <v>99</v>
      </c>
      <c r="F122" s="16" t="s">
        <v>871</v>
      </c>
      <c r="G122" s="16" t="s">
        <v>872</v>
      </c>
      <c r="H122" s="16" t="s">
        <v>872</v>
      </c>
      <c r="I122" s="16" t="s">
        <v>872</v>
      </c>
      <c r="J122" s="16" t="s">
        <v>39</v>
      </c>
      <c r="K122" s="5">
        <v>430820</v>
      </c>
      <c r="L122" s="5" t="s">
        <v>55</v>
      </c>
      <c r="M122" s="16" t="s">
        <v>926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927</v>
      </c>
      <c r="S122" s="16" t="s">
        <v>514</v>
      </c>
      <c r="T122" s="2">
        <v>46248</v>
      </c>
      <c r="U122" s="2">
        <v>46251</v>
      </c>
      <c r="V122" s="16" t="s">
        <v>1039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869</v>
      </c>
      <c r="B123" s="16" t="s">
        <v>870</v>
      </c>
      <c r="C123" s="16" t="s">
        <v>894</v>
      </c>
      <c r="D123" s="16" t="s">
        <v>928</v>
      </c>
      <c r="E123" s="16">
        <v>99</v>
      </c>
      <c r="F123" s="16" t="s">
        <v>871</v>
      </c>
      <c r="G123" s="16" t="s">
        <v>872</v>
      </c>
      <c r="H123" s="16" t="s">
        <v>872</v>
      </c>
      <c r="I123" s="16" t="s">
        <v>872</v>
      </c>
      <c r="J123" s="16" t="s">
        <v>30</v>
      </c>
      <c r="K123" s="5">
        <v>175893</v>
      </c>
      <c r="L123" s="5" t="s">
        <v>55</v>
      </c>
      <c r="M123" s="16" t="s">
        <v>929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930</v>
      </c>
      <c r="S123" s="16" t="s">
        <v>514</v>
      </c>
      <c r="T123" s="2">
        <v>46248</v>
      </c>
      <c r="U123" s="2">
        <v>46251</v>
      </c>
      <c r="V123" s="16" t="s">
        <v>1039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869</v>
      </c>
      <c r="B124" s="16" t="s">
        <v>870</v>
      </c>
      <c r="C124" s="16" t="s">
        <v>894</v>
      </c>
      <c r="D124" s="16" t="s">
        <v>931</v>
      </c>
      <c r="E124" s="16">
        <v>99</v>
      </c>
      <c r="F124" s="16" t="s">
        <v>871</v>
      </c>
      <c r="G124" s="16" t="s">
        <v>872</v>
      </c>
      <c r="H124" s="16" t="s">
        <v>872</v>
      </c>
      <c r="I124" s="16" t="s">
        <v>872</v>
      </c>
      <c r="J124" s="16" t="s">
        <v>39</v>
      </c>
      <c r="K124" s="5">
        <v>582990</v>
      </c>
      <c r="L124" s="5" t="s">
        <v>55</v>
      </c>
      <c r="M124" s="16" t="s">
        <v>932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933</v>
      </c>
      <c r="S124" s="16" t="s">
        <v>514</v>
      </c>
      <c r="T124" s="2">
        <v>46248</v>
      </c>
      <c r="U124" s="2">
        <v>46251</v>
      </c>
      <c r="V124" s="16" t="s">
        <v>1039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869</v>
      </c>
      <c r="B125" s="16" t="s">
        <v>870</v>
      </c>
      <c r="C125" s="16" t="s">
        <v>894</v>
      </c>
      <c r="D125" s="16" t="s">
        <v>934</v>
      </c>
      <c r="E125" s="16">
        <v>99</v>
      </c>
      <c r="F125" s="16" t="s">
        <v>871</v>
      </c>
      <c r="G125" s="16" t="s">
        <v>872</v>
      </c>
      <c r="H125" s="16" t="s">
        <v>872</v>
      </c>
      <c r="I125" s="16" t="s">
        <v>872</v>
      </c>
      <c r="J125" s="16" t="s">
        <v>39</v>
      </c>
      <c r="K125" s="5">
        <v>259391</v>
      </c>
      <c r="L125" s="5" t="s">
        <v>55</v>
      </c>
      <c r="M125" s="16" t="s">
        <v>935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936</v>
      </c>
      <c r="S125" s="16" t="s">
        <v>514</v>
      </c>
      <c r="T125" s="2">
        <v>46248</v>
      </c>
      <c r="U125" s="2">
        <v>46251</v>
      </c>
      <c r="V125" s="16" t="s">
        <v>1039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883</v>
      </c>
      <c r="B126" s="16" t="s">
        <v>884</v>
      </c>
      <c r="C126" s="16" t="s">
        <v>893</v>
      </c>
      <c r="D126" s="16" t="s">
        <v>885</v>
      </c>
      <c r="E126" s="16">
        <v>100</v>
      </c>
      <c r="F126" s="16" t="s">
        <v>886</v>
      </c>
      <c r="G126" s="16" t="s">
        <v>887</v>
      </c>
      <c r="H126" s="16" t="s">
        <v>887</v>
      </c>
      <c r="I126" s="16" t="s">
        <v>887</v>
      </c>
      <c r="J126" s="16" t="s">
        <v>30</v>
      </c>
      <c r="K126" s="5">
        <v>536000</v>
      </c>
      <c r="L126" s="5" t="s">
        <v>55</v>
      </c>
      <c r="M126" s="16" t="s">
        <v>888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889</v>
      </c>
      <c r="S126" s="16" t="s">
        <v>514</v>
      </c>
      <c r="T126" s="2">
        <v>46248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890</v>
      </c>
      <c r="B127" s="16" t="s">
        <v>891</v>
      </c>
      <c r="C127" s="16" t="s">
        <v>895</v>
      </c>
      <c r="D127" s="16" t="s">
        <v>937</v>
      </c>
      <c r="E127" s="16">
        <v>101</v>
      </c>
      <c r="F127" s="16" t="s">
        <v>892</v>
      </c>
      <c r="G127" s="16" t="s">
        <v>887</v>
      </c>
      <c r="H127" s="16" t="s">
        <v>887</v>
      </c>
      <c r="I127" s="16" t="s">
        <v>887</v>
      </c>
      <c r="J127" s="16" t="s">
        <v>30</v>
      </c>
      <c r="K127" s="5"/>
      <c r="L127" s="5" t="s">
        <v>31</v>
      </c>
      <c r="M127" s="16" t="s">
        <v>938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939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896</v>
      </c>
      <c r="B128" s="16" t="s">
        <v>897</v>
      </c>
      <c r="C128" s="16" t="s">
        <v>898</v>
      </c>
      <c r="D128" s="16" t="s">
        <v>959</v>
      </c>
      <c r="E128" s="16">
        <v>102</v>
      </c>
      <c r="F128" s="16" t="s">
        <v>899</v>
      </c>
      <c r="G128" s="16" t="s">
        <v>900</v>
      </c>
      <c r="H128" s="16" t="s">
        <v>900</v>
      </c>
      <c r="I128" s="16" t="s">
        <v>900</v>
      </c>
      <c r="J128" s="16" t="s">
        <v>39</v>
      </c>
      <c r="K128" s="5"/>
      <c r="L128" s="5" t="s">
        <v>31</v>
      </c>
      <c r="M128" s="16" t="s">
        <v>960</v>
      </c>
      <c r="N128" s="16" t="s">
        <v>219</v>
      </c>
      <c r="O128" s="16" t="s">
        <v>868</v>
      </c>
      <c r="P128" s="16"/>
      <c r="Q128" s="16" t="s">
        <v>36</v>
      </c>
      <c r="R128" s="16" t="s">
        <v>961</v>
      </c>
      <c r="S128" s="16" t="s">
        <v>514</v>
      </c>
      <c r="T128" s="2">
        <v>46248</v>
      </c>
      <c r="U128" s="2">
        <v>46248</v>
      </c>
      <c r="V128" s="16" t="s">
        <v>643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6</v>
      </c>
      <c r="Z128" s="16"/>
      <c r="AA128" s="14">
        <f>+_xlfn.ISOWEEKNUM(Control[[#This Row],[Fecha Requisición]])</f>
        <v>32</v>
      </c>
    </row>
    <row r="129" spans="1:27">
      <c r="A129" s="16" t="s">
        <v>901</v>
      </c>
      <c r="B129" s="16" t="s">
        <v>902</v>
      </c>
      <c r="C129" s="16" t="s">
        <v>903</v>
      </c>
      <c r="D129" s="16" t="s">
        <v>962</v>
      </c>
      <c r="E129" s="16">
        <v>103</v>
      </c>
      <c r="F129" s="16" t="s">
        <v>904</v>
      </c>
      <c r="G129" s="16" t="s">
        <v>900</v>
      </c>
      <c r="H129" s="16" t="s">
        <v>900</v>
      </c>
      <c r="I129" s="16" t="s">
        <v>900</v>
      </c>
      <c r="J129" s="16" t="s">
        <v>39</v>
      </c>
      <c r="K129" s="5">
        <v>1662073</v>
      </c>
      <c r="L129" s="5" t="s">
        <v>55</v>
      </c>
      <c r="M129" s="16" t="s">
        <v>963</v>
      </c>
      <c r="N129" s="16" t="s">
        <v>905</v>
      </c>
      <c r="O129" s="16" t="s">
        <v>384</v>
      </c>
      <c r="P129" s="16" t="s">
        <v>58</v>
      </c>
      <c r="Q129" s="16" t="s">
        <v>36</v>
      </c>
      <c r="R129" s="16" t="s">
        <v>964</v>
      </c>
      <c r="S129" s="16" t="s">
        <v>514</v>
      </c>
      <c r="T129" s="2">
        <v>46248</v>
      </c>
      <c r="V129" s="16" t="s">
        <v>1034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906</v>
      </c>
      <c r="B130" s="16" t="s">
        <v>907</v>
      </c>
      <c r="C130" s="16" t="s">
        <v>908</v>
      </c>
      <c r="D130" s="16" t="s">
        <v>947</v>
      </c>
      <c r="E130" s="16">
        <v>104</v>
      </c>
      <c r="F130" s="16" t="s">
        <v>909</v>
      </c>
      <c r="G130" s="16" t="s">
        <v>910</v>
      </c>
      <c r="H130" s="16" t="s">
        <v>910</v>
      </c>
      <c r="I130" s="16" t="s">
        <v>910</v>
      </c>
      <c r="J130" s="16" t="s">
        <v>30</v>
      </c>
      <c r="K130" s="5"/>
      <c r="L130" s="5" t="s">
        <v>31</v>
      </c>
      <c r="M130" s="16" t="s">
        <v>938</v>
      </c>
      <c r="N130" s="16" t="s">
        <v>911</v>
      </c>
      <c r="O130" s="16" t="s">
        <v>34</v>
      </c>
      <c r="P130" s="16" t="s">
        <v>273</v>
      </c>
      <c r="Q130" s="16" t="s">
        <v>36</v>
      </c>
      <c r="R130" s="16" t="s">
        <v>948</v>
      </c>
      <c r="S130" s="16" t="s">
        <v>514</v>
      </c>
      <c r="U130" s="2">
        <v>46247</v>
      </c>
      <c r="V130" s="16" t="s">
        <v>643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912</v>
      </c>
      <c r="B131" s="16" t="s">
        <v>913</v>
      </c>
      <c r="C131" s="16" t="s">
        <v>914</v>
      </c>
      <c r="D131" s="16" t="s">
        <v>965</v>
      </c>
      <c r="E131" s="16">
        <v>105</v>
      </c>
      <c r="F131" s="16" t="s">
        <v>915</v>
      </c>
      <c r="G131" s="16" t="s">
        <v>910</v>
      </c>
      <c r="H131" s="16" t="s">
        <v>910</v>
      </c>
      <c r="I131" s="16" t="s">
        <v>910</v>
      </c>
      <c r="J131" s="16" t="s">
        <v>39</v>
      </c>
      <c r="K131" s="5">
        <v>353930</v>
      </c>
      <c r="L131" s="5" t="s">
        <v>55</v>
      </c>
      <c r="M131" s="16" t="s">
        <v>966</v>
      </c>
      <c r="N131" s="16" t="s">
        <v>905</v>
      </c>
      <c r="O131" s="16" t="s">
        <v>384</v>
      </c>
      <c r="P131" s="16" t="s">
        <v>58</v>
      </c>
      <c r="Q131" s="16" t="s">
        <v>36</v>
      </c>
      <c r="R131" s="16" t="s">
        <v>967</v>
      </c>
      <c r="S131" s="16" t="s">
        <v>514</v>
      </c>
      <c r="T131" s="2">
        <v>46248</v>
      </c>
      <c r="U131" s="2">
        <v>46252</v>
      </c>
      <c r="V131" s="16" t="s">
        <v>643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5">
        <f>+IF(Control[[#This Row],[Fecha de entrega]]="","",NETWORKDAYS(Control[[#This Row],[Fecha Requisición]],Control[[#This Row],[Fecha de entrega]]))</f>
        <v>6</v>
      </c>
      <c r="Z131" s="16"/>
      <c r="AA131" s="14">
        <f>+_xlfn.ISOWEEKNUM(Control[[#This Row],[Fecha Requisición]])</f>
        <v>33</v>
      </c>
    </row>
    <row r="132" spans="1:27">
      <c r="A132" s="16" t="s">
        <v>940</v>
      </c>
      <c r="B132" s="16" t="s">
        <v>941</v>
      </c>
      <c r="C132" s="16" t="s">
        <v>968</v>
      </c>
      <c r="D132" s="16" t="s">
        <v>996</v>
      </c>
      <c r="E132" s="16">
        <v>106</v>
      </c>
      <c r="F132" s="16" t="s">
        <v>942</v>
      </c>
      <c r="G132" s="16" t="s">
        <v>943</v>
      </c>
      <c r="H132" s="16" t="s">
        <v>943</v>
      </c>
      <c r="I132" s="16" t="s">
        <v>943</v>
      </c>
      <c r="J132" s="16" t="s">
        <v>30</v>
      </c>
      <c r="K132" s="5"/>
      <c r="L132" s="5" t="s">
        <v>31</v>
      </c>
      <c r="M132" s="16" t="s">
        <v>929</v>
      </c>
      <c r="N132" s="16" t="s">
        <v>204</v>
      </c>
      <c r="O132" s="16" t="s">
        <v>57</v>
      </c>
      <c r="P132" s="16" t="s">
        <v>58</v>
      </c>
      <c r="Q132" s="16" t="s">
        <v>36</v>
      </c>
      <c r="R132" s="16" t="s">
        <v>997</v>
      </c>
      <c r="S132" s="16" t="s">
        <v>514</v>
      </c>
      <c r="U132" s="2">
        <v>46252</v>
      </c>
      <c r="V132" s="16" t="s">
        <v>1035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5">
        <f>+IF(Control[[#This Row],[Fecha de entrega]]="","",NETWORKDAYS(Control[[#This Row],[Fecha Requisición]],Control[[#This Row],[Fecha de entrega]]))</f>
        <v>5</v>
      </c>
      <c r="Z132" s="16"/>
      <c r="AA132" s="14">
        <f>+_xlfn.ISOWEEKNUM(Control[[#This Row],[Fecha Requisición]])</f>
        <v>33</v>
      </c>
    </row>
    <row r="133" spans="1:27">
      <c r="A133" s="16" t="s">
        <v>944</v>
      </c>
      <c r="B133" s="16" t="s">
        <v>945</v>
      </c>
      <c r="C133" s="16" t="s">
        <v>969</v>
      </c>
      <c r="D133" s="16" t="s">
        <v>998</v>
      </c>
      <c r="E133" s="16">
        <v>107</v>
      </c>
      <c r="F133" s="16" t="s">
        <v>946</v>
      </c>
      <c r="G133" s="16" t="s">
        <v>943</v>
      </c>
      <c r="H133" s="16" t="s">
        <v>943</v>
      </c>
      <c r="I133" s="16" t="s">
        <v>943</v>
      </c>
      <c r="J133" s="16" t="s">
        <v>30</v>
      </c>
      <c r="K133" s="5">
        <v>1672516</v>
      </c>
      <c r="L133" s="5" t="s">
        <v>55</v>
      </c>
      <c r="M133" s="16" t="s">
        <v>999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1000</v>
      </c>
      <c r="S133" s="16" t="s">
        <v>514</v>
      </c>
      <c r="U133" s="2">
        <v>46252</v>
      </c>
      <c r="V133" s="16" t="s">
        <v>1036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5">
        <f>+IF(Control[[#This Row],[Fecha de entrega]]="","",NETWORKDAYS(Control[[#This Row],[Fecha Requisición]],Control[[#This Row],[Fecha de entrega]]))</f>
        <v>5</v>
      </c>
      <c r="Z133" s="16"/>
      <c r="AA133" s="14">
        <f>+_xlfn.ISOWEEKNUM(Control[[#This Row],[Fecha Requisición]])</f>
        <v>33</v>
      </c>
    </row>
    <row r="134" spans="1:27">
      <c r="A134" s="16" t="s">
        <v>949</v>
      </c>
      <c r="B134" s="16" t="s">
        <v>950</v>
      </c>
      <c r="C134" s="16" t="s">
        <v>951</v>
      </c>
      <c r="D134" s="16" t="s">
        <v>957</v>
      </c>
      <c r="E134" s="16">
        <v>109</v>
      </c>
      <c r="F134" s="16" t="s">
        <v>952</v>
      </c>
      <c r="G134" s="16" t="s">
        <v>953</v>
      </c>
      <c r="H134" s="16" t="s">
        <v>953</v>
      </c>
      <c r="I134" s="16" t="s">
        <v>953</v>
      </c>
      <c r="J134" s="16" t="s">
        <v>39</v>
      </c>
      <c r="K134" s="5"/>
      <c r="L134" s="5" t="s">
        <v>31</v>
      </c>
      <c r="M134" s="16" t="s">
        <v>571</v>
      </c>
      <c r="N134" s="16" t="s">
        <v>219</v>
      </c>
      <c r="O134" s="16" t="s">
        <v>868</v>
      </c>
      <c r="P134" s="16" t="s">
        <v>124</v>
      </c>
      <c r="Q134" s="16" t="s">
        <v>36</v>
      </c>
      <c r="R134" s="16" t="s">
        <v>958</v>
      </c>
      <c r="S134" s="16" t="s">
        <v>514</v>
      </c>
      <c r="T134" s="2">
        <v>46248</v>
      </c>
      <c r="U134" s="2">
        <v>46251</v>
      </c>
      <c r="V134" s="16" t="s">
        <v>643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5">
        <f>+IF(Control[[#This Row],[Fecha de entrega]]="","",NETWORKDAYS(Control[[#This Row],[Fecha Requisición]],Control[[#This Row],[Fecha de entrega]]))</f>
        <v>3</v>
      </c>
      <c r="Z134" s="16"/>
      <c r="AA134" s="14">
        <f>+_xlfn.ISOWEEKNUM(Control[[#This Row],[Fecha Requisición]])</f>
        <v>33</v>
      </c>
    </row>
    <row r="135" spans="1:27">
      <c r="A135" s="16" t="s">
        <v>970</v>
      </c>
      <c r="B135" s="16" t="s">
        <v>971</v>
      </c>
      <c r="C135" s="16" t="s">
        <v>972</v>
      </c>
      <c r="D135" s="16" t="s">
        <v>1001</v>
      </c>
      <c r="E135" s="16">
        <v>110</v>
      </c>
      <c r="F135" s="16" t="s">
        <v>973</v>
      </c>
      <c r="G135" s="16" t="s">
        <v>953</v>
      </c>
      <c r="H135" s="16" t="s">
        <v>953</v>
      </c>
      <c r="I135" s="16" t="s">
        <v>953</v>
      </c>
      <c r="J135" s="16" t="s">
        <v>30</v>
      </c>
      <c r="K135" s="5">
        <v>1431345</v>
      </c>
      <c r="L135" s="5" t="s">
        <v>55</v>
      </c>
      <c r="M135" s="16" t="s">
        <v>917</v>
      </c>
      <c r="N135" s="16" t="s">
        <v>204</v>
      </c>
      <c r="O135" s="16" t="s">
        <v>57</v>
      </c>
      <c r="P135" s="16" t="s">
        <v>58</v>
      </c>
      <c r="Q135" s="16" t="s">
        <v>36</v>
      </c>
      <c r="R135" s="16" t="s">
        <v>1002</v>
      </c>
      <c r="S135" s="16" t="s">
        <v>514</v>
      </c>
      <c r="V135" s="16" t="s">
        <v>1037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33</v>
      </c>
    </row>
    <row r="136" spans="1:27">
      <c r="A136" s="16" t="s">
        <v>974</v>
      </c>
      <c r="B136" s="16" t="s">
        <v>975</v>
      </c>
      <c r="C136" s="16" t="s">
        <v>976</v>
      </c>
      <c r="D136" s="16" t="s">
        <v>1003</v>
      </c>
      <c r="E136" s="16">
        <v>111</v>
      </c>
      <c r="F136" s="16" t="s">
        <v>977</v>
      </c>
      <c r="G136" s="16" t="s">
        <v>953</v>
      </c>
      <c r="H136" s="16" t="s">
        <v>953</v>
      </c>
      <c r="I136" s="16" t="s">
        <v>953</v>
      </c>
      <c r="J136" s="16" t="s">
        <v>30</v>
      </c>
      <c r="K136" s="5"/>
      <c r="L136" s="5" t="s">
        <v>31</v>
      </c>
      <c r="M136" s="16" t="s">
        <v>1004</v>
      </c>
      <c r="N136" s="16" t="s">
        <v>978</v>
      </c>
      <c r="O136" s="16" t="s">
        <v>57</v>
      </c>
      <c r="P136" s="16" t="s">
        <v>124</v>
      </c>
      <c r="Q136" s="16" t="s">
        <v>36</v>
      </c>
      <c r="R136" s="16" t="s">
        <v>1005</v>
      </c>
      <c r="S136" s="16" t="s">
        <v>514</v>
      </c>
      <c r="V136" s="16" t="s">
        <v>1037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979</v>
      </c>
      <c r="B137" s="16" t="s">
        <v>980</v>
      </c>
      <c r="C137" s="16" t="s">
        <v>981</v>
      </c>
      <c r="D137" s="16" t="s">
        <v>1006</v>
      </c>
      <c r="E137" s="16">
        <v>112</v>
      </c>
      <c r="F137" s="16" t="s">
        <v>982</v>
      </c>
      <c r="G137" s="16" t="s">
        <v>953</v>
      </c>
      <c r="H137" s="16" t="s">
        <v>953</v>
      </c>
      <c r="I137" s="16" t="s">
        <v>953</v>
      </c>
      <c r="J137" s="16" t="s">
        <v>30</v>
      </c>
      <c r="K137" s="5"/>
      <c r="L137" s="5" t="s">
        <v>31</v>
      </c>
      <c r="M137" s="16" t="s">
        <v>1004</v>
      </c>
      <c r="N137" s="16" t="s">
        <v>978</v>
      </c>
      <c r="O137" s="16" t="s">
        <v>101</v>
      </c>
      <c r="P137" s="16" t="s">
        <v>124</v>
      </c>
      <c r="Q137" s="16" t="s">
        <v>36</v>
      </c>
      <c r="R137" s="16" t="s">
        <v>1007</v>
      </c>
      <c r="S137" s="16" t="s">
        <v>514</v>
      </c>
      <c r="V137" s="16" t="s">
        <v>1037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983</v>
      </c>
      <c r="B138" s="16" t="s">
        <v>984</v>
      </c>
      <c r="C138" s="16" t="s">
        <v>985</v>
      </c>
      <c r="D138" s="16" t="s">
        <v>1008</v>
      </c>
      <c r="E138" s="16">
        <v>113</v>
      </c>
      <c r="F138" s="16" t="s">
        <v>986</v>
      </c>
      <c r="G138" s="16" t="s">
        <v>953</v>
      </c>
      <c r="H138" s="16" t="s">
        <v>953</v>
      </c>
      <c r="I138" s="16" t="s">
        <v>953</v>
      </c>
      <c r="J138" s="16" t="s">
        <v>30</v>
      </c>
      <c r="K138" s="5"/>
      <c r="L138" s="5" t="s">
        <v>31</v>
      </c>
      <c r="M138" s="16" t="s">
        <v>1004</v>
      </c>
      <c r="N138" s="16" t="s">
        <v>978</v>
      </c>
      <c r="O138" s="16" t="s">
        <v>123</v>
      </c>
      <c r="P138" s="16" t="s">
        <v>124</v>
      </c>
      <c r="Q138" s="16" t="s">
        <v>36</v>
      </c>
      <c r="R138" s="16" t="s">
        <v>1009</v>
      </c>
      <c r="S138" s="16" t="s">
        <v>514</v>
      </c>
      <c r="V138" s="16" t="s">
        <v>1037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987</v>
      </c>
      <c r="B139" s="16" t="s">
        <v>988</v>
      </c>
      <c r="C139" s="16" t="s">
        <v>995</v>
      </c>
      <c r="D139" s="16" t="s">
        <v>1010</v>
      </c>
      <c r="E139" s="16">
        <v>114</v>
      </c>
      <c r="F139" s="16" t="s">
        <v>989</v>
      </c>
      <c r="G139" s="16" t="s">
        <v>990</v>
      </c>
      <c r="H139" s="16" t="s">
        <v>990</v>
      </c>
      <c r="I139" s="16" t="s">
        <v>990</v>
      </c>
      <c r="J139" s="16" t="s">
        <v>30</v>
      </c>
      <c r="K139" s="5"/>
      <c r="L139" s="5" t="s">
        <v>31</v>
      </c>
      <c r="M139" s="16" t="s">
        <v>1004</v>
      </c>
      <c r="N139" s="16" t="s">
        <v>767</v>
      </c>
      <c r="O139" s="16" t="s">
        <v>57</v>
      </c>
      <c r="P139" s="16" t="s">
        <v>35</v>
      </c>
      <c r="Q139" s="16" t="s">
        <v>94</v>
      </c>
      <c r="R139" s="16" t="s">
        <v>1011</v>
      </c>
      <c r="S139" s="16" t="s">
        <v>514</v>
      </c>
      <c r="V139" s="16" t="s">
        <v>1037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991</v>
      </c>
      <c r="B140" s="16" t="s">
        <v>992</v>
      </c>
      <c r="C140" s="16" t="s">
        <v>993</v>
      </c>
      <c r="D140" s="16" t="s">
        <v>1012</v>
      </c>
      <c r="E140" s="16">
        <v>115</v>
      </c>
      <c r="F140" s="16" t="s">
        <v>994</v>
      </c>
      <c r="G140" s="16" t="s">
        <v>990</v>
      </c>
      <c r="H140" s="16" t="s">
        <v>990</v>
      </c>
      <c r="I140" s="16" t="s">
        <v>990</v>
      </c>
      <c r="J140" s="16" t="s">
        <v>30</v>
      </c>
      <c r="K140" s="5">
        <v>150000</v>
      </c>
      <c r="L140" s="5" t="s">
        <v>55</v>
      </c>
      <c r="M140" s="16" t="s">
        <v>1013</v>
      </c>
      <c r="N140" s="16" t="s">
        <v>905</v>
      </c>
      <c r="O140" s="16" t="s">
        <v>384</v>
      </c>
      <c r="P140" s="16" t="s">
        <v>58</v>
      </c>
      <c r="Q140" s="16" t="s">
        <v>36</v>
      </c>
      <c r="R140" s="16" t="s">
        <v>1014</v>
      </c>
      <c r="S140" s="16" t="s">
        <v>514</v>
      </c>
      <c r="T140" s="2">
        <v>46252</v>
      </c>
      <c r="U140" s="2">
        <v>46252</v>
      </c>
      <c r="V140" s="16" t="s">
        <v>643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5">
        <f>+IF(Control[[#This Row],[Fecha de entrega]]="","",NETWORKDAYS(Control[[#This Row],[Fecha Requisición]],Control[[#This Row],[Fecha de entrega]]))</f>
        <v>3</v>
      </c>
      <c r="Z140" s="16"/>
      <c r="AA140" s="14">
        <f>+_xlfn.ISOWEEKNUM(Control[[#This Row],[Fecha Requisición]])</f>
        <v>33</v>
      </c>
    </row>
    <row r="141" spans="1:27">
      <c r="A141" s="16" t="s">
        <v>199</v>
      </c>
      <c r="B141" s="16" t="s">
        <v>200</v>
      </c>
      <c r="C141" s="16" t="s">
        <v>201</v>
      </c>
      <c r="D141" s="16"/>
      <c r="E141" s="16">
        <v>18</v>
      </c>
      <c r="F141" s="16" t="s">
        <v>202</v>
      </c>
      <c r="G141" s="16" t="s">
        <v>203</v>
      </c>
      <c r="H141" s="16" t="s">
        <v>203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642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46174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23</v>
      </c>
    </row>
    <row r="142" spans="1:27">
      <c r="A142" s="16" t="s">
        <v>205</v>
      </c>
      <c r="B142" s="16" t="s">
        <v>206</v>
      </c>
      <c r="C142" s="16" t="s">
        <v>717</v>
      </c>
      <c r="D142" s="16"/>
      <c r="E142" s="16">
        <v>21</v>
      </c>
      <c r="F142" s="16" t="s">
        <v>207</v>
      </c>
      <c r="G142" s="16" t="s">
        <v>195</v>
      </c>
      <c r="H142" s="16" t="s">
        <v>195</v>
      </c>
      <c r="I142" s="16"/>
      <c r="J142" s="16"/>
      <c r="K142" s="5"/>
      <c r="L142" s="5" t="s">
        <v>31</v>
      </c>
      <c r="M142" s="16"/>
      <c r="N142" s="16" t="s">
        <v>167</v>
      </c>
      <c r="O142" s="16" t="s">
        <v>86</v>
      </c>
      <c r="P142" s="16" t="s">
        <v>35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46174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23</v>
      </c>
    </row>
    <row r="143" spans="1:27">
      <c r="A143" s="16" t="s">
        <v>208</v>
      </c>
      <c r="B143" s="16" t="s">
        <v>209</v>
      </c>
      <c r="C143" s="16" t="s">
        <v>210</v>
      </c>
      <c r="D143" s="16"/>
      <c r="E143" s="16">
        <v>26</v>
      </c>
      <c r="F143" s="16" t="s">
        <v>211</v>
      </c>
      <c r="G143" s="16" t="s">
        <v>212</v>
      </c>
      <c r="H143" s="16" t="s">
        <v>212</v>
      </c>
      <c r="I143" s="16"/>
      <c r="J143" s="16"/>
      <c r="K143" s="5"/>
      <c r="L143" s="5" t="s">
        <v>31</v>
      </c>
      <c r="M143" s="16"/>
      <c r="N143" s="16" t="s">
        <v>213</v>
      </c>
      <c r="O143" s="16" t="s">
        <v>101</v>
      </c>
      <c r="P143" s="16" t="s">
        <v>124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25</v>
      </c>
    </row>
    <row r="144" spans="1:27">
      <c r="A144" s="16" t="s">
        <v>214</v>
      </c>
      <c r="B144" s="16" t="s">
        <v>215</v>
      </c>
      <c r="C144" s="16" t="s">
        <v>216</v>
      </c>
      <c r="D144" s="16"/>
      <c r="E144" s="16">
        <v>27</v>
      </c>
      <c r="F144" s="16" t="s">
        <v>217</v>
      </c>
      <c r="G144" s="16" t="s">
        <v>218</v>
      </c>
      <c r="H144" s="16" t="s">
        <v>218</v>
      </c>
      <c r="I144" s="16"/>
      <c r="J144" s="16"/>
      <c r="K144" s="5"/>
      <c r="L144" s="5" t="s">
        <v>31</v>
      </c>
      <c r="M144" s="16"/>
      <c r="N144" s="16" t="s">
        <v>219</v>
      </c>
      <c r="O144" s="16" t="s">
        <v>101</v>
      </c>
      <c r="P144" s="16" t="s">
        <v>124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24</v>
      </c>
    </row>
    <row r="145" spans="1:27">
      <c r="A145" s="16" t="s">
        <v>220</v>
      </c>
      <c r="B145" s="16" t="s">
        <v>221</v>
      </c>
      <c r="C145" s="16" t="s">
        <v>222</v>
      </c>
      <c r="D145" s="16"/>
      <c r="E145" s="16">
        <v>28</v>
      </c>
      <c r="F145" s="16" t="s">
        <v>223</v>
      </c>
      <c r="G145" s="16" t="s">
        <v>218</v>
      </c>
      <c r="H145" s="16" t="s">
        <v>218</v>
      </c>
      <c r="I145" s="16"/>
      <c r="J145" s="16"/>
      <c r="K145" s="5"/>
      <c r="L145" s="5" t="s">
        <v>31</v>
      </c>
      <c r="M145" s="16"/>
      <c r="N145" s="16" t="s">
        <v>158</v>
      </c>
      <c r="O145" s="16" t="s">
        <v>57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24</v>
      </c>
    </row>
    <row r="146" spans="1:27">
      <c r="A146" s="16" t="s">
        <v>224</v>
      </c>
      <c r="B146" s="16" t="s">
        <v>225</v>
      </c>
      <c r="C146" s="16" t="s">
        <v>226</v>
      </c>
      <c r="D146" s="16"/>
      <c r="E146" s="16">
        <v>29</v>
      </c>
      <c r="F146" s="16" t="s">
        <v>227</v>
      </c>
      <c r="G146" s="16" t="s">
        <v>212</v>
      </c>
      <c r="H146" s="16" t="s">
        <v>212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25</v>
      </c>
    </row>
    <row r="147" spans="1:27">
      <c r="A147" s="16" t="s">
        <v>379</v>
      </c>
      <c r="B147" s="16" t="s">
        <v>380</v>
      </c>
      <c r="C147" s="16" t="s">
        <v>602</v>
      </c>
      <c r="D147" s="16"/>
      <c r="E147" s="16">
        <v>47</v>
      </c>
      <c r="F147" s="16" t="s">
        <v>381</v>
      </c>
      <c r="G147" s="16" t="s">
        <v>382</v>
      </c>
      <c r="H147" s="16" t="s">
        <v>382</v>
      </c>
      <c r="I147" s="16"/>
      <c r="J147" s="16"/>
      <c r="K147" s="5"/>
      <c r="L147" s="5" t="s">
        <v>55</v>
      </c>
      <c r="M147" s="16"/>
      <c r="N147" s="16" t="s">
        <v>383</v>
      </c>
      <c r="O147" s="16" t="s">
        <v>384</v>
      </c>
      <c r="P147" s="16" t="s">
        <v>58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28</v>
      </c>
    </row>
    <row r="148" spans="1:27">
      <c r="A148" s="16" t="s">
        <v>385</v>
      </c>
      <c r="B148" s="16" t="s">
        <v>386</v>
      </c>
      <c r="C148" s="16" t="s">
        <v>603</v>
      </c>
      <c r="D148" s="16"/>
      <c r="E148" s="16">
        <v>48</v>
      </c>
      <c r="F148" s="16" t="s">
        <v>387</v>
      </c>
      <c r="G148" s="16" t="s">
        <v>382</v>
      </c>
      <c r="H148" s="16" t="s">
        <v>382</v>
      </c>
      <c r="I148" s="16"/>
      <c r="J148" s="16"/>
      <c r="K148" s="5"/>
      <c r="L148" s="5"/>
      <c r="M148" s="16"/>
      <c r="N148" s="16" t="s">
        <v>388</v>
      </c>
      <c r="O148" s="16" t="s">
        <v>176</v>
      </c>
      <c r="P148" s="16" t="s">
        <v>58</v>
      </c>
      <c r="Q148" s="16" t="s">
        <v>94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28</v>
      </c>
    </row>
    <row r="149" spans="1:27">
      <c r="A149" s="16" t="s">
        <v>635</v>
      </c>
      <c r="B149" s="16" t="s">
        <v>636</v>
      </c>
      <c r="C149" s="16" t="s">
        <v>674</v>
      </c>
      <c r="D149" s="16"/>
      <c r="E149" s="16">
        <v>71</v>
      </c>
      <c r="F149" s="16" t="s">
        <v>637</v>
      </c>
      <c r="G149" s="16" t="s">
        <v>638</v>
      </c>
      <c r="H149" s="16" t="s">
        <v>638</v>
      </c>
      <c r="I149" s="16"/>
      <c r="J149" s="16"/>
      <c r="K149" s="5"/>
      <c r="L149" s="5" t="s">
        <v>31</v>
      </c>
      <c r="M149" s="16"/>
      <c r="N149" s="16" t="s">
        <v>307</v>
      </c>
      <c r="O149" s="16" t="s">
        <v>86</v>
      </c>
      <c r="P149" s="16" t="s">
        <v>124</v>
      </c>
      <c r="Q149" s="16" t="s">
        <v>36</v>
      </c>
      <c r="R149" s="16"/>
      <c r="S149" s="16" t="s">
        <v>725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30</v>
      </c>
    </row>
    <row r="150" spans="1:27">
      <c r="A150" s="16" t="s">
        <v>639</v>
      </c>
      <c r="B150" s="16" t="s">
        <v>640</v>
      </c>
      <c r="C150" s="16" t="s">
        <v>675</v>
      </c>
      <c r="D150" s="16"/>
      <c r="E150" s="16">
        <v>72</v>
      </c>
      <c r="F150" s="16" t="s">
        <v>641</v>
      </c>
      <c r="G150" s="16" t="s">
        <v>638</v>
      </c>
      <c r="H150" s="16" t="s">
        <v>638</v>
      </c>
      <c r="I150" s="16"/>
      <c r="J150" s="16"/>
      <c r="K150" s="5"/>
      <c r="L150" s="5" t="s">
        <v>31</v>
      </c>
      <c r="M150" s="16"/>
      <c r="N150" s="16" t="s">
        <v>307</v>
      </c>
      <c r="O150" s="16" t="s">
        <v>86</v>
      </c>
      <c r="P150" s="16" t="s">
        <v>124</v>
      </c>
      <c r="Q150" s="16" t="s">
        <v>36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30</v>
      </c>
    </row>
    <row r="151" spans="1:27">
      <c r="A151" s="16" t="s">
        <v>756</v>
      </c>
      <c r="B151" s="16" t="s">
        <v>757</v>
      </c>
      <c r="C151" s="16" t="s">
        <v>758</v>
      </c>
      <c r="D151" s="16"/>
      <c r="E151" s="16">
        <v>79</v>
      </c>
      <c r="F151" s="16" t="s">
        <v>759</v>
      </c>
      <c r="G151" s="16" t="s">
        <v>749</v>
      </c>
      <c r="H151" s="16" t="s">
        <v>749</v>
      </c>
      <c r="I151" s="16"/>
      <c r="J151" s="16"/>
      <c r="K151" s="5"/>
      <c r="L151" s="5" t="s">
        <v>55</v>
      </c>
      <c r="M151" s="16"/>
      <c r="N151" s="16" t="s">
        <v>706</v>
      </c>
      <c r="O151" s="16" t="s">
        <v>101</v>
      </c>
      <c r="P151" s="16" t="s">
        <v>58</v>
      </c>
      <c r="Q151" s="16" t="s">
        <v>36</v>
      </c>
      <c r="R151" s="16"/>
      <c r="S151" s="16" t="s">
        <v>514</v>
      </c>
      <c r="U151" s="2">
        <v>415134</v>
      </c>
      <c r="V151" s="16" t="s">
        <v>819</v>
      </c>
      <c r="W151" s="14" t="s">
        <v>440</v>
      </c>
      <c r="X151" s="9">
        <f>+DATE(YEAR(Control[[#This Row],[Fecha Requisición]]),MONTH(Control[[#This Row],[Fecha Requisición]]),1)</f>
        <v>46204</v>
      </c>
      <c r="Y151" s="15">
        <f>+IF(Control[[#This Row],[Fecha de entrega]]="","",NETWORKDAYS(Control[[#This Row],[Fecha Requisición]],Control[[#This Row],[Fecha de entrega]]))</f>
        <v>263502</v>
      </c>
      <c r="Z151" s="16"/>
      <c r="AA151" s="14">
        <f>+_xlfn.ISOWEEKNUM(Control[[#This Row],[Fecha Requisición]])</f>
        <v>31</v>
      </c>
    </row>
    <row r="152" spans="1:27">
      <c r="A152" s="16" t="s">
        <v>779</v>
      </c>
      <c r="B152" s="16" t="s">
        <v>780</v>
      </c>
      <c r="C152" s="16" t="s">
        <v>835</v>
      </c>
      <c r="D152" s="16"/>
      <c r="E152" s="16">
        <v>82</v>
      </c>
      <c r="F152" s="16" t="s">
        <v>781</v>
      </c>
      <c r="G152" s="16" t="s">
        <v>782</v>
      </c>
      <c r="H152" s="16" t="s">
        <v>782</v>
      </c>
      <c r="I152" s="16"/>
      <c r="J152" s="16"/>
      <c r="K152" s="5"/>
      <c r="L152" s="5"/>
      <c r="M152" s="16"/>
      <c r="N152" s="16"/>
      <c r="O152" s="16" t="s">
        <v>57</v>
      </c>
      <c r="P152" s="16" t="s">
        <v>35</v>
      </c>
      <c r="Q152" s="16" t="s">
        <v>94</v>
      </c>
      <c r="R152" s="16"/>
      <c r="S152" s="16" t="s">
        <v>514</v>
      </c>
      <c r="U152" s="2">
        <v>46239</v>
      </c>
      <c r="V152" s="16" t="s">
        <v>643</v>
      </c>
      <c r="W152" s="14" t="s">
        <v>440</v>
      </c>
      <c r="X152" s="9">
        <f>+DATE(YEAR(Control[[#This Row],[Fecha Requisición]]),MONTH(Control[[#This Row],[Fecha Requisición]]),1)</f>
        <v>46204</v>
      </c>
      <c r="Y152" s="15">
        <f>+IF(Control[[#This Row],[Fecha de entrega]]="","",NETWORKDAYS(Control[[#This Row],[Fecha Requisición]],Control[[#This Row],[Fecha de entrega]]))</f>
        <v>6</v>
      </c>
      <c r="Z152" s="16"/>
      <c r="AA152" s="14">
        <f>+_xlfn.ISOWEEKNUM(Control[[#This Row],[Fecha Requisición]])</f>
        <v>31</v>
      </c>
    </row>
    <row r="153" spans="1:27">
      <c r="A153" s="16" t="s">
        <v>796</v>
      </c>
      <c r="B153" s="16" t="s">
        <v>797</v>
      </c>
      <c r="C153" s="16" t="s">
        <v>840</v>
      </c>
      <c r="D153" s="16"/>
      <c r="E153" s="16">
        <v>87</v>
      </c>
      <c r="F153" s="16" t="s">
        <v>798</v>
      </c>
      <c r="G153" s="16" t="s">
        <v>786</v>
      </c>
      <c r="H153" s="16" t="s">
        <v>786</v>
      </c>
      <c r="I153" s="16"/>
      <c r="J153" s="16"/>
      <c r="K153" s="5"/>
      <c r="L153" s="5" t="s">
        <v>31</v>
      </c>
      <c r="M153" s="16"/>
      <c r="N153" s="16" t="s">
        <v>196</v>
      </c>
      <c r="O153" s="16" t="s">
        <v>34</v>
      </c>
      <c r="P153" s="16" t="s">
        <v>799</v>
      </c>
      <c r="Q153" s="16" t="s">
        <v>36</v>
      </c>
      <c r="R153" s="16"/>
      <c r="S153" s="16" t="s">
        <v>517</v>
      </c>
      <c r="U153" s="2">
        <v>46237</v>
      </c>
      <c r="V153" s="16" t="s">
        <v>820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>
        <f>+IF(Control[[#This Row],[Fecha de entrega]]="","",NETWORKDAYS(Control[[#This Row],[Fecha Requisición]],Control[[#This Row],[Fecha de entrega]]))</f>
        <v>1</v>
      </c>
      <c r="Z153" s="16"/>
      <c r="AA153" s="14">
        <f>+_xlfn.ISOWEEKNUM(Control[[#This Row],[Fecha Requisición]])</f>
        <v>32</v>
      </c>
    </row>
    <row r="154" spans="1:27">
      <c r="A154" s="16" t="s">
        <v>800</v>
      </c>
      <c r="B154" s="16" t="s">
        <v>801</v>
      </c>
      <c r="C154" s="16" t="s">
        <v>841</v>
      </c>
      <c r="D154" s="16"/>
      <c r="E154" s="16">
        <v>88</v>
      </c>
      <c r="F154" s="16" t="s">
        <v>802</v>
      </c>
      <c r="G154" s="16" t="s">
        <v>786</v>
      </c>
      <c r="H154" s="16" t="s">
        <v>786</v>
      </c>
      <c r="I154" s="16"/>
      <c r="J154" s="16"/>
      <c r="K154" s="5"/>
      <c r="L154" s="5" t="s">
        <v>31</v>
      </c>
      <c r="M154" s="16"/>
      <c r="N154" s="16" t="s">
        <v>196</v>
      </c>
      <c r="O154" s="16" t="s">
        <v>197</v>
      </c>
      <c r="P154" s="16" t="s">
        <v>463</v>
      </c>
      <c r="Q154" s="16" t="s">
        <v>36</v>
      </c>
      <c r="R154" s="16"/>
      <c r="S154" s="16" t="s">
        <v>517</v>
      </c>
      <c r="U154" s="2">
        <v>46237</v>
      </c>
      <c r="V154" s="16" t="s">
        <v>820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>
        <f>+IF(Control[[#This Row],[Fecha de entrega]]="","",NETWORKDAYS(Control[[#This Row],[Fecha Requisición]],Control[[#This Row],[Fecha de entrega]]))</f>
        <v>1</v>
      </c>
      <c r="Z154" s="16"/>
      <c r="AA154" s="14">
        <f>+_xlfn.ISOWEEKNUM(Control[[#This Row],[Fecha Requisición]])</f>
        <v>32</v>
      </c>
    </row>
    <row r="155" spans="1:27">
      <c r="A155" s="16" t="s">
        <v>806</v>
      </c>
      <c r="B155" s="16" t="s">
        <v>807</v>
      </c>
      <c r="C155" s="16"/>
      <c r="D155" s="16"/>
      <c r="E155" s="16">
        <v>90</v>
      </c>
      <c r="F155" s="16" t="s">
        <v>808</v>
      </c>
      <c r="G155" s="16" t="s">
        <v>809</v>
      </c>
      <c r="H155" s="16"/>
      <c r="I155" s="16"/>
      <c r="J155" s="16"/>
      <c r="K155" s="5"/>
      <c r="L155" s="5" t="s">
        <v>31</v>
      </c>
      <c r="M155" s="16"/>
      <c r="N155" s="16" t="s">
        <v>307</v>
      </c>
      <c r="O155" s="16" t="s">
        <v>57</v>
      </c>
      <c r="P155" s="16" t="s">
        <v>124</v>
      </c>
      <c r="Q155" s="16" t="s">
        <v>36</v>
      </c>
      <c r="R155" s="16"/>
      <c r="S155" s="16" t="s">
        <v>514</v>
      </c>
      <c r="U155" s="2">
        <v>46237</v>
      </c>
      <c r="V155" s="16" t="s">
        <v>821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5" s="9">
        <f>+DATE(YEAR(Control[[#This Row],[Fecha Requisición]]),MONTH(Control[[#This Row],[Fecha Requisición]]),1)</f>
        <v>46204</v>
      </c>
      <c r="Y155" s="15">
        <f>+IF(Control[[#This Row],[Fecha de entrega]]="","",NETWORKDAYS(Control[[#This Row],[Fecha Requisición]],Control[[#This Row],[Fecha de entrega]]))</f>
        <v>22</v>
      </c>
      <c r="Z155" s="16"/>
      <c r="AA155" s="14">
        <f>+_xlfn.ISOWEEKNUM(Control[[#This Row],[Fecha Requisición]])</f>
        <v>27</v>
      </c>
    </row>
    <row r="156" spans="1:27">
      <c r="A156" s="16" t="s">
        <v>810</v>
      </c>
      <c r="B156" s="16" t="s">
        <v>811</v>
      </c>
      <c r="C156" s="16"/>
      <c r="D156" s="16"/>
      <c r="E156" s="16">
        <v>91</v>
      </c>
      <c r="F156" s="16" t="s">
        <v>812</v>
      </c>
      <c r="G156" s="16" t="s">
        <v>809</v>
      </c>
      <c r="H156" s="16"/>
      <c r="I156" s="16"/>
      <c r="J156" s="16"/>
      <c r="K156" s="5"/>
      <c r="L156" s="5" t="s">
        <v>31</v>
      </c>
      <c r="M156" s="16"/>
      <c r="N156" s="16" t="s">
        <v>307</v>
      </c>
      <c r="O156" s="16" t="s">
        <v>57</v>
      </c>
      <c r="P156" s="16" t="s">
        <v>124</v>
      </c>
      <c r="Q156" s="16" t="s">
        <v>36</v>
      </c>
      <c r="R156" s="16"/>
      <c r="S156" s="16" t="s">
        <v>514</v>
      </c>
      <c r="U156" s="2">
        <v>46237</v>
      </c>
      <c r="V156" s="16" t="s">
        <v>821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6" s="9">
        <f>+DATE(YEAR(Control[[#This Row],[Fecha Requisición]]),MONTH(Control[[#This Row],[Fecha Requisición]]),1)</f>
        <v>46204</v>
      </c>
      <c r="Y156" s="15">
        <f>+IF(Control[[#This Row],[Fecha de entrega]]="","",NETWORKDAYS(Control[[#This Row],[Fecha Requisición]],Control[[#This Row],[Fecha de entrega]]))</f>
        <v>22</v>
      </c>
      <c r="Z156" s="16"/>
      <c r="AA156" s="14">
        <f>+_xlfn.ISOWEEKNUM(Control[[#This Row],[Fecha Requisición]])</f>
        <v>27</v>
      </c>
    </row>
    <row r="157" spans="1:27">
      <c r="A157" s="16" t="s">
        <v>816</v>
      </c>
      <c r="B157" s="16" t="s">
        <v>817</v>
      </c>
      <c r="C157" s="16" t="s">
        <v>843</v>
      </c>
      <c r="D157" s="16"/>
      <c r="E157" s="16">
        <v>93</v>
      </c>
      <c r="F157" s="16" t="s">
        <v>818</v>
      </c>
      <c r="G157" s="16" t="s">
        <v>773</v>
      </c>
      <c r="H157" s="16" t="s">
        <v>773</v>
      </c>
      <c r="I157" s="16"/>
      <c r="J157" s="16"/>
      <c r="K157" s="5"/>
      <c r="L157" s="5" t="s">
        <v>55</v>
      </c>
      <c r="M157" s="16"/>
      <c r="N157" s="16" t="s">
        <v>213</v>
      </c>
      <c r="O157" s="16" t="s">
        <v>197</v>
      </c>
      <c r="P157" s="16" t="s">
        <v>58</v>
      </c>
      <c r="Q157" s="16" t="s">
        <v>36</v>
      </c>
      <c r="R157" s="16"/>
      <c r="S157" s="16" t="s">
        <v>642</v>
      </c>
      <c r="V157" s="16" t="s">
        <v>642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46204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31</v>
      </c>
    </row>
    <row r="158" spans="1:27">
      <c r="A158" s="16" t="s">
        <v>859</v>
      </c>
      <c r="B158" s="16" t="s">
        <v>860</v>
      </c>
      <c r="C158" s="16" t="s">
        <v>873</v>
      </c>
      <c r="D158" s="16"/>
      <c r="E158" s="16">
        <v>97</v>
      </c>
      <c r="F158" s="16" t="s">
        <v>861</v>
      </c>
      <c r="G158" s="16" t="s">
        <v>862</v>
      </c>
      <c r="H158" s="16" t="s">
        <v>862</v>
      </c>
      <c r="I158" s="16"/>
      <c r="J158" s="16"/>
      <c r="K158" s="5"/>
      <c r="L158" s="5" t="s">
        <v>31</v>
      </c>
      <c r="M158" s="16"/>
      <c r="N158" s="16" t="s">
        <v>863</v>
      </c>
      <c r="O158" s="16" t="s">
        <v>197</v>
      </c>
      <c r="P158" s="16" t="s">
        <v>124</v>
      </c>
      <c r="Q158" s="16" t="s">
        <v>59</v>
      </c>
      <c r="R158" s="16"/>
      <c r="S158" s="16" t="s">
        <v>514</v>
      </c>
      <c r="V158" s="16" t="s">
        <v>1038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46204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27</v>
      </c>
    </row>
    <row r="159" spans="1:27">
      <c r="A159" s="16" t="s">
        <v>1015</v>
      </c>
      <c r="B159" s="16" t="s">
        <v>1016</v>
      </c>
      <c r="C159" s="16" t="s">
        <v>1017</v>
      </c>
      <c r="D159" s="16"/>
      <c r="E159" s="16">
        <v>116</v>
      </c>
      <c r="F159" s="16" t="s">
        <v>1018</v>
      </c>
      <c r="G159" s="16" t="s">
        <v>1019</v>
      </c>
      <c r="H159" s="16" t="s">
        <v>1019</v>
      </c>
      <c r="I159" s="16"/>
      <c r="J159" s="16"/>
      <c r="K159" s="5"/>
      <c r="L159" s="5" t="s">
        <v>31</v>
      </c>
      <c r="M159" s="16"/>
      <c r="N159" s="16" t="s">
        <v>219</v>
      </c>
      <c r="O159" s="16" t="s">
        <v>384</v>
      </c>
      <c r="P159" s="16"/>
      <c r="Q159" s="16" t="s">
        <v>94</v>
      </c>
      <c r="R159" s="16"/>
      <c r="S159" s="16" t="s">
        <v>517</v>
      </c>
      <c r="V159" s="16" t="s">
        <v>820</v>
      </c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9" s="9">
        <f>+DATE(YEAR(Control[[#This Row],[Fecha Requisición]]),MONTH(Control[[#This Row],[Fecha Requisición]]),1)</f>
        <v>46235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34</v>
      </c>
    </row>
    <row r="160" spans="1:27">
      <c r="A160" s="16" t="s">
        <v>1020</v>
      </c>
      <c r="B160" s="16" t="s">
        <v>1021</v>
      </c>
      <c r="C160" s="16" t="s">
        <v>1022</v>
      </c>
      <c r="D160" s="16"/>
      <c r="E160" s="16">
        <v>117</v>
      </c>
      <c r="F160" s="16" t="s">
        <v>1023</v>
      </c>
      <c r="G160" s="16" t="s">
        <v>1024</v>
      </c>
      <c r="H160" s="16" t="s">
        <v>1024</v>
      </c>
      <c r="I160" s="16"/>
      <c r="J160" s="16"/>
      <c r="K160" s="5"/>
      <c r="L160" s="5" t="s">
        <v>55</v>
      </c>
      <c r="M160" s="16"/>
      <c r="N160" s="16" t="s">
        <v>93</v>
      </c>
      <c r="O160" s="16" t="s">
        <v>868</v>
      </c>
      <c r="P160" s="16" t="s">
        <v>58</v>
      </c>
      <c r="Q160" s="16" t="s">
        <v>94</v>
      </c>
      <c r="R160" s="16"/>
      <c r="S160" s="16" t="s">
        <v>517</v>
      </c>
      <c r="V160" s="16" t="s">
        <v>820</v>
      </c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46235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34</v>
      </c>
    </row>
    <row r="161" spans="1:27">
      <c r="A161" s="16" t="s">
        <v>1025</v>
      </c>
      <c r="B161" s="16" t="s">
        <v>1026</v>
      </c>
      <c r="C161" s="16" t="s">
        <v>1027</v>
      </c>
      <c r="D161" s="16"/>
      <c r="E161" s="16">
        <v>118</v>
      </c>
      <c r="F161" s="16" t="s">
        <v>1028</v>
      </c>
      <c r="G161" s="16" t="s">
        <v>1024</v>
      </c>
      <c r="H161" s="16" t="s">
        <v>1024</v>
      </c>
      <c r="I161" s="16"/>
      <c r="J161" s="16"/>
      <c r="K161" s="5"/>
      <c r="L161" s="5" t="s">
        <v>31</v>
      </c>
      <c r="M161" s="16"/>
      <c r="N161" s="16" t="s">
        <v>204</v>
      </c>
      <c r="O161" s="16" t="s">
        <v>57</v>
      </c>
      <c r="P161" s="16" t="s">
        <v>58</v>
      </c>
      <c r="Q161" s="16" t="s">
        <v>36</v>
      </c>
      <c r="R161" s="16"/>
      <c r="S161" s="16" t="s">
        <v>517</v>
      </c>
      <c r="V161" s="16" t="s">
        <v>820</v>
      </c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16" t="s">
        <v>1029</v>
      </c>
      <c r="B162" s="16" t="s">
        <v>1030</v>
      </c>
      <c r="C162" s="16" t="s">
        <v>1031</v>
      </c>
      <c r="D162" s="16"/>
      <c r="E162" s="16">
        <v>119</v>
      </c>
      <c r="F162" s="16" t="s">
        <v>1032</v>
      </c>
      <c r="G162" s="16" t="s">
        <v>1024</v>
      </c>
      <c r="H162" s="16" t="s">
        <v>1024</v>
      </c>
      <c r="I162" s="16"/>
      <c r="J162" s="16"/>
      <c r="K162" s="5"/>
      <c r="L162" s="5" t="s">
        <v>55</v>
      </c>
      <c r="M162" s="16"/>
      <c r="N162" s="16" t="s">
        <v>204</v>
      </c>
      <c r="O162" s="16" t="s">
        <v>57</v>
      </c>
      <c r="P162" s="16" t="s">
        <v>58</v>
      </c>
      <c r="Q162" s="16" t="s">
        <v>36</v>
      </c>
      <c r="R162" s="16"/>
      <c r="S162" s="16" t="s">
        <v>517</v>
      </c>
      <c r="V162" s="16" t="s">
        <v>820</v>
      </c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 t="str">
        <f>+IF(Control[[#This Row],[Fecha de entrega]]="","",NETWORKDAYS(Control[[#This Row],[Fecha Requisición]],Control[[#This Row],[Fecha de entrega]]))</f>
        <v/>
      </c>
      <c r="Z162" s="16"/>
      <c r="AA162" s="14">
        <f>+_xlfn.ISOWEEKNUM(Control[[#This Row],[Fecha Requisición]])</f>
        <v>34</v>
      </c>
    </row>
    <row r="163" spans="1:27">
      <c r="Z163" s="2"/>
    </row>
    <row r="164" spans="1:27">
      <c r="Z164" s="2"/>
    </row>
    <row r="165" spans="1:27">
      <c r="Z165" s="2"/>
    </row>
    <row r="177" spans="3:4" ht="15.75" thickBot="1"/>
    <row r="178" spans="3:4" ht="15.75" thickBot="1">
      <c r="C178" s="13" t="s">
        <v>616</v>
      </c>
      <c r="D17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20"/>
  <sheetViews>
    <sheetView topLeftCell="A36" zoomScale="90" zoomScaleNormal="90" workbookViewId="0">
      <selection activeCell="E77" sqref="E7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9" t="s">
        <v>509</v>
      </c>
      <c r="B1" s="19" t="s">
        <v>17</v>
      </c>
      <c r="C1" s="19" t="s">
        <v>510</v>
      </c>
      <c r="D1" s="19" t="s">
        <v>511</v>
      </c>
      <c r="E1" s="19" t="s">
        <v>512</v>
      </c>
      <c r="F1" s="19" t="s">
        <v>513</v>
      </c>
      <c r="G1" s="18" t="s">
        <v>447</v>
      </c>
    </row>
    <row r="2" spans="1:7">
      <c r="A2" s="23">
        <v>1</v>
      </c>
      <c r="B2" s="22" t="s">
        <v>514</v>
      </c>
      <c r="C2" s="26" t="s">
        <v>515</v>
      </c>
      <c r="D2" s="23"/>
      <c r="E2" s="24">
        <v>46177</v>
      </c>
      <c r="F2" s="22" t="s">
        <v>643</v>
      </c>
      <c r="G2" s="20"/>
    </row>
    <row r="3" spans="1:7">
      <c r="A3" s="23">
        <v>2</v>
      </c>
      <c r="B3" s="22" t="s">
        <v>514</v>
      </c>
      <c r="C3" s="26" t="s">
        <v>516</v>
      </c>
      <c r="D3" s="23"/>
      <c r="E3" s="24">
        <v>46177</v>
      </c>
      <c r="F3" s="22" t="s">
        <v>643</v>
      </c>
      <c r="G3" s="20"/>
    </row>
    <row r="4" spans="1:7">
      <c r="A4" s="23">
        <v>3</v>
      </c>
      <c r="B4" s="22" t="s">
        <v>514</v>
      </c>
      <c r="C4" s="26" t="s">
        <v>516</v>
      </c>
      <c r="D4" s="23"/>
      <c r="E4" s="24">
        <v>46171</v>
      </c>
      <c r="F4" s="22" t="s">
        <v>643</v>
      </c>
      <c r="G4" s="20"/>
    </row>
    <row r="5" spans="1:7">
      <c r="A5" s="23">
        <v>4</v>
      </c>
      <c r="B5" s="22" t="s">
        <v>514</v>
      </c>
      <c r="C5" s="26" t="s">
        <v>515</v>
      </c>
      <c r="D5" s="23"/>
      <c r="E5" s="24">
        <v>46177</v>
      </c>
      <c r="F5" s="22" t="s">
        <v>643</v>
      </c>
      <c r="G5" s="20"/>
    </row>
    <row r="6" spans="1:7">
      <c r="A6" s="23">
        <v>5</v>
      </c>
      <c r="B6" s="22" t="s">
        <v>514</v>
      </c>
      <c r="C6" s="26" t="s">
        <v>516</v>
      </c>
      <c r="D6" s="23"/>
      <c r="E6" s="24">
        <v>46171</v>
      </c>
      <c r="F6" s="22" t="s">
        <v>643</v>
      </c>
      <c r="G6" s="20"/>
    </row>
    <row r="7" spans="1:7">
      <c r="A7" s="23">
        <v>6</v>
      </c>
      <c r="B7" s="22" t="s">
        <v>514</v>
      </c>
      <c r="C7" s="26" t="s">
        <v>516</v>
      </c>
      <c r="D7" s="24">
        <v>46170</v>
      </c>
      <c r="E7" s="24">
        <v>46175</v>
      </c>
      <c r="F7" s="22" t="s">
        <v>643</v>
      </c>
      <c r="G7" s="20"/>
    </row>
    <row r="8" spans="1:7">
      <c r="A8" s="23">
        <v>7</v>
      </c>
      <c r="B8" s="22" t="s">
        <v>514</v>
      </c>
      <c r="C8" s="26" t="s">
        <v>516</v>
      </c>
      <c r="D8" s="24">
        <v>46171</v>
      </c>
      <c r="E8" s="24">
        <v>46175</v>
      </c>
      <c r="F8" s="22" t="s">
        <v>643</v>
      </c>
      <c r="G8" s="20"/>
    </row>
    <row r="9" spans="1:7">
      <c r="A9" s="23">
        <v>8</v>
      </c>
      <c r="B9" s="22" t="s">
        <v>514</v>
      </c>
      <c r="C9" s="26" t="s">
        <v>516</v>
      </c>
      <c r="D9" s="23"/>
      <c r="E9" s="24">
        <v>46179</v>
      </c>
      <c r="F9" s="22" t="s">
        <v>643</v>
      </c>
      <c r="G9" s="20"/>
    </row>
    <row r="10" spans="1:7">
      <c r="A10" s="23">
        <v>9</v>
      </c>
      <c r="B10" s="22" t="s">
        <v>514</v>
      </c>
      <c r="C10" s="26" t="s">
        <v>516</v>
      </c>
      <c r="D10" s="23"/>
      <c r="E10" s="24">
        <v>46179</v>
      </c>
      <c r="F10" s="22" t="s">
        <v>643</v>
      </c>
      <c r="G10" s="20"/>
    </row>
    <row r="11" spans="1:7">
      <c r="A11" s="23">
        <v>10</v>
      </c>
      <c r="B11" s="22" t="s">
        <v>514</v>
      </c>
      <c r="C11" s="26" t="s">
        <v>515</v>
      </c>
      <c r="D11" s="24">
        <v>46170</v>
      </c>
      <c r="E11" s="24">
        <v>46181</v>
      </c>
      <c r="F11" s="22" t="s">
        <v>643</v>
      </c>
      <c r="G11" s="20"/>
    </row>
    <row r="12" spans="1:7">
      <c r="A12" s="23">
        <v>11</v>
      </c>
      <c r="B12" s="22" t="s">
        <v>514</v>
      </c>
      <c r="C12" s="26" t="s">
        <v>515</v>
      </c>
      <c r="D12" s="24">
        <v>46170</v>
      </c>
      <c r="E12" s="23" t="s">
        <v>720</v>
      </c>
      <c r="F12" s="22" t="s">
        <v>643</v>
      </c>
      <c r="G12" s="20"/>
    </row>
    <row r="13" spans="1:7">
      <c r="A13" s="23">
        <v>12</v>
      </c>
      <c r="B13" s="22" t="s">
        <v>514</v>
      </c>
      <c r="C13" s="26" t="s">
        <v>515</v>
      </c>
      <c r="D13" s="24">
        <v>46170</v>
      </c>
      <c r="E13" s="24">
        <v>46170</v>
      </c>
      <c r="F13" s="22" t="s">
        <v>643</v>
      </c>
      <c r="G13" s="20"/>
    </row>
    <row r="14" spans="1:7">
      <c r="A14" s="23">
        <v>13</v>
      </c>
      <c r="B14" s="22" t="s">
        <v>514</v>
      </c>
      <c r="C14" s="26" t="s">
        <v>515</v>
      </c>
      <c r="D14" s="24">
        <v>46170</v>
      </c>
      <c r="E14" s="24">
        <v>46171</v>
      </c>
      <c r="F14" s="22" t="s">
        <v>643</v>
      </c>
      <c r="G14" s="20"/>
    </row>
    <row r="15" spans="1:7">
      <c r="A15" s="23">
        <v>14</v>
      </c>
      <c r="B15" s="22" t="s">
        <v>514</v>
      </c>
      <c r="C15" s="26" t="s">
        <v>515</v>
      </c>
      <c r="D15" s="23"/>
      <c r="E15" s="24">
        <v>46176</v>
      </c>
      <c r="F15" s="22" t="s">
        <v>643</v>
      </c>
      <c r="G15" s="20"/>
    </row>
    <row r="16" spans="1:7">
      <c r="A16" s="23">
        <v>15</v>
      </c>
      <c r="B16" s="22" t="s">
        <v>514</v>
      </c>
      <c r="C16" s="26" t="s">
        <v>515</v>
      </c>
      <c r="D16" s="23"/>
      <c r="E16" s="24">
        <v>46188</v>
      </c>
      <c r="F16" s="22" t="s">
        <v>643</v>
      </c>
      <c r="G16" s="20"/>
    </row>
    <row r="17" spans="1:8">
      <c r="A17" s="23">
        <v>16</v>
      </c>
      <c r="B17" s="22" t="s">
        <v>514</v>
      </c>
      <c r="C17" s="26" t="s">
        <v>515</v>
      </c>
      <c r="D17" s="24">
        <v>46175</v>
      </c>
      <c r="E17" s="24">
        <v>46181</v>
      </c>
      <c r="F17" s="22" t="s">
        <v>643</v>
      </c>
      <c r="G17" s="20"/>
    </row>
    <row r="18" spans="1:8">
      <c r="A18" s="23">
        <v>17</v>
      </c>
      <c r="B18" s="22" t="s">
        <v>514</v>
      </c>
      <c r="C18" s="26" t="s">
        <v>515</v>
      </c>
      <c r="D18" s="23"/>
      <c r="E18" s="24">
        <v>46189</v>
      </c>
      <c r="F18" s="22" t="s">
        <v>643</v>
      </c>
      <c r="G18" s="20"/>
    </row>
    <row r="19" spans="1:8">
      <c r="A19" s="27">
        <v>18</v>
      </c>
      <c r="B19" s="25" t="s">
        <v>642</v>
      </c>
      <c r="C19" s="28" t="s">
        <v>515</v>
      </c>
      <c r="D19" s="27" t="s">
        <v>642</v>
      </c>
      <c r="E19" s="27" t="s">
        <v>642</v>
      </c>
      <c r="F19" s="25" t="s">
        <v>642</v>
      </c>
      <c r="G19" s="20"/>
    </row>
    <row r="20" spans="1:8">
      <c r="A20" s="23">
        <v>19</v>
      </c>
      <c r="B20" s="22" t="s">
        <v>514</v>
      </c>
      <c r="C20" s="26" t="s">
        <v>516</v>
      </c>
      <c r="D20" s="24">
        <v>46191</v>
      </c>
      <c r="E20" s="24">
        <v>46192</v>
      </c>
      <c r="F20" s="22" t="s">
        <v>643</v>
      </c>
      <c r="G20" s="20"/>
    </row>
    <row r="21" spans="1:8">
      <c r="A21" s="23">
        <v>20</v>
      </c>
      <c r="B21" s="22" t="s">
        <v>514</v>
      </c>
      <c r="C21" s="26" t="s">
        <v>515</v>
      </c>
      <c r="D21" s="23"/>
      <c r="E21" s="24">
        <v>46188</v>
      </c>
      <c r="F21" s="22" t="s">
        <v>643</v>
      </c>
      <c r="G21" s="20"/>
    </row>
    <row r="22" spans="1:8">
      <c r="A22" s="27">
        <v>21</v>
      </c>
      <c r="B22" s="25" t="s">
        <v>642</v>
      </c>
      <c r="C22" s="28" t="s">
        <v>515</v>
      </c>
      <c r="D22" s="27" t="s">
        <v>642</v>
      </c>
      <c r="E22" s="27" t="s">
        <v>725</v>
      </c>
      <c r="F22" s="25" t="s">
        <v>642</v>
      </c>
      <c r="G22" s="20"/>
    </row>
    <row r="23" spans="1:8">
      <c r="A23" s="23">
        <v>22</v>
      </c>
      <c r="B23" s="22" t="s">
        <v>514</v>
      </c>
      <c r="C23" s="26" t="s">
        <v>515</v>
      </c>
      <c r="D23" s="23"/>
      <c r="E23" s="24">
        <v>46190</v>
      </c>
      <c r="F23" s="22" t="s">
        <v>721</v>
      </c>
      <c r="G23" s="20"/>
    </row>
    <row r="24" spans="1:8">
      <c r="A24" s="23">
        <v>23</v>
      </c>
      <c r="B24" s="22" t="s">
        <v>514</v>
      </c>
      <c r="C24" s="26" t="s">
        <v>515</v>
      </c>
      <c r="D24" s="24">
        <v>46198</v>
      </c>
      <c r="E24" s="24">
        <v>46204</v>
      </c>
      <c r="F24" s="22" t="s">
        <v>643</v>
      </c>
      <c r="G24" s="20"/>
    </row>
    <row r="25" spans="1:8">
      <c r="A25" s="23">
        <v>24</v>
      </c>
      <c r="B25" s="22" t="s">
        <v>514</v>
      </c>
      <c r="C25" s="26" t="s">
        <v>515</v>
      </c>
      <c r="D25" s="23"/>
      <c r="E25" s="24">
        <v>46207</v>
      </c>
      <c r="F25" s="22" t="s">
        <v>643</v>
      </c>
      <c r="G25" s="20"/>
      <c r="H25">
        <v>2</v>
      </c>
    </row>
    <row r="26" spans="1:8">
      <c r="A26" s="23">
        <v>25</v>
      </c>
      <c r="B26" s="22" t="s">
        <v>514</v>
      </c>
      <c r="C26" s="26" t="s">
        <v>515</v>
      </c>
      <c r="D26" s="23"/>
      <c r="E26" s="24">
        <v>46199</v>
      </c>
      <c r="F26" s="22" t="s">
        <v>643</v>
      </c>
      <c r="G26" s="20"/>
    </row>
    <row r="27" spans="1:8">
      <c r="A27" s="27">
        <v>26</v>
      </c>
      <c r="B27" s="25" t="s">
        <v>642</v>
      </c>
      <c r="C27" s="28" t="s">
        <v>642</v>
      </c>
      <c r="D27" s="29" t="s">
        <v>642</v>
      </c>
      <c r="E27" s="28" t="s">
        <v>642</v>
      </c>
      <c r="F27" s="25" t="s">
        <v>642</v>
      </c>
      <c r="G27" s="20"/>
    </row>
    <row r="28" spans="1:8">
      <c r="A28" s="27">
        <v>27</v>
      </c>
      <c r="B28" s="25" t="s">
        <v>642</v>
      </c>
      <c r="C28" s="28" t="s">
        <v>642</v>
      </c>
      <c r="D28" s="29" t="s">
        <v>642</v>
      </c>
      <c r="E28" s="28" t="s">
        <v>642</v>
      </c>
      <c r="F28" s="25" t="s">
        <v>642</v>
      </c>
      <c r="G28" s="20"/>
    </row>
    <row r="29" spans="1:8">
      <c r="A29" s="27">
        <v>28</v>
      </c>
      <c r="B29" s="25" t="s">
        <v>642</v>
      </c>
      <c r="C29" s="28" t="s">
        <v>642</v>
      </c>
      <c r="D29" s="29" t="s">
        <v>642</v>
      </c>
      <c r="E29" s="28" t="s">
        <v>642</v>
      </c>
      <c r="F29" s="25" t="s">
        <v>642</v>
      </c>
      <c r="G29" s="20"/>
    </row>
    <row r="30" spans="1:8">
      <c r="A30" s="27">
        <v>29</v>
      </c>
      <c r="B30" s="25" t="s">
        <v>642</v>
      </c>
      <c r="C30" s="28" t="s">
        <v>515</v>
      </c>
      <c r="D30" s="28" t="s">
        <v>642</v>
      </c>
      <c r="E30" s="28" t="s">
        <v>642</v>
      </c>
      <c r="F30" s="25" t="s">
        <v>642</v>
      </c>
      <c r="G30" s="20"/>
    </row>
    <row r="31" spans="1:8">
      <c r="A31" s="23">
        <v>30</v>
      </c>
      <c r="B31" s="22" t="s">
        <v>514</v>
      </c>
      <c r="C31" s="26" t="s">
        <v>516</v>
      </c>
      <c r="D31" s="23"/>
      <c r="E31" s="24">
        <v>46203</v>
      </c>
      <c r="F31" s="22" t="s">
        <v>643</v>
      </c>
      <c r="G31" s="20"/>
    </row>
    <row r="32" spans="1:8">
      <c r="A32" s="23">
        <v>31</v>
      </c>
      <c r="B32" s="22" t="s">
        <v>514</v>
      </c>
      <c r="C32" s="26" t="s">
        <v>516</v>
      </c>
      <c r="D32" s="23"/>
      <c r="E32" s="24">
        <v>46206</v>
      </c>
      <c r="F32" s="22" t="s">
        <v>643</v>
      </c>
      <c r="G32" s="20"/>
    </row>
    <row r="33" spans="1:7">
      <c r="A33" s="23">
        <v>32</v>
      </c>
      <c r="B33" s="22" t="s">
        <v>514</v>
      </c>
      <c r="C33" s="26" t="s">
        <v>516</v>
      </c>
      <c r="D33" s="23"/>
      <c r="E33" s="24">
        <v>46191</v>
      </c>
      <c r="F33" s="22" t="s">
        <v>643</v>
      </c>
      <c r="G33" s="20"/>
    </row>
    <row r="34" spans="1:7">
      <c r="A34" s="23">
        <v>33</v>
      </c>
      <c r="B34" s="22" t="s">
        <v>514</v>
      </c>
      <c r="C34" s="26" t="s">
        <v>515</v>
      </c>
      <c r="D34" s="23"/>
      <c r="E34" s="24">
        <v>46198</v>
      </c>
      <c r="F34" s="22" t="s">
        <v>643</v>
      </c>
      <c r="G34" s="20"/>
    </row>
    <row r="35" spans="1:7">
      <c r="A35" s="23">
        <v>34</v>
      </c>
      <c r="B35" s="22" t="s">
        <v>514</v>
      </c>
      <c r="C35" s="26" t="s">
        <v>515</v>
      </c>
      <c r="D35" s="23"/>
      <c r="E35" s="24">
        <v>46209</v>
      </c>
      <c r="F35" s="22" t="s">
        <v>643</v>
      </c>
      <c r="G35" s="20"/>
    </row>
    <row r="36" spans="1:7">
      <c r="A36" s="23">
        <v>35</v>
      </c>
      <c r="B36" s="22" t="s">
        <v>514</v>
      </c>
      <c r="C36" s="26" t="s">
        <v>516</v>
      </c>
      <c r="D36" s="23"/>
      <c r="E36" s="24">
        <v>46211</v>
      </c>
      <c r="F36" s="22" t="s">
        <v>643</v>
      </c>
      <c r="G36" s="20"/>
    </row>
    <row r="37" spans="1:7">
      <c r="A37" s="23">
        <v>36</v>
      </c>
      <c r="B37" s="22" t="s">
        <v>514</v>
      </c>
      <c r="C37" s="26" t="s">
        <v>516</v>
      </c>
      <c r="D37" s="23"/>
      <c r="E37" s="24">
        <v>46211</v>
      </c>
      <c r="F37" s="22" t="s">
        <v>643</v>
      </c>
      <c r="G37" s="20"/>
    </row>
    <row r="38" spans="1:7">
      <c r="A38" s="23">
        <v>37</v>
      </c>
      <c r="B38" s="22" t="s">
        <v>514</v>
      </c>
      <c r="C38" s="26" t="s">
        <v>516</v>
      </c>
      <c r="D38" s="23"/>
      <c r="E38" s="24">
        <v>46209</v>
      </c>
      <c r="F38" s="22" t="s">
        <v>643</v>
      </c>
      <c r="G38" s="20"/>
    </row>
    <row r="39" spans="1:7">
      <c r="A39" s="23">
        <v>38</v>
      </c>
      <c r="B39" s="22" t="s">
        <v>514</v>
      </c>
      <c r="C39" s="26" t="s">
        <v>516</v>
      </c>
      <c r="D39" s="23"/>
      <c r="E39" s="24">
        <v>46209</v>
      </c>
      <c r="F39" s="22" t="s">
        <v>643</v>
      </c>
      <c r="G39" s="20"/>
    </row>
    <row r="40" spans="1:7">
      <c r="A40" s="23">
        <v>39</v>
      </c>
      <c r="B40" s="22" t="s">
        <v>514</v>
      </c>
      <c r="C40" s="26" t="s">
        <v>515</v>
      </c>
      <c r="D40" s="23" t="s">
        <v>518</v>
      </c>
      <c r="E40" s="24">
        <v>46211</v>
      </c>
      <c r="F40" s="22" t="s">
        <v>643</v>
      </c>
      <c r="G40" s="20"/>
    </row>
    <row r="41" spans="1:7">
      <c r="A41" s="23">
        <v>40</v>
      </c>
      <c r="B41" s="22" t="s">
        <v>514</v>
      </c>
      <c r="C41" s="26" t="s">
        <v>515</v>
      </c>
      <c r="D41" s="23" t="s">
        <v>518</v>
      </c>
      <c r="E41" s="24">
        <v>46211</v>
      </c>
      <c r="F41" s="22" t="s">
        <v>643</v>
      </c>
      <c r="G41" s="20"/>
    </row>
    <row r="42" spans="1:7">
      <c r="A42" s="23">
        <v>41</v>
      </c>
      <c r="B42" s="22" t="s">
        <v>514</v>
      </c>
      <c r="C42" s="26" t="s">
        <v>515</v>
      </c>
      <c r="D42" s="23"/>
      <c r="E42" s="24">
        <v>46217</v>
      </c>
      <c r="F42" s="22" t="s">
        <v>643</v>
      </c>
      <c r="G42" s="20"/>
    </row>
    <row r="43" spans="1:7">
      <c r="A43" s="23">
        <v>42</v>
      </c>
      <c r="B43" s="22" t="s">
        <v>514</v>
      </c>
      <c r="C43" s="26" t="s">
        <v>516</v>
      </c>
      <c r="D43" s="23" t="s">
        <v>517</v>
      </c>
      <c r="E43" s="24">
        <v>46240</v>
      </c>
      <c r="F43" s="22" t="s">
        <v>722</v>
      </c>
      <c r="G43" s="20"/>
    </row>
    <row r="44" spans="1:7">
      <c r="A44" s="23">
        <v>43</v>
      </c>
      <c r="B44" s="22" t="s">
        <v>514</v>
      </c>
      <c r="C44" s="26" t="s">
        <v>515</v>
      </c>
      <c r="D44" s="24">
        <v>46216</v>
      </c>
      <c r="E44" s="24">
        <v>46223</v>
      </c>
      <c r="F44" s="22" t="s">
        <v>643</v>
      </c>
      <c r="G44" s="20"/>
    </row>
    <row r="45" spans="1:7">
      <c r="A45" s="23">
        <v>44</v>
      </c>
      <c r="B45" s="22" t="s">
        <v>514</v>
      </c>
      <c r="C45" s="26" t="s">
        <v>515</v>
      </c>
      <c r="D45" s="23" t="s">
        <v>517</v>
      </c>
      <c r="E45" s="24">
        <v>46218</v>
      </c>
      <c r="F45" s="22" t="s">
        <v>723</v>
      </c>
      <c r="G45" s="20"/>
    </row>
    <row r="46" spans="1:7">
      <c r="A46" s="23">
        <v>45</v>
      </c>
      <c r="B46" s="22" t="s">
        <v>514</v>
      </c>
      <c r="C46" s="26" t="s">
        <v>515</v>
      </c>
      <c r="D46" s="23" t="s">
        <v>517</v>
      </c>
      <c r="E46" s="24">
        <v>46211</v>
      </c>
      <c r="F46" s="22" t="s">
        <v>643</v>
      </c>
      <c r="G46" s="20"/>
    </row>
    <row r="47" spans="1:7">
      <c r="A47" s="27">
        <v>46</v>
      </c>
      <c r="B47" s="22" t="s">
        <v>517</v>
      </c>
      <c r="C47" s="26" t="s">
        <v>516</v>
      </c>
      <c r="D47" s="23" t="s">
        <v>517</v>
      </c>
      <c r="E47" s="24">
        <v>46211</v>
      </c>
      <c r="F47" s="22" t="s">
        <v>724</v>
      </c>
      <c r="G47" s="20"/>
    </row>
    <row r="48" spans="1:7">
      <c r="A48" s="27">
        <v>47</v>
      </c>
      <c r="B48" s="25" t="s">
        <v>642</v>
      </c>
      <c r="C48" s="27" t="s">
        <v>642</v>
      </c>
      <c r="D48" s="27" t="s">
        <v>642</v>
      </c>
      <c r="E48" s="27" t="s">
        <v>642</v>
      </c>
      <c r="F48" s="25" t="s">
        <v>642</v>
      </c>
      <c r="G48" s="20"/>
    </row>
    <row r="49" spans="1:7">
      <c r="A49" s="27">
        <v>48</v>
      </c>
      <c r="B49" s="25" t="s">
        <v>642</v>
      </c>
      <c r="C49" s="28" t="s">
        <v>642</v>
      </c>
      <c r="D49" s="27" t="s">
        <v>642</v>
      </c>
      <c r="E49" s="27" t="s">
        <v>725</v>
      </c>
      <c r="F49" s="25" t="s">
        <v>642</v>
      </c>
      <c r="G49" s="20"/>
    </row>
    <row r="50" spans="1:7">
      <c r="A50" s="23">
        <v>49</v>
      </c>
      <c r="B50" s="22" t="s">
        <v>514</v>
      </c>
      <c r="C50" s="26" t="s">
        <v>515</v>
      </c>
      <c r="D50" s="23"/>
      <c r="E50" s="24">
        <v>46218</v>
      </c>
      <c r="F50" s="22" t="s">
        <v>643</v>
      </c>
      <c r="G50" s="20"/>
    </row>
    <row r="51" spans="1:7">
      <c r="A51" s="23">
        <v>50</v>
      </c>
      <c r="B51" s="22" t="s">
        <v>514</v>
      </c>
      <c r="C51" s="26" t="s">
        <v>516</v>
      </c>
      <c r="D51" s="24">
        <v>46213</v>
      </c>
      <c r="E51" s="24">
        <v>46217</v>
      </c>
      <c r="F51" s="22" t="s">
        <v>643</v>
      </c>
      <c r="G51" s="20"/>
    </row>
    <row r="52" spans="1:7">
      <c r="A52" s="23">
        <v>51</v>
      </c>
      <c r="B52" s="22" t="s">
        <v>514</v>
      </c>
      <c r="C52" s="26" t="s">
        <v>515</v>
      </c>
      <c r="D52" s="23"/>
      <c r="E52" s="24">
        <v>46213</v>
      </c>
      <c r="F52" s="22" t="s">
        <v>643</v>
      </c>
      <c r="G52" s="20"/>
    </row>
    <row r="53" spans="1:7">
      <c r="A53" s="23">
        <v>52</v>
      </c>
      <c r="B53" s="22" t="s">
        <v>514</v>
      </c>
      <c r="C53" s="26" t="s">
        <v>516</v>
      </c>
      <c r="D53" s="23"/>
      <c r="E53" s="24">
        <v>46218</v>
      </c>
      <c r="F53" s="22" t="s">
        <v>643</v>
      </c>
      <c r="G53" s="20"/>
    </row>
    <row r="54" spans="1:7">
      <c r="A54" s="23">
        <v>53</v>
      </c>
      <c r="B54" s="22" t="s">
        <v>514</v>
      </c>
      <c r="C54" s="26" t="s">
        <v>515</v>
      </c>
      <c r="D54" s="24">
        <v>46213</v>
      </c>
      <c r="E54" s="24">
        <v>46218</v>
      </c>
      <c r="F54" s="22" t="s">
        <v>643</v>
      </c>
      <c r="G54" s="20"/>
    </row>
    <row r="55" spans="1:7">
      <c r="A55" s="23">
        <v>54</v>
      </c>
      <c r="B55" s="22" t="s">
        <v>514</v>
      </c>
      <c r="C55" s="26" t="s">
        <v>515</v>
      </c>
      <c r="D55" s="23"/>
      <c r="E55" s="24">
        <v>46224</v>
      </c>
      <c r="F55" s="22" t="s">
        <v>643</v>
      </c>
      <c r="G55" s="20"/>
    </row>
    <row r="56" spans="1:7">
      <c r="A56" s="23">
        <v>55</v>
      </c>
      <c r="B56" s="22" t="s">
        <v>514</v>
      </c>
      <c r="C56" s="26" t="s">
        <v>515</v>
      </c>
      <c r="D56" s="24">
        <v>46231</v>
      </c>
      <c r="E56" s="24">
        <v>46207</v>
      </c>
      <c r="F56" s="22" t="s">
        <v>726</v>
      </c>
      <c r="G56" s="20"/>
    </row>
    <row r="57" spans="1:7">
      <c r="A57" s="23">
        <v>56</v>
      </c>
      <c r="B57" s="22" t="s">
        <v>514</v>
      </c>
      <c r="C57" s="26" t="s">
        <v>516</v>
      </c>
      <c r="D57" s="23"/>
      <c r="E57" s="24">
        <v>46217</v>
      </c>
      <c r="F57" s="22" t="s">
        <v>643</v>
      </c>
      <c r="G57" s="20"/>
    </row>
    <row r="58" spans="1:7">
      <c r="A58" s="23">
        <v>57</v>
      </c>
      <c r="B58" s="22" t="s">
        <v>514</v>
      </c>
      <c r="C58" s="26" t="s">
        <v>515</v>
      </c>
      <c r="D58" s="24">
        <v>46225</v>
      </c>
      <c r="E58" s="24">
        <v>46244</v>
      </c>
      <c r="F58" s="22" t="s">
        <v>727</v>
      </c>
      <c r="G58" s="20"/>
    </row>
    <row r="59" spans="1:7">
      <c r="A59" s="23">
        <v>58</v>
      </c>
      <c r="B59" s="22" t="s">
        <v>514</v>
      </c>
      <c r="C59" s="26" t="s">
        <v>515</v>
      </c>
      <c r="D59" s="24">
        <v>46213</v>
      </c>
      <c r="E59" s="24">
        <v>46226</v>
      </c>
      <c r="F59" s="22" t="s">
        <v>643</v>
      </c>
      <c r="G59" s="20"/>
    </row>
    <row r="60" spans="1:7">
      <c r="A60" s="23">
        <v>59</v>
      </c>
      <c r="B60" s="22" t="s">
        <v>514</v>
      </c>
      <c r="C60" s="26" t="s">
        <v>516</v>
      </c>
      <c r="D60" s="24">
        <v>46220</v>
      </c>
      <c r="E60" s="24">
        <v>46225</v>
      </c>
      <c r="F60" s="22" t="s">
        <v>643</v>
      </c>
      <c r="G60" s="20"/>
    </row>
    <row r="61" spans="1:7">
      <c r="A61" s="23">
        <v>60</v>
      </c>
      <c r="B61" s="22" t="s">
        <v>514</v>
      </c>
      <c r="C61" s="26" t="s">
        <v>516</v>
      </c>
      <c r="D61" s="24">
        <v>46227</v>
      </c>
      <c r="E61" s="24">
        <v>46231</v>
      </c>
      <c r="F61" s="22" t="s">
        <v>643</v>
      </c>
      <c r="G61" s="20"/>
    </row>
    <row r="62" spans="1:7">
      <c r="A62" s="23">
        <v>61</v>
      </c>
      <c r="B62" s="22" t="s">
        <v>514</v>
      </c>
      <c r="C62" s="26" t="s">
        <v>515</v>
      </c>
      <c r="D62" s="24">
        <v>46224</v>
      </c>
      <c r="E62" s="24">
        <v>46230</v>
      </c>
      <c r="F62" s="22" t="s">
        <v>643</v>
      </c>
      <c r="G62" s="20"/>
    </row>
    <row r="63" spans="1:7">
      <c r="A63" s="23">
        <v>62</v>
      </c>
      <c r="B63" s="22" t="s">
        <v>514</v>
      </c>
      <c r="C63" s="26" t="s">
        <v>516</v>
      </c>
      <c r="D63" s="23"/>
      <c r="E63" s="24">
        <v>46220</v>
      </c>
      <c r="F63" s="22" t="s">
        <v>643</v>
      </c>
      <c r="G63" s="20"/>
    </row>
    <row r="64" spans="1:7">
      <c r="A64" s="23">
        <v>63</v>
      </c>
      <c r="B64" s="22" t="s">
        <v>514</v>
      </c>
      <c r="C64" s="26" t="s">
        <v>516</v>
      </c>
      <c r="D64" s="24">
        <v>46227</v>
      </c>
      <c r="E64" s="24">
        <v>46232</v>
      </c>
      <c r="F64" s="22" t="s">
        <v>643</v>
      </c>
      <c r="G64" s="20"/>
    </row>
    <row r="65" spans="1:7">
      <c r="A65" s="23">
        <v>64</v>
      </c>
      <c r="B65" s="22" t="s">
        <v>514</v>
      </c>
      <c r="C65" s="26" t="s">
        <v>516</v>
      </c>
      <c r="D65" s="24">
        <v>46225</v>
      </c>
      <c r="E65" s="24">
        <v>46231</v>
      </c>
      <c r="F65" s="22" t="s">
        <v>643</v>
      </c>
      <c r="G65" s="20"/>
    </row>
    <row r="66" spans="1:7">
      <c r="A66" s="23">
        <v>65</v>
      </c>
      <c r="B66" s="22" t="s">
        <v>514</v>
      </c>
      <c r="C66" s="26" t="s">
        <v>515</v>
      </c>
      <c r="D66" s="23" t="s">
        <v>954</v>
      </c>
      <c r="E66" s="24">
        <v>46230</v>
      </c>
      <c r="F66" s="22" t="s">
        <v>711</v>
      </c>
      <c r="G66" s="20"/>
    </row>
    <row r="67" spans="1:7">
      <c r="A67" s="23">
        <v>66</v>
      </c>
      <c r="B67" s="22" t="s">
        <v>514</v>
      </c>
      <c r="C67" s="26" t="s">
        <v>515</v>
      </c>
      <c r="D67" s="23"/>
      <c r="E67" s="24">
        <v>46224</v>
      </c>
      <c r="F67" s="22" t="s">
        <v>643</v>
      </c>
      <c r="G67" s="20"/>
    </row>
    <row r="68" spans="1:7">
      <c r="A68" s="23">
        <v>67</v>
      </c>
      <c r="B68" s="22" t="s">
        <v>514</v>
      </c>
      <c r="C68" s="26" t="s">
        <v>515</v>
      </c>
      <c r="D68" s="23"/>
      <c r="E68" s="24">
        <v>46224</v>
      </c>
      <c r="F68" s="22" t="s">
        <v>643</v>
      </c>
      <c r="G68" s="20"/>
    </row>
    <row r="69" spans="1:7">
      <c r="A69" s="23">
        <v>68</v>
      </c>
      <c r="B69" s="22" t="s">
        <v>514</v>
      </c>
      <c r="C69" s="26" t="s">
        <v>515</v>
      </c>
      <c r="D69" s="23"/>
      <c r="E69" s="24">
        <v>46224</v>
      </c>
      <c r="F69" s="22" t="s">
        <v>643</v>
      </c>
      <c r="G69" s="20"/>
    </row>
    <row r="70" spans="1:7">
      <c r="A70" s="23">
        <v>69</v>
      </c>
      <c r="B70" s="22" t="s">
        <v>514</v>
      </c>
      <c r="C70" s="26" t="s">
        <v>515</v>
      </c>
      <c r="D70" s="23"/>
      <c r="E70" s="24">
        <v>46231</v>
      </c>
      <c r="F70" s="22" t="s">
        <v>644</v>
      </c>
      <c r="G70" s="20"/>
    </row>
    <row r="71" spans="1:7">
      <c r="A71" s="23">
        <v>70</v>
      </c>
      <c r="B71" s="22" t="s">
        <v>514</v>
      </c>
      <c r="C71" s="26" t="s">
        <v>516</v>
      </c>
      <c r="D71" s="24">
        <v>46232</v>
      </c>
      <c r="E71" s="24">
        <v>46233</v>
      </c>
      <c r="F71" s="22" t="s">
        <v>643</v>
      </c>
      <c r="G71" s="20"/>
    </row>
    <row r="72" spans="1:7">
      <c r="A72" s="27">
        <v>71</v>
      </c>
      <c r="B72" s="25" t="s">
        <v>725</v>
      </c>
      <c r="C72" s="28" t="s">
        <v>515</v>
      </c>
      <c r="D72" s="27" t="s">
        <v>642</v>
      </c>
      <c r="E72" s="27" t="s">
        <v>725</v>
      </c>
      <c r="F72" s="25" t="s">
        <v>642</v>
      </c>
      <c r="G72" s="20"/>
    </row>
    <row r="73" spans="1:7">
      <c r="A73" s="27">
        <v>72</v>
      </c>
      <c r="B73" s="25" t="s">
        <v>642</v>
      </c>
      <c r="C73" s="28" t="s">
        <v>515</v>
      </c>
      <c r="D73" s="27" t="s">
        <v>642</v>
      </c>
      <c r="E73" s="27" t="s">
        <v>642</v>
      </c>
      <c r="F73" s="25" t="s">
        <v>642</v>
      </c>
      <c r="G73" s="20"/>
    </row>
    <row r="74" spans="1:7">
      <c r="A74" s="23">
        <v>73</v>
      </c>
      <c r="B74" s="22" t="s">
        <v>514</v>
      </c>
      <c r="C74" s="23" t="s">
        <v>516</v>
      </c>
      <c r="D74" s="24">
        <v>46232</v>
      </c>
      <c r="E74" s="24">
        <v>46232</v>
      </c>
      <c r="F74" s="22" t="s">
        <v>643</v>
      </c>
      <c r="G74" s="20"/>
    </row>
    <row r="75" spans="1:7">
      <c r="A75" s="23">
        <v>74</v>
      </c>
      <c r="B75" s="22" t="s">
        <v>514</v>
      </c>
      <c r="C75" s="23" t="s">
        <v>516</v>
      </c>
      <c r="D75" s="23"/>
      <c r="E75" s="24">
        <v>46237</v>
      </c>
      <c r="F75" s="22" t="s">
        <v>643</v>
      </c>
      <c r="G75" s="20"/>
    </row>
    <row r="76" spans="1:7">
      <c r="A76" s="23">
        <v>75</v>
      </c>
      <c r="B76" s="22" t="s">
        <v>514</v>
      </c>
      <c r="C76" s="23" t="s">
        <v>516</v>
      </c>
      <c r="D76" s="23" t="s">
        <v>774</v>
      </c>
      <c r="E76" s="24">
        <v>46232</v>
      </c>
      <c r="F76" s="22" t="s">
        <v>728</v>
      </c>
      <c r="G76" s="20"/>
    </row>
    <row r="77" spans="1:7">
      <c r="A77" s="23">
        <v>76</v>
      </c>
      <c r="B77" s="22" t="s">
        <v>514</v>
      </c>
      <c r="C77" s="23" t="s">
        <v>516</v>
      </c>
      <c r="D77" s="23"/>
      <c r="E77" s="24">
        <v>46239</v>
      </c>
      <c r="F77" s="22" t="s">
        <v>729</v>
      </c>
      <c r="G77" s="20"/>
    </row>
    <row r="78" spans="1:7">
      <c r="A78" s="23">
        <v>77</v>
      </c>
      <c r="B78" s="22" t="s">
        <v>514</v>
      </c>
      <c r="C78" s="23" t="s">
        <v>516</v>
      </c>
      <c r="D78" s="23"/>
      <c r="E78" s="23"/>
      <c r="F78" s="22" t="s">
        <v>760</v>
      </c>
      <c r="G78" s="20"/>
    </row>
    <row r="79" spans="1:7">
      <c r="A79" s="23">
        <v>78</v>
      </c>
      <c r="B79" s="22" t="s">
        <v>514</v>
      </c>
      <c r="C79" s="23" t="s">
        <v>515</v>
      </c>
      <c r="D79" s="23"/>
      <c r="E79" s="23"/>
      <c r="F79" s="22" t="s">
        <v>761</v>
      </c>
      <c r="G79" s="20"/>
    </row>
    <row r="80" spans="1:7">
      <c r="A80" s="23">
        <v>79</v>
      </c>
      <c r="B80" s="22" t="s">
        <v>514</v>
      </c>
      <c r="C80" s="23" t="s">
        <v>516</v>
      </c>
      <c r="D80" s="23"/>
      <c r="E80" s="24">
        <v>415134</v>
      </c>
      <c r="F80" s="22" t="s">
        <v>819</v>
      </c>
      <c r="G80" s="20"/>
    </row>
    <row r="81" spans="1:7">
      <c r="A81" s="23">
        <v>80</v>
      </c>
      <c r="B81" s="22" t="s">
        <v>514</v>
      </c>
      <c r="C81" s="23" t="s">
        <v>515</v>
      </c>
      <c r="D81" s="23"/>
      <c r="E81" s="24">
        <v>46235</v>
      </c>
      <c r="F81" s="22" t="s">
        <v>643</v>
      </c>
      <c r="G81" s="20"/>
    </row>
    <row r="82" spans="1:7">
      <c r="A82" s="23">
        <v>81</v>
      </c>
      <c r="B82" s="22" t="s">
        <v>514</v>
      </c>
      <c r="C82" s="23" t="s">
        <v>515</v>
      </c>
      <c r="D82" s="23"/>
      <c r="E82" s="24">
        <v>46248</v>
      </c>
      <c r="F82" s="22" t="s">
        <v>643</v>
      </c>
      <c r="G82" s="20"/>
    </row>
    <row r="83" spans="1:7">
      <c r="A83" s="23">
        <v>82</v>
      </c>
      <c r="B83" s="22" t="s">
        <v>514</v>
      </c>
      <c r="C83" s="23" t="s">
        <v>515</v>
      </c>
      <c r="D83" s="23"/>
      <c r="E83" s="24">
        <v>46239</v>
      </c>
      <c r="F83" s="22" t="s">
        <v>643</v>
      </c>
      <c r="G83" s="20"/>
    </row>
    <row r="84" spans="1:7">
      <c r="A84" s="23">
        <v>83</v>
      </c>
      <c r="B84" s="22" t="s">
        <v>514</v>
      </c>
      <c r="C84" s="23" t="s">
        <v>515</v>
      </c>
      <c r="D84" s="23"/>
      <c r="E84" s="24">
        <v>46246</v>
      </c>
      <c r="F84" s="22" t="s">
        <v>955</v>
      </c>
      <c r="G84" s="20"/>
    </row>
    <row r="85" spans="1:7">
      <c r="A85" s="23">
        <v>84</v>
      </c>
      <c r="B85" s="22" t="s">
        <v>514</v>
      </c>
      <c r="C85" s="23" t="s">
        <v>515</v>
      </c>
      <c r="D85" s="23"/>
      <c r="E85" s="24">
        <v>46246</v>
      </c>
      <c r="F85" s="22" t="s">
        <v>955</v>
      </c>
      <c r="G85" s="20"/>
    </row>
    <row r="86" spans="1:7">
      <c r="A86" s="23">
        <v>85</v>
      </c>
      <c r="B86" s="22" t="s">
        <v>514</v>
      </c>
      <c r="C86" s="23" t="s">
        <v>515</v>
      </c>
      <c r="D86" s="23"/>
      <c r="E86" s="24">
        <v>46246</v>
      </c>
      <c r="F86" s="22" t="s">
        <v>955</v>
      </c>
      <c r="G86" s="20"/>
    </row>
    <row r="87" spans="1:7">
      <c r="A87" s="23">
        <v>86</v>
      </c>
      <c r="B87" s="22" t="s">
        <v>514</v>
      </c>
      <c r="C87" s="23" t="s">
        <v>515</v>
      </c>
      <c r="D87" s="23"/>
      <c r="E87" s="24">
        <v>46246</v>
      </c>
      <c r="F87" s="22" t="s">
        <v>955</v>
      </c>
      <c r="G87" s="20"/>
    </row>
    <row r="88" spans="1:7">
      <c r="A88" s="23">
        <v>87</v>
      </c>
      <c r="B88" s="22" t="s">
        <v>517</v>
      </c>
      <c r="C88" s="23" t="s">
        <v>515</v>
      </c>
      <c r="D88" s="23"/>
      <c r="E88" s="24">
        <v>46237</v>
      </c>
      <c r="F88" s="22" t="s">
        <v>820</v>
      </c>
      <c r="G88" s="20"/>
    </row>
    <row r="89" spans="1:7">
      <c r="A89" s="23">
        <v>88</v>
      </c>
      <c r="B89" s="22" t="s">
        <v>517</v>
      </c>
      <c r="C89" s="23" t="s">
        <v>515</v>
      </c>
      <c r="D89" s="23"/>
      <c r="E89" s="24">
        <v>46237</v>
      </c>
      <c r="F89" s="22" t="s">
        <v>820</v>
      </c>
      <c r="G89" s="20"/>
    </row>
    <row r="90" spans="1:7">
      <c r="A90" s="23">
        <v>89</v>
      </c>
      <c r="B90" s="22" t="s">
        <v>514</v>
      </c>
      <c r="C90" s="23" t="s">
        <v>516</v>
      </c>
      <c r="D90" s="24">
        <v>46237</v>
      </c>
      <c r="E90" s="24">
        <v>46238</v>
      </c>
      <c r="F90" s="22" t="s">
        <v>776</v>
      </c>
      <c r="G90" s="20"/>
    </row>
    <row r="91" spans="1:7">
      <c r="A91" s="23">
        <v>90</v>
      </c>
      <c r="B91" s="22" t="s">
        <v>514</v>
      </c>
      <c r="C91" s="23" t="s">
        <v>515</v>
      </c>
      <c r="D91" s="23"/>
      <c r="E91" s="24">
        <v>46237</v>
      </c>
      <c r="F91" s="22" t="s">
        <v>821</v>
      </c>
      <c r="G91" s="20"/>
    </row>
    <row r="92" spans="1:7">
      <c r="A92" s="23">
        <v>91</v>
      </c>
      <c r="B92" s="22" t="s">
        <v>514</v>
      </c>
      <c r="C92" s="23" t="s">
        <v>515</v>
      </c>
      <c r="D92" s="23"/>
      <c r="E92" s="24">
        <v>46237</v>
      </c>
      <c r="F92" s="22" t="s">
        <v>821</v>
      </c>
      <c r="G92" s="20"/>
    </row>
    <row r="93" spans="1:7">
      <c r="A93" s="23">
        <v>92</v>
      </c>
      <c r="B93" s="22" t="s">
        <v>514</v>
      </c>
      <c r="C93" s="23" t="s">
        <v>515</v>
      </c>
      <c r="D93" s="23"/>
      <c r="E93" s="24">
        <v>46246</v>
      </c>
      <c r="F93" s="22" t="s">
        <v>776</v>
      </c>
      <c r="G93" s="20"/>
    </row>
    <row r="94" spans="1:7">
      <c r="A94" s="23">
        <v>93</v>
      </c>
      <c r="B94" s="25" t="s">
        <v>642</v>
      </c>
      <c r="C94" s="27" t="s">
        <v>515</v>
      </c>
      <c r="D94" s="27"/>
      <c r="E94" s="27"/>
      <c r="F94" s="25" t="s">
        <v>642</v>
      </c>
      <c r="G94" s="20"/>
    </row>
    <row r="95" spans="1:7">
      <c r="A95" s="23">
        <v>94</v>
      </c>
      <c r="B95" s="22" t="s">
        <v>514</v>
      </c>
      <c r="C95" s="23" t="s">
        <v>515</v>
      </c>
      <c r="D95" s="23"/>
      <c r="E95" s="24">
        <v>46238</v>
      </c>
      <c r="F95" s="22" t="s">
        <v>775</v>
      </c>
      <c r="G95" s="20"/>
    </row>
    <row r="96" spans="1:7">
      <c r="A96" s="23">
        <v>95</v>
      </c>
      <c r="B96" s="22" t="s">
        <v>514</v>
      </c>
      <c r="C96" s="23" t="s">
        <v>516</v>
      </c>
      <c r="D96" s="23"/>
      <c r="E96" s="24">
        <v>46247</v>
      </c>
      <c r="F96" s="22" t="s">
        <v>956</v>
      </c>
      <c r="G96" s="20"/>
    </row>
    <row r="97" spans="1:7">
      <c r="A97" s="23">
        <v>96</v>
      </c>
      <c r="B97" s="22" t="s">
        <v>514</v>
      </c>
      <c r="C97" s="23" t="s">
        <v>516</v>
      </c>
      <c r="D97" s="23"/>
      <c r="E97" s="24">
        <v>46238</v>
      </c>
      <c r="F97" s="22" t="s">
        <v>874</v>
      </c>
      <c r="G97" s="20"/>
    </row>
    <row r="98" spans="1:7">
      <c r="A98" s="23">
        <v>97</v>
      </c>
      <c r="B98" s="22" t="s">
        <v>514</v>
      </c>
      <c r="C98" s="23" t="s">
        <v>515</v>
      </c>
      <c r="D98" s="23"/>
      <c r="E98" s="23"/>
      <c r="F98" s="22" t="s">
        <v>1038</v>
      </c>
      <c r="G98" s="20"/>
    </row>
    <row r="99" spans="1:7">
      <c r="A99" s="23">
        <v>98</v>
      </c>
      <c r="B99" s="22" t="s">
        <v>514</v>
      </c>
      <c r="C99" s="23" t="s">
        <v>515</v>
      </c>
      <c r="D99" s="23"/>
      <c r="E99" s="24">
        <v>46252</v>
      </c>
      <c r="F99" s="22" t="s">
        <v>1033</v>
      </c>
      <c r="G99" s="20"/>
    </row>
    <row r="100" spans="1:7">
      <c r="A100" s="23">
        <v>99</v>
      </c>
      <c r="B100" s="22" t="s">
        <v>514</v>
      </c>
      <c r="C100" s="23" t="s">
        <v>516</v>
      </c>
      <c r="D100" s="24">
        <v>46248</v>
      </c>
      <c r="E100" s="24">
        <v>46251</v>
      </c>
      <c r="F100" s="22" t="s">
        <v>1039</v>
      </c>
      <c r="G100" s="20"/>
    </row>
    <row r="101" spans="1:7">
      <c r="A101" s="23">
        <v>100</v>
      </c>
      <c r="B101" s="22" t="s">
        <v>514</v>
      </c>
      <c r="C101" s="23" t="s">
        <v>516</v>
      </c>
      <c r="D101" s="24">
        <v>46248</v>
      </c>
      <c r="E101" s="24">
        <v>46244</v>
      </c>
      <c r="F101" s="22" t="s">
        <v>643</v>
      </c>
      <c r="G101" s="20"/>
    </row>
    <row r="102" spans="1:7">
      <c r="A102" s="23">
        <v>101</v>
      </c>
      <c r="B102" s="22" t="s">
        <v>514</v>
      </c>
      <c r="C102" s="23" t="s">
        <v>515</v>
      </c>
      <c r="D102" s="23"/>
      <c r="E102" s="24">
        <v>46247</v>
      </c>
      <c r="F102" s="22" t="s">
        <v>643</v>
      </c>
      <c r="G102" s="20"/>
    </row>
    <row r="103" spans="1:7">
      <c r="A103" s="23">
        <v>102</v>
      </c>
      <c r="B103" s="22" t="s">
        <v>514</v>
      </c>
      <c r="C103" s="23" t="s">
        <v>515</v>
      </c>
      <c r="D103" s="24">
        <v>46248</v>
      </c>
      <c r="E103" s="24">
        <v>46248</v>
      </c>
      <c r="F103" s="22" t="s">
        <v>643</v>
      </c>
      <c r="G103" s="20"/>
    </row>
    <row r="104" spans="1:7">
      <c r="A104" s="23">
        <v>103</v>
      </c>
      <c r="B104" s="22" t="s">
        <v>514</v>
      </c>
      <c r="C104" s="23" t="s">
        <v>516</v>
      </c>
      <c r="D104" s="24">
        <v>46248</v>
      </c>
      <c r="E104" s="23"/>
      <c r="F104" s="22" t="s">
        <v>1034</v>
      </c>
      <c r="G104" s="20"/>
    </row>
    <row r="105" spans="1:7">
      <c r="A105" s="23">
        <v>104</v>
      </c>
      <c r="B105" s="22" t="s">
        <v>514</v>
      </c>
      <c r="C105" s="23" t="s">
        <v>515</v>
      </c>
      <c r="D105" s="23"/>
      <c r="E105" s="24">
        <v>46247</v>
      </c>
      <c r="F105" s="22" t="s">
        <v>643</v>
      </c>
      <c r="G105" s="20"/>
    </row>
    <row r="106" spans="1:7">
      <c r="A106" s="23">
        <v>105</v>
      </c>
      <c r="B106" s="22" t="s">
        <v>514</v>
      </c>
      <c r="C106" s="23" t="s">
        <v>516</v>
      </c>
      <c r="D106" s="24">
        <v>46248</v>
      </c>
      <c r="E106" s="24">
        <v>46252</v>
      </c>
      <c r="F106" s="22" t="s">
        <v>643</v>
      </c>
      <c r="G106" s="20"/>
    </row>
    <row r="107" spans="1:7">
      <c r="A107" s="23">
        <v>106</v>
      </c>
      <c r="B107" s="22" t="s">
        <v>514</v>
      </c>
      <c r="C107" s="23" t="s">
        <v>515</v>
      </c>
      <c r="D107" s="23"/>
      <c r="E107" s="24">
        <v>46252</v>
      </c>
      <c r="F107" s="22" t="s">
        <v>1035</v>
      </c>
      <c r="G107" s="20"/>
    </row>
    <row r="108" spans="1:7">
      <c r="A108" s="23">
        <v>107</v>
      </c>
      <c r="B108" s="22" t="s">
        <v>514</v>
      </c>
      <c r="C108" s="23" t="s">
        <v>516</v>
      </c>
      <c r="D108" s="23"/>
      <c r="E108" s="24">
        <v>46252</v>
      </c>
      <c r="F108" s="22" t="s">
        <v>1036</v>
      </c>
      <c r="G108" s="20"/>
    </row>
    <row r="109" spans="1:7">
      <c r="A109" s="23">
        <v>108</v>
      </c>
      <c r="B109" s="25" t="s">
        <v>642</v>
      </c>
      <c r="C109" s="27"/>
      <c r="D109" s="27"/>
      <c r="E109" s="27"/>
      <c r="F109" s="25" t="s">
        <v>642</v>
      </c>
      <c r="G109" s="21"/>
    </row>
    <row r="110" spans="1:7">
      <c r="A110" s="23">
        <v>109</v>
      </c>
      <c r="B110" s="22" t="s">
        <v>514</v>
      </c>
      <c r="C110" s="23" t="s">
        <v>515</v>
      </c>
      <c r="D110" s="24">
        <v>46248</v>
      </c>
      <c r="E110" s="24">
        <v>46251</v>
      </c>
      <c r="F110" s="22" t="s">
        <v>643</v>
      </c>
      <c r="G110" s="20"/>
    </row>
    <row r="111" spans="1:7">
      <c r="A111" s="23">
        <v>110</v>
      </c>
      <c r="B111" s="22" t="s">
        <v>514</v>
      </c>
      <c r="C111" s="23" t="s">
        <v>516</v>
      </c>
      <c r="D111" s="23"/>
      <c r="E111" s="23"/>
      <c r="F111" s="22" t="s">
        <v>1037</v>
      </c>
      <c r="G111" s="20"/>
    </row>
    <row r="112" spans="1:7">
      <c r="A112" s="23">
        <v>111</v>
      </c>
      <c r="B112" s="22" t="s">
        <v>514</v>
      </c>
      <c r="C112" s="23" t="s">
        <v>515</v>
      </c>
      <c r="D112" s="23"/>
      <c r="E112" s="23"/>
      <c r="F112" s="22" t="s">
        <v>1037</v>
      </c>
      <c r="G112" s="20"/>
    </row>
    <row r="113" spans="1:7">
      <c r="A113" s="23">
        <v>112</v>
      </c>
      <c r="B113" s="22" t="s">
        <v>514</v>
      </c>
      <c r="C113" s="23" t="s">
        <v>515</v>
      </c>
      <c r="D113" s="23"/>
      <c r="E113" s="23"/>
      <c r="F113" s="22" t="s">
        <v>1037</v>
      </c>
      <c r="G113" s="20"/>
    </row>
    <row r="114" spans="1:7">
      <c r="A114" s="23">
        <v>113</v>
      </c>
      <c r="B114" s="22" t="s">
        <v>514</v>
      </c>
      <c r="C114" s="23" t="s">
        <v>515</v>
      </c>
      <c r="D114" s="23"/>
      <c r="E114" s="23"/>
      <c r="F114" s="22" t="s">
        <v>1037</v>
      </c>
      <c r="G114" s="20"/>
    </row>
    <row r="115" spans="1:7">
      <c r="A115" s="23">
        <v>114</v>
      </c>
      <c r="B115" s="22" t="s">
        <v>514</v>
      </c>
      <c r="C115" s="23" t="s">
        <v>515</v>
      </c>
      <c r="D115" s="23"/>
      <c r="E115" s="23"/>
      <c r="F115" s="22" t="s">
        <v>1037</v>
      </c>
      <c r="G115" s="20"/>
    </row>
    <row r="116" spans="1:7">
      <c r="A116" s="23">
        <v>115</v>
      </c>
      <c r="B116" s="22" t="s">
        <v>514</v>
      </c>
      <c r="C116" s="23" t="s">
        <v>516</v>
      </c>
      <c r="D116" s="24">
        <v>46252</v>
      </c>
      <c r="E116" s="24">
        <v>46252</v>
      </c>
      <c r="F116" s="22" t="s">
        <v>643</v>
      </c>
      <c r="G116" s="20"/>
    </row>
    <row r="117" spans="1:7">
      <c r="A117" s="23">
        <v>116</v>
      </c>
      <c r="B117" s="22" t="s">
        <v>517</v>
      </c>
      <c r="C117" s="23" t="s">
        <v>515</v>
      </c>
      <c r="D117" s="23"/>
      <c r="E117" s="23"/>
      <c r="F117" s="22" t="s">
        <v>820</v>
      </c>
      <c r="G117" s="20"/>
    </row>
    <row r="118" spans="1:7">
      <c r="A118" s="23">
        <v>117</v>
      </c>
      <c r="B118" s="22" t="s">
        <v>517</v>
      </c>
      <c r="C118" s="23" t="s">
        <v>516</v>
      </c>
      <c r="D118" s="23"/>
      <c r="E118" s="23"/>
      <c r="F118" s="22" t="s">
        <v>820</v>
      </c>
      <c r="G118" s="20"/>
    </row>
    <row r="119" spans="1:7">
      <c r="A119" s="23">
        <v>118</v>
      </c>
      <c r="B119" s="22" t="s">
        <v>517</v>
      </c>
      <c r="C119" s="23" t="s">
        <v>515</v>
      </c>
      <c r="D119" s="23"/>
      <c r="E119" s="23"/>
      <c r="F119" s="22" t="s">
        <v>820</v>
      </c>
      <c r="G119" s="20"/>
    </row>
    <row r="120" spans="1:7">
      <c r="A120" s="23">
        <v>119</v>
      </c>
      <c r="B120" s="22" t="s">
        <v>517</v>
      </c>
      <c r="C120" s="23" t="s">
        <v>516</v>
      </c>
      <c r="D120" s="23"/>
      <c r="E120" s="23"/>
      <c r="F120" s="22" t="s">
        <v>820</v>
      </c>
      <c r="G120" s="20"/>
    </row>
  </sheetData>
  <conditionalFormatting sqref="B2:B120 C27:E29 C48:E48">
    <cfRule type="cellIs" dxfId="22" priority="1" operator="equal">
      <formula>"gestionado"</formula>
    </cfRule>
    <cfRule type="cellIs" dxfId="21" priority="2" operator="equal">
      <formula>"procesado"</formula>
    </cfRule>
    <cfRule type="cellIs" dxfId="20" priority="3" operator="equal">
      <formula>"pendiente"</formula>
    </cfRule>
    <cfRule type="cellIs" dxfId="19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2026-08-19T16:05:13Z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