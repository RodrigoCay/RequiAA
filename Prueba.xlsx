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290B8F32-F716-432A-97A6-2A10BB35E30F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C257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<sst xmlns="http://schemas.openxmlformats.org/spreadsheetml/2006/main" count="5063" uniqueCount="1477">
  <si>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</si>
  <si>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</si>
  <si>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</si>
  <si>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</si>
  <si>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</si>
  <si>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</si>
  <si>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</si>
  <si>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</si>
  <si>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</si>
  <si>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</si>
  <si>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</si>
  <si>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</si>
  <si>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</si>
  <si>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</si>
  <si>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</si>
  <si>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</si>
  <si>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</si>
  <si>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</si>
  <si>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</si>
  <si>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</si>
  <si>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</si>
  <si>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</si>
  <si>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</si>
  <si>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</si>
  <si>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</si>
  <si>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</si>
  <si>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</si>
  <si>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</si>
  <si>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</si>
  <si>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</si>
  <si>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</si>
  <si>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</si>
  <si>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</si>
  <si>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</si>
  <si>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</si>
  <si>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</si>
  <si>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</si>
  <si>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</si>
  <si>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</si>
  <si>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</si>
  <si>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</si>
  <si>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</si>
  <si>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</si>
  <si>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</si>
  <si>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</si>
  <si>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</si>
  <si>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</si>
  <si>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</si>
  <si>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</si>
  <si>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</si>
  <si>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</si>
  <si>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</si>
  <si>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</si>
  <si>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</si>
  <si>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</si>
  <si>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</si>
  <si>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</si>
  <si>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</si>
  <si>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</si>
  <si>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</si>
  <si>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</si>
  <si>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</si>
  <si>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</si>
  <si>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</si>
  <si>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</si>
  <si>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</si>
  <si>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</si>
  <si>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</si>
  <si>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</si>
  <si>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</si>
  <si>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</si>
  <si>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</si>
  <si>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</si>
  <si>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</si>
  <si>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</si>
  <si>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</si>
  <si>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</si>
  <si>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</si>
  <si>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</si>
  <si>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</si>
  <si>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</si>
  <si>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</si>
  <si>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</si>
  <si>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</si>
  <si>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</si>
  <si>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</si>
  <si>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</si>
  <si>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</si>
  <si>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</si>
  <si>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</si>
  <si>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</si>
  <si>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</si>
  <si>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</si>
  <si>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</si>
  <si>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</si>
  <si>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</si>
  <si>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</si>
  <si>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</si>
  <si>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</si>
  <si>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</si>
  <si>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</si>
  <si>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</si>
  <si>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</si>
  <si>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</si>
  <si>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</si>
  <si>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</si>
  <si>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</si>
  <si>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</si>
  <si>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</si>
  <si>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</si>
  <si>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</si>
  <si>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</si>
  <si>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</si>
  <si>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</si>
  <si>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</si>
  <si>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</si>
  <si>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</si>
  <si>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</si>
  <si>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</si>
  <si>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</si>
  <si>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</si>
  <si>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</si>
  <si>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</si>
  <si>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</si>
  <si>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</si>
  <si>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</si>
  <si>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</si>
  <si>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</si>
  <si>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</si>
  <si>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</si>
  <si>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</si>
  <si>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</si>
  <si>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</si>
  <si>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</si>
  <si>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</si>
  <si>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</si>
  <si>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</si>
  <si>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</si>
  <si>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</si>
  <si>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</si>
  <si>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</si>
  <si>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</si>
  <si>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</si>
  <si>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</si>
  <si>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</si>
  <si>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</si>
  <si>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</si>
  <si>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</si>
  <si>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</si>
  <si>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</si>
  <si>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</si>
  <si>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</si>
  <si>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</si>
  <si>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</si>
  <si>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</si>
  <si>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</si>
  <si>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</si>
  <si>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</si>
  <si>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</si>
  <si>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</si>
  <si>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</si>
  <si>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</si>
  <si>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</si>
  <si>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</si>
  <si>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</si>
  <si>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</si>
  <si>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</si>
  <si>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</si>
  <si>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</si>
  <si>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</si>
  <si>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</si>
  <si>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</si>
  <si>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</si>
  <si>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</si>
  <si>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</si>
  <si>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</si>
  <si>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</si>
  <si>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</si>
  <si>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</si>
  <si>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</si>
  <si>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</si>
  <si>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</si>
  <si>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</si>
  <si>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</si>
  <si>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</si>
  <si>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</si>
  <si>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</si>
  <si>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</si>
  <si>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</si>
  <si>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</si>
  <si>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</si>
  <si>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</si>
  <si>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</si>
  <si>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</si>
  <si>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</si>
  <si>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</si>
  <si>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</si>
  <si>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</si>
  <si>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</si>
  <si>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</si>
  <si>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</si>
  <si>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</si>
  <si>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</si>
  <si>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</si>
  <si>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</si>
  <si>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</si>
  <si>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</si>
  <si>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</si>
  <si>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</si>
  <si>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</si>
  <si>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</si>
  <si>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</si>
  <si>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</si>
  <si>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</si>
  <si>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</si>
  <si>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</si>
  <si>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</si>
  <si>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</si>
  <si>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</si>
  <si>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</si>
  <si>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</si>
  <si>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</si>
  <si>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</si>
  <si>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</si>
  <si>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</si>
  <si>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</si>
  <si>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</si>
  <si>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</si>
  <si>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</si>
  <si>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</si>
  <si>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</si>
  <si>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</si>
  <si>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</si>
  <si>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</si>
  <si>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</si>
  <si>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</si>
  <si>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</si>
  <si>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</si>
  <si>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</si>
  <si>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</si>
  <si>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</si>
  <si>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</si>
  <si>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</si>
  <si>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</si>
  <si>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</si>
  <si>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</si>
  <si>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</si>
  <si>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</si>
  <si>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</si>
  <si>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</si>
  <si>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</si>
  <si>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</si>
  <si>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</si>
  <si>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</si>
  <si>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</si>
  <si>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</si>
  <si>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</si>
  <si>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</si>
  <si>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</si>
  <si>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</si>
  <si>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</si>
  <si>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</si>
  <si>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</si>
  <si>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</si>
  <si>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</si>
  <si>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</si>
  <si>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</si>
  <si>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</si>
  <si>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</si>
  <si>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</si>
  <si>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</si>
  <si>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</si>
  <si>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</si>
  <si>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</si>
  <si>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</si>
  <si>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</si>
  <si>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</si>
  <si>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</si>
  <si>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</si>
  <si>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</si>
  <si>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</si>
  <si>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</si>
  <si>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</si>
  <si>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</si>
  <si>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</si>
  <si>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</si>
  <si>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</si>
  <si>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</si>
  <si>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</si>
  <si>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</si>
  <si>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</si>
  <si>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</si>
  <si>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</si>
  <si>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</si>
  <si>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</si>
  <si>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</si>
  <si>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</si>
  <si>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</si>
  <si>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</si>
  <si>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</si>
  <si>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</si>
  <si>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</si>
  <si>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</si>
  <si>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</si>
  <si>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</si>
  <si>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</si>
  <si>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</si>
  <si>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</si>
  <si>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</si>
  <si>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</si>
  <si>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</si>
  <si>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</si>
  <si>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</si>
  <si>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</si>
  <si>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</si>
  <si>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</si>
  <si>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</si>
  <si>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</si>
  <si>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</si>
  <si>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</si>
  <si>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</si>
  <si>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</si>
  <si>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</si>
  <si>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</si>
  <si>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</si>
  <si>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</si>
  <si>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</si>
  <si>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</si>
  <si>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</si>
  <si>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</si>
  <si>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</si>
  <si>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</si>
  <si>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</si>
  <si>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</si>
  <si>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</si>
  <si>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</si>
  <si>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</si>
  <si>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</si>
  <si>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</si>
  <si>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</si>
  <si>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</si>
  <si>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</si>
  <si>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</si>
  <si>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</si>
  <si>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</si>
  <si>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</si>
  <si>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</si>
  <si>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</si>
  <si>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</si>
  <si>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</si>
  <si>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</si>
  <si>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</si>
  <si>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</si>
  <si>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</si>
  <si>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</si>
  <si>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</si>
  <si>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</si>
  <si>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</si>
  <si>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</si>
  <si>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</si>
  <si>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</si>
  <si>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</si>
  <si>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</si>
  <si>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</si>
  <si>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</si>
  <si>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</si>
  <si>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</si>
  <si>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</si>
  <si>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</si>
  <si>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</si>
  <si>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</si>
  <si>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</si>
  <si>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</si>
  <si>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</si>
  <si>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</si>
  <si>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</si>
  <si>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</si>
  <si>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</si>
  <si>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</si>
  <si>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</si>
  <si>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</si>
  <si>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</si>
  <si>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</si>
  <si>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</si>
  <si>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</si>
  <si>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</si>
  <si>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</si>
  <si>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</si>
  <si>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</si>
  <si>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</si>
  <si>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</si>
  <si>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</si>
  <si>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</si>
  <si>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</si>
  <si>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</si>
  <si>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</si>
  <si>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</si>
  <si>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</si>
  <si>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</si>
  <si>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</si>
  <si>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</si>
  <si>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</si>
  <si>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</si>
  <si>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</si>
  <si>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</si>
  <si>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</si>
  <si>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</si>
  <si>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</si>
  <si>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</si>
  <si>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</si>
  <si>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</si>
  <si>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</si>
  <si>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</si>
  <si>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</si>
  <si>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</si>
  <si>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</si>
  <si>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</si>
  <si>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</si>
  <si>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</si>
  <si>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</si>
  <si>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</si>
  <si>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</si>
  <si>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</si>
  <si>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</si>
  <si>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</si>
  <si>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</si>
  <si>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</si>
  <si>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</si>
  <si>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</si>
  <si>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</si>
  <si>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</si>
  <si>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</si>
  <si>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</si>
  <si>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</si>
  <si>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</si>
  <si>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</si>
  <si>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</si>
  <si>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</si>
  <si>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</si>
  <si>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</si>
  <si>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</si>
  <si>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</si>
  <si>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</si>
  <si>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</si>
  <si>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</si>
  <si>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</si>
  <si>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</si>
  <si>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</si>
  <si>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</si>
  <si>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</si>
  <si>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</si>
  <si>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</si>
  <si>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</si>
  <si>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</si>
  <si>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</si>
  <si>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</si>
  <si>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</si>
  <si>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</si>
  <si>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</si>
  <si>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</si>
  <si>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</si>
  <si>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</si>
  <si>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</si>
  <si>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</si>
  <si>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</si>
  <si>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</si>
  <si>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</si>
  <si>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</si>
  <si>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</si>
  <si>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</si>
  <si>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</si>
  <si>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</si>
  <si>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</si>
  <si>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</si>
  <si>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</si>
  <si>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</si>
  <si>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</si>
  <si>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</si>
  <si>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</si>
  <si>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</si>
  <si>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</si>
  <si>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</si>
  <si>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</si>
  <si>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</si>
  <si>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</si>
  <si>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</si>
  <si>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</si>
  <si>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</si>
  <si>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</si>
  <si>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</si>
  <si>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</si>
  <si>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</si>
  <si>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</si>
  <si>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</si>
  <si>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</si>
  <si>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</si>
  <si>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</si>
  <si>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</si>
  <si>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</si>
  <si>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</si>
  <si>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</si>
  <si>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</si>
  <si>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</si>
  <si>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</si>
  <si>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</si>
  <si>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</si>
  <si>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</si>
  <si>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</si>
  <si>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</si>
  <si>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</si>
  <si>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</si>
  <si>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</si>
  <si>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</si>
  <si>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</si>
  <si>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</si>
  <si>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</si>
  <si>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</si>
  <si>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</si>
  <si>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</si>
  <si>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</si>
  <si>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</si>
  <si>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</si>
  <si>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</si>
  <si>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</si>
  <si>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</si>
  <si>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</si>
  <si>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</si>
  <si>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</si>
  <si>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</si>
  <si>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</si>
  <si>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</si>
  <si>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</si>
  <si>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</si>
  <si>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</si>
  <si>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</si>
  <si>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</si>
  <si>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</si>
  <si>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</si>
  <si>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</si>
  <si>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</si>
  <si>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</si>
  <si>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</si>
  <si>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</si>
  <si>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</si>
  <si>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</si>
  <si>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</si>
  <si>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</si>
  <si>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</si>
  <si>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</si>
  <si>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</si>
  <si>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</si>
  <si>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</si>
  <si>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</si>
  <si>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</si>
  <si>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</si>
  <si>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</si>
  <si>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</si>
  <si>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</si>
  <si>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</si>
  <si>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</si>
  <si>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</si>
  <si>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</si>
  <si>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</si>
  <si>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</si>
  <si>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</si>
  <si>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</si>
  <si>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</si>
  <si>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</si>
  <si>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</si>
  <si>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</si>
  <si>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</si>
  <si>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</si>
  <si>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</si>
  <si>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</si>
  <si>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</si>
  <si>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</si>
  <si>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</si>
  <si>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</si>
  <si>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</si>
  <si>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</si>
  <si>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</si>
  <si>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</si>
  <si>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</si>
  <si>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</si>
  <si>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</si>
  <si>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</si>
  <si>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</si>
  <si>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</si>
  <si>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</si>
  <si>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</si>
  <si>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</si>
  <si>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</si>
  <si>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</si>
  <si>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</si>
  <si>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</si>
  <si>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</si>
  <si>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</si>
  <si>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</si>
  <si>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</si>
  <si>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</si>
  <si>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</si>
  <si>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</si>
  <si>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</si>
  <si>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</si>
  <si>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</si>
  <si>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</si>
  <si>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</si>
  <si>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</si>
  <si>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</si>
  <si>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</si>
  <si>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</si>
  <si>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</si>
  <si>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</si>
  <si>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</si>
  <si>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</si>
  <si>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</si>
  <si>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</si>
  <si>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</si>
  <si>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</si>
  <si>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</si>
  <si>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</si>
  <si>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</si>
  <si>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</si>
  <si>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</si>
  <si>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</si>
  <si>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</si>
  <si>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</si>
  <si>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</si>
  <si>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</si>
  <si>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</si>
  <si>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</si>
  <si>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</si>
  <si>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</si>
  <si>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</si>
  <si>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</si>
  <si>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</si>
  <si>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</si>
  <si>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</si>
  <si>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</si>
  <si>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</si>
  <si>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</si>
  <si>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</si>
  <si>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</si>
  <si>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</si>
  <si>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</si>
  <si>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</si>
  <si>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</si>
  <si>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</si>
  <si>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</si>
  <si>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</si>
  <si>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</si>
  <si>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</si>
  <si>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</si>
  <si>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</si>
  <si>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</si>
  <si>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</si>
  <si>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</si>
  <si>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</si>
  <si>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</si>
  <si>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</si>
  <si>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</si>
  <si>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</si>
  <si>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</si>
  <si>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</si>
  <si>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</si>
  <si>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</si>
  <si>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</si>
  <si>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</si>
  <si>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</si>
  <si>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</si>
  <si>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</si>
  <si>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</si>
  <si>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</si>
  <si>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</si>
  <si>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</si>
  <si>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</si>
  <si>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</si>
  <si>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</si>
  <si>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</si>
  <si>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</si>
  <si>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</si>
  <si>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</si>
  <si>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</si>
  <si>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</si>
  <si>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</si>
  <si>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</si>
  <si>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</si>
  <si>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</si>
  <si>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</si>
  <si>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</si>
  <si>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</si>
  <si>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</si>
  <si>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</si>
  <si>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</si>
  <si>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</si>
  <si>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</si>
  <si>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</si>
  <si>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</si>
  <si>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</si>
  <si>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</si>
  <si>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</si>
  <si>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</si>
  <si>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</si>
  <si>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</si>
  <si>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</si>
  <si>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</si>
  <si>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</si>
  <si>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</si>
  <si>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</si>
  <si>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</si>
  <si>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</si>
  <si>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</si>
  <si>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</si>
  <si>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</si>
  <si>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</si>
  <si>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</si>
  <si>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</si>
  <si>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</si>
  <si>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</si>
  <si>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</si>
  <si>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</si>
  <si>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</si>
  <si>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</si>
  <si>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</si>
  <si>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</si>
  <si>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</si>
  <si>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</si>
  <si>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</si>
  <si>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</si>
  <si>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</si>
  <si>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</si>
  <si>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</si>
  <si>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</si>
  <si>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</si>
  <si>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</si>
  <si>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</si>
  <si>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</si>
  <si>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</si>
  <si>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</si>
  <si>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</si>
  <si>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</si>
  <si>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</si>
  <si>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</si>
  <si>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</si>
  <si>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</si>
  <si>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</si>
  <si>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</si>
  <si>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</si>
  <si>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</si>
  <si>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</si>
  <si>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</si>
  <si>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</si>
  <si>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</si>
  <si>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</si>
  <si>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</si>
  <si>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</si>
  <si>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</si>
  <si>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</si>
  <si>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</si>
  <si>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</si>
  <si>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</si>
  <si>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</si>
  <si>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</si>
  <si>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</si>
  <si>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</si>
  <si>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</si>
  <si>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</si>
  <si>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</si>
  <si>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</si>
  <si>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</si>
  <si>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</si>
  <si>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</si>
  <si>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</si>
  <si>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</si>
  <si>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</si>
  <si>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</si>
  <si>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</si>
  <si>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</si>
  <si>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</si>
  <si>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</si>
  <si>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</si>
  <si>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</si>
  <si>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</si>
  <si>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</si>
  <si>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</si>
  <si>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</si>
  <si>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</si>
  <si>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</si>
  <si>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</si>
  <si>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</si>
  <si>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</si>
  <si>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</si>
  <si>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</si>
  <si>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</si>
  <si>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</si>
  <si>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</si>
  <si>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</si>
  <si>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</si>
  <si>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</si>
  <si>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</si>
  <si>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</si>
  <si>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</si>
  <si>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</si>
  <si>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</si>
  <si>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</si>
  <si>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</si>
  <si>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</si>
  <si>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</si>
  <si>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</si>
  <si>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</si>
  <si>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</si>
  <si>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</si>
  <si>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</si>
  <si>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</si>
  <si>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</si>
  <si>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</si>
  <si>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</si>
  <si>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</si>
  <si>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</si>
  <si>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</si>
  <si>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</si>
  <si>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</si>
  <si>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</si>
  <si>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</si>
  <si>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</si>
  <si>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</si>
  <si>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</si>
  <si>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</si>
  <si>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</si>
  <si>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</si>
  <si>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</si>
  <si>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</si>
  <si>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</si>
  <si>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</si>
  <si>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</si>
  <si>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</si>
  <si>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</si>
  <si>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</si>
  <si>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</si>
  <si>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</si>
  <si>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</si>
  <si>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</si>
  <si>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</si>
  <si>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</si>
  <si>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</si>
  <si>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</si>
  <si>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</si>
  <si>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</si>
  <si>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</si>
  <si>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</si>
  <si>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</si>
  <si>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</si>
  <si>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</si>
  <si>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</si>
  <si>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</si>
  <si>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</si>
  <si>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</si>
  <si>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</si>
  <si>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</si>
  <si>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</si>
  <si>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</si>
  <si>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</si>
  <si>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</si>
  <si>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</si>
  <si>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</si>
  <si>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</si>
  <si>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</si>
  <si>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</si>
  <si>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</si>
  <si>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</si>
  <si>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</si>
  <si>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</si>
  <si>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</si>
  <si>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</si>
  <si>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</si>
  <si>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</si>
  <si>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</si>
  <si>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</si>
  <si>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</si>
  <si>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</si>
  <si>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</si>
  <si>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</si>
  <si>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</si>
  <si>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</si>
  <si>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</si>
  <si>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</si>
  <si>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</si>
  <si>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</si>
  <si>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</si>
  <si>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</si>
  <si>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</si>
  <si>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</si>
  <si>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</si>
  <si>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</si>
  <si>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</si>
  <si>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</si>
  <si>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</si>
  <si>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</si>
  <si>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</si>
  <si>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</si>
  <si>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</si>
  <si>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</si>
  <si>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</si>
  <si>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</si>
  <si>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</si>
  <si>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</si>
  <si>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</si>
  <si>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</si>
  <si>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</si>
  <si>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</si>
  <si>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</si>
  <si>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</si>
  <si>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</si>
  <si>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</si>
  <si>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</si>
  <si>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</si>
  <si>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</si>
  <si>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</si>
  <si>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</si>
  <si>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</si>
  <si>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</si>
  <si>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</si>
  <si>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</si>
  <si>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</si>
  <si>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</si>
  <si>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</si>
  <si>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</si>
  <si>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</si>
  <si>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</si>
  <si>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</si>
  <si>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</si>
  <si>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</si>
  <si>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</si>
  <si>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</si>
  <si>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</si>
  <si>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</si>
  <si>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</si>
  <si>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</si>
  <si>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</si>
  <si>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</si>
  <si>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</si>
  <si>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</si>
  <si>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</si>
  <si>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</si>
  <si>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</si>
  <si>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</si>
  <si>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</si>
  <si>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</si>
  <si>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</si>
  <si>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</si>
  <si>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</si>
  <si>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</si>
  <si>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</si>
  <si>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</si>
  <si>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</si>
  <si>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</si>
  <si>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</si>
  <si>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</si>
  <si>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</si>
  <si>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</si>
  <si>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</si>
  <si>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</si>
  <si>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</si>
  <si>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</si>
  <si>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</si>
  <si>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</si>
  <si>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</si>
  <si>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</si>
  <si>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</si>
  <si>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</si>
  <si>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</si>
  <si>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</si>
  <si>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</si>
  <si>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</si>
  <si>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</si>
  <si>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</si>
  <si>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</si>
  <si>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</si>
  <si>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</si>
  <si>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</si>
  <si>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</si>
  <si>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</si>
  <si>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</si>
  <si>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</si>
  <si>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</si>
  <si>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</si>
  <si>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</si>
  <si>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</si>
  <si>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</si>
  <si>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</si>
  <si>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</si>
  <si>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</si>
  <si>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</si>
  <si>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</si>
  <si>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</si>
  <si>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</si>
  <si>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</si>
  <si>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</si>
  <si>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</si>
  <si>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</si>
  <si>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</si>
  <si>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</si>
  <si>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</si>
  <si>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</si>
  <si>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</si>
  <si>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</si>
  <si>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</si>
  <si>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</si>
  <si>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</si>
  <si>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</si>
  <si>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</si>
  <si>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</si>
  <si>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</si>
  <si>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</si>
  <si>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</si>
  <si>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</si>
  <si>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</si>
  <si>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</si>
  <si>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</si>
  <si>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</si>
  <si>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</si>
  <si>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</si>
  <si>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</si>
  <si>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</si>
  <si>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</si>
  <si>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</si>
  <si>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</si>
  <si>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</si>
  <si>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</si>
  <si>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</si>
  <si>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</si>
  <si>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</si>
  <si>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</si>
  <si>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</si>
  <si>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</si>
  <si>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</si>
  <si>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</si>
  <si>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</si>
  <si>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</si>
  <si>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</si>
  <si>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</si>
  <si>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</si>
  <si>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</si>
  <si>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</si>
  <si>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</si>
  <si>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</si>
  <si>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</si>
  <si>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</si>
  <si>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</si>
  <si>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</si>
  <si>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</si>
  <si>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</si>
  <si>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</si>
  <si>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</si>
  <si>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</si>
  <si>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</si>
  <si>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</si>
  <si>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</si>
  <si>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</si>
  <si>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</si>
  <si>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</si>
  <si>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</si>
  <si>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</si>
  <si>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</si>
  <si>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</si>
  <si>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</si>
  <si>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</si>
  <si>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</si>
  <si>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</si>
  <si>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</si>
  <si>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</si>
  <si>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</si>
  <si>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</si>
  <si>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</si>
  <si>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</si>
  <si>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</si>
  <si>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</si>
  <si>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</si>
  <si>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</si>
  <si>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</si>
  <si>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</si>
  <si>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</si>
  <si>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</si>
  <si>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</si>
  <si>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</si>
  <si>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</si>
  <si>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</si>
  <si>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</si>
  <si>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</si>
  <si>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</si>
  <si>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</si>
  <si>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</si>
  <si>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</si>
  <si>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</si>
  <si>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</si>
  <si>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</si>
  <si>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</si>
  <si>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</si>
  <si>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</si>
  <si>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</si>
  <si>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</si>
  <si>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</si>
  <si>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</si>
  <si>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</si>
  <si>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</si>
  <si>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</si>
  <si>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</si>
  <si>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</si>
  <si>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</si>
  <si>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</si>
  <si>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</si>
  <si>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</si>
  <si>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</si>
  <si>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</si>
  <si>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</si>
  <si>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</si>
  <si>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</si>
  <si>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</si>
  <si>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</si>
  <si>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</si>
  <si>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</si>
  <si>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</si>
  <si>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</si>
  <si>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</si>
  <si>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</si>
  <si>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</si>
  <si>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</si>
  <si>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</si>
  <si>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</si>
  <si>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</si>
  <si>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</si>
  <si>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</si>
  <si>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</si>
  <si>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</si>
  <si>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</si>
  <si>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</si>
  <si>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</si>
  <si>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</si>
  <si>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</si>
  <si>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</si>
  <si>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</si>
  <si>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</si>
  <si>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</si>
  <si>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</si>
  <si>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</si>
  <si>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</si>
  <si>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</si>
  <si>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</si>
  <si>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</si>
  <si>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</si>
  <si>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</si>
  <si>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</si>
  <si>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</si>
  <si>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</si>
  <si>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</si>
  <si>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</si>
  <si>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</si>
  <si>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</si>
  <si>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</si>
  <si>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</si>
  <si>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</si>
  <si>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</si>
  <si>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</si>
  <si>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</si>
  <si>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</si>
  <si>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</si>
  <si>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</si>
  <si>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</si>
  <si>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</si>
  <si>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</si>
  <si>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</si>
  <si>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</si>
  <si>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</si>
  <si>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</si>
  <si>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</si>
  <si>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</si>
  <si>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</si>
  <si>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</si>
  <si>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</si>
  <si>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</si>
  <si>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</si>
  <si>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</si>
  <si>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</si>
  <si>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</si>
  <si>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</si>
  <si>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</si>
  <si>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</si>
  <si>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</si>
  <si>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</si>
  <si>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</si>
  <si>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</si>
  <si>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</si>
  <si>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</si>
  <si>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</si>
  <si>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</si>
  <si>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</si>
  <si>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</si>
  <si>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</si>
  <si>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</si>
  <si>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</si>
  <si>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</si>
  <si>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</si>
  <si>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</si>
  <si>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</si>
  <si>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</si>
  <si>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</si>
  <si>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</si>
  <si>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</si>
  <si>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</si>
  <si>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</si>
  <si>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</si>
  <si>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</si>
  <si>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</si>
  <si>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</si>
  <si>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</si>
  <si>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</si>
  <si>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</si>
  <si>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</si>
  <si>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</si>
  <si>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</si>
  <si>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</si>
  <si>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</si>
  <si>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</si>
  <si>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</si>
  <si>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</si>
  <si>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</si>
  <si>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</si>
  <si>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</si>
  <si>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</si>
  <si>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</si>
  <si>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</si>
  <si>
    <t xml:space="preserve">oc segurycel enviada, faltan manguillas cambiar proveedor </t>
  </si>
  <si>
    <t xml:space="preserve">oc enviadas a max service y segurycel ( con bordados) </t>
  </si>
  <si>
    <t>oc creada y nomina pendiente a liberacion</t>
  </si>
  <si>
    <t>099_08082026_Prevencios riesgos_INGECAF_Coprelec_65_OC.xlsx</t>
  </si>
  <si>
    <t>C:\Users\rcayuleo\OneDrive - Transformadores Tusan SA\Archivos de Claudia Muñoz Farias EXT - Proceso de compras\03 Ordenes de Compra\099_08082026_Prevencios riesgos_INGECAF_Coprelec_65_OC.xlsx</t>
  </si>
  <si>
    <t>140_31082026_SAE_INGECAF_Comulsa_66_OC.xlsx</t>
  </si>
  <si>
    <t>C:\Users\rcayuleo\OneDrive - Transformadores Tusan SA\Archivos de Claudia Muñoz Farias EXT - Proceso de compras\03 Ordenes de Compra\140_31082026_SAE_INGECAF_Comulsa_66_OC.xlsx</t>
  </si>
  <si>
    <t>141_31082026_CYM_Maule norte_Casa blanca_102_OC.xlsx</t>
  </si>
  <si>
    <t xml:space="preserve">CASA BLANCA </t>
  </si>
  <si>
    <t>C:\Users\rcayuleo\OneDrive - Transformadores Tusan SA\Archivos de Claudia Muñoz Farias EXT - Proceso de compras\03 Ordenes de Compra\141_31082026_CYM_Maule norte_Casa blanca_102_OC.xlsx</t>
  </si>
  <si>
    <t>143_03092026_CYM_Maule Norte_Max service_103_OC.xlsx</t>
  </si>
  <si>
    <t>SEGURYCEL</t>
  </si>
  <si>
    <t>C:\Users\rcayuleo\OneDrive - Transformadores Tusan SA\Archivos de Claudia Muñoz Farias EXT - Proceso de compras\03 Ordenes de Compra\143_03092026_CYM_Maule Norte_Max service_103_OC.xlsx</t>
  </si>
  <si>
    <t>144_03092026_SSTT_Maule_Norte_SEGURYCEL_104_OC.xlsx</t>
  </si>
  <si>
    <t>C:\Users\rcayuleo\OneDrive - Transformadores Tusan SA\Archivos de Claudia Muñoz Farias EXT - Proceso de compras\03 Ordenes de Compra\144_03092026_SSTT_Maule_Norte_SEGURYCEL_104_OC.xlsx</t>
  </si>
  <si>
    <t>145_03092026_SAE_Maule Norte_Max service_105_OC.xlsx</t>
  </si>
  <si>
    <t>C:\Users\rcayuleo\OneDrive - Transformadores Tusan SA\Archivos de Claudia Muñoz Farias EXT - Proceso de compras\03 Ordenes de Compra\145_03092026_SAE_Maule Norte_Max service_105_OC.xlsx</t>
  </si>
  <si>
    <t>145_03092026_SAE_Maule Norte_SEGURYCEL_106_OC.xlsx</t>
  </si>
  <si>
    <t>C:\Users\rcayuleo\OneDrive - Transformadores Tusan SA\Archivos de Claudia Muñoz Farias EXT - Proceso de compras\03 Ordenes de Compra\145_03092026_SAE_Maule Norte_SEGURYCEL_106_OC.xlsx</t>
  </si>
  <si>
    <t>147_04092026</t>
  </si>
  <si>
    <t>147_04092026_Control perdidas_Arica iquique.xlsx</t>
  </si>
  <si>
    <t>147_04092026_Control perdidas_Arica iquique_cotizacion.xlsx</t>
  </si>
  <si>
    <t>147</t>
  </si>
  <si>
    <t>04-09-2026</t>
  </si>
  <si>
    <t>148_04092026</t>
  </si>
  <si>
    <t>148_04092026_CYM_Maule Norte.xlsx</t>
  </si>
  <si>
    <t>148_04092026_CYM_Maule Norte_cotizacion.xlsx</t>
  </si>
  <si>
    <t>148</t>
  </si>
  <si>
    <t>149_04092026</t>
  </si>
  <si>
    <t>149_04092026_CYM_Colchagua cardenal caro.xlsx</t>
  </si>
  <si>
    <t>149_04092026_CYM_Colchagua cardenal caro_cotizacion.xlsx</t>
  </si>
  <si>
    <t>149</t>
  </si>
  <si>
    <t>150_04092026</t>
  </si>
  <si>
    <t>150_04092026_SAE_INGECAF_Araucania.xlsx</t>
  </si>
  <si>
    <t>150_04092026_SAE_INGECAF_Araucania_cotizacion.xlsx</t>
  </si>
  <si>
    <t>150</t>
  </si>
  <si>
    <t>cotizado, pendiente de aprobacion</t>
  </si>
  <si>
    <t>152_08092026</t>
  </si>
  <si>
    <t>152_08092026_CYM_INGECAF_Araucania.xlsx</t>
  </si>
  <si>
    <t>152_08092026_CYM_INGECAF_Araucania_cotizacion.xlsx</t>
  </si>
  <si>
    <t>152</t>
  </si>
  <si>
    <t>08-09-2026</t>
  </si>
  <si>
    <t>153_08092026</t>
  </si>
  <si>
    <t>153_08092026_CYM_Araucania.xlsx</t>
  </si>
  <si>
    <t>153_08092026_CYM_Araucania_cotizacion.xlsx</t>
  </si>
  <si>
    <t>153</t>
  </si>
  <si>
    <t>154_08092026</t>
  </si>
  <si>
    <t>154_08092026_SAE_Maule Sur.xlsx</t>
  </si>
  <si>
    <t>154_08092026_SAE_Maule Sur_cotizacion.xlsx</t>
  </si>
  <si>
    <t>154</t>
  </si>
  <si>
    <t>155_08092026</t>
  </si>
  <si>
    <t>155_08092026_SAE_Maule Norte.xlsx</t>
  </si>
  <si>
    <t>155_08092026_SAE_Maule Norte_cotizacion.xlsx</t>
  </si>
  <si>
    <t>155</t>
  </si>
  <si>
    <t>156_08092026</t>
  </si>
  <si>
    <t>156_08092026_CYM_Maule Norte.xlsx</t>
  </si>
  <si>
    <t>156_08092026_CYM_Maule Norte_cotizacion.xlsx</t>
  </si>
  <si>
    <t>156</t>
  </si>
  <si>
    <t>cotizado, los montos son aproximados y cotizados por rodolfo</t>
  </si>
  <si>
    <t>157_08092026</t>
  </si>
  <si>
    <t>157_08092026_CYM_Maule norte.xlsx</t>
  </si>
  <si>
    <t>157_08092026_CYM_Maule norte_cotizacion.xlsx</t>
  </si>
  <si>
    <t>157</t>
  </si>
  <si>
    <t>158_08092026</t>
  </si>
  <si>
    <t>158_08092026_CYM_INGECAF_Araucania.xlsx</t>
  </si>
  <si>
    <t>158_08092026_CYM_INGECAF_Araucania_cotizacion.xlsx</t>
  </si>
  <si>
    <t>158</t>
  </si>
  <si>
    <t>159_08092026</t>
  </si>
  <si>
    <t>159_08092026_SAE_INGECAF_Araucania.xlsx</t>
  </si>
  <si>
    <t>159_08092026_SAE_INGECAF_Araucania_cotizacion.xlsx</t>
  </si>
  <si>
    <t>159</t>
  </si>
  <si>
    <t xml:space="preserve">Sebastian Sandoval </t>
  </si>
  <si>
    <t>160_08092026</t>
  </si>
  <si>
    <t>160_08092026_Multiproposito_Araucania.xlsx</t>
  </si>
  <si>
    <t>160_08092026_Multiproposito_Araucania_cotizacion.xlsx</t>
  </si>
  <si>
    <t>160</t>
  </si>
  <si>
    <t>161_08092026</t>
  </si>
  <si>
    <t>161_08092026_Multiproposito_Araucania_cotizacion.xlsx</t>
  </si>
  <si>
    <t>161</t>
  </si>
  <si>
    <t>162_08092026</t>
  </si>
  <si>
    <t>162_08092026_FLOTA_INGECAF_Araucania.xlsx</t>
  </si>
  <si>
    <t>162_08092026_FLOTA_INGECAF_cotizacion.xlsx</t>
  </si>
  <si>
    <t>162</t>
  </si>
  <si>
    <t>163_08092026</t>
  </si>
  <si>
    <t>163_08092026_FLOTA_INGECAF_Araucania.xlsx</t>
  </si>
  <si>
    <t>163_08092026_FLOTA_INGECAF_Araucania_cotizacion.xlsx</t>
  </si>
  <si>
    <t>163</t>
  </si>
  <si>
    <t>164_08092026</t>
  </si>
  <si>
    <t>164_08092026_Flota_Maule Norte.xlsx</t>
  </si>
  <si>
    <t>164_08092026_Flota_Maule Norte_cotizacion.xlsx</t>
  </si>
  <si>
    <t>164</t>
  </si>
  <si>
    <t>aprobado</t>
  </si>
  <si>
    <t xml:space="preserve">cotizado, pendiente de aprobacion </t>
  </si>
  <si>
    <t>165_10092026</t>
  </si>
  <si>
    <t>165_10092026_Prevencion riesgos_INGECAF_Araucania.xlsx</t>
  </si>
  <si>
    <t>165_10092026_Prevencion riesgos_INGECAF_Araucania_cotizacion.xlsx</t>
  </si>
  <si>
    <t>165</t>
  </si>
  <si>
    <t>10-09-2026</t>
  </si>
  <si>
    <t>166_10092026</t>
  </si>
  <si>
    <t>166_10092026_prevencion riesgos_INGECAF_Araucania.xlsx</t>
  </si>
  <si>
    <t>166_10092026_prevencion riesgos_INGECAF_Araucania_cotizacion.xlsx</t>
  </si>
  <si>
    <t>166</t>
  </si>
  <si>
    <t>167_10092026</t>
  </si>
  <si>
    <t>167_10092026_CYM_Araucania.xlsx</t>
  </si>
  <si>
    <t>167_10092026_CYM_Araucania_cotizacion.xlsx</t>
  </si>
  <si>
    <t>167</t>
  </si>
  <si>
    <t>168_10092026</t>
  </si>
  <si>
    <t>168_10092026_CYM_INGECAF_Araucania.xlsx</t>
  </si>
  <si>
    <t>168_10092026_CYM_INGECAF_Araucania_cotizacion.xlsx</t>
  </si>
  <si>
    <t>168</t>
  </si>
  <si>
    <t>169_10092026</t>
  </si>
  <si>
    <t>169_10092026_Prevencion riesgos_Maule norte.xlsx</t>
  </si>
  <si>
    <t>169_10092026_Prevencion riesgos_Maule norte_cotizacion.xlsx</t>
  </si>
  <si>
    <t>169</t>
  </si>
  <si>
    <t>170_10092026</t>
  </si>
  <si>
    <t>170_10092026_MUltiporposito_Maule Norte.xlsx</t>
  </si>
  <si>
    <t>170_10092026_MUltiporposito_Maule Norte_cotizacion.xlsx</t>
  </si>
  <si>
    <t>170</t>
  </si>
  <si>
    <t>171_10092026</t>
  </si>
  <si>
    <t>171_10092026_Multiproposito_Maule Norte.xlsx</t>
  </si>
  <si>
    <t>171_10092026_Multiproposito_Maule Norte_cotizacion.xlsx</t>
  </si>
  <si>
    <t>171</t>
  </si>
  <si>
    <t>172_10092026</t>
  </si>
  <si>
    <t>172_10092026_Sae_Maule Norte.xlsx</t>
  </si>
  <si>
    <t>172</t>
  </si>
  <si>
    <t>173_10092026</t>
  </si>
  <si>
    <t>173_10092026_CYM_Maule Norte.xlsx</t>
  </si>
  <si>
    <t>173</t>
  </si>
  <si>
    <t>174_10092026</t>
  </si>
  <si>
    <t>174_10092026_Multiproposito_Iquique.xlsx</t>
  </si>
  <si>
    <t>174</t>
  </si>
  <si>
    <t>175_10092026</t>
  </si>
  <si>
    <t>175_10092026_Multiproposito_Iquique.xlsx</t>
  </si>
  <si>
    <t>175</t>
  </si>
  <si>
    <t xml:space="preserve">ok, oc enviadas esperando despachos </t>
  </si>
  <si>
    <t>143_03092026_CYM_Maule Norte_SEGURYCEL_108_OC.xlsx</t>
  </si>
  <si>
    <t>C:\Users\rcayuleo\OneDrive - Transformadores Tusan SA\Archivos de Claudia Muñoz Farias EXT - Proceso de compras\03 Ordenes de Compra\143_03092026_CYM_Maule Norte_SEGURYCEL_108_OC.xlsx</t>
  </si>
  <si>
    <t>172_10092026_Sae_Maule Norte_cotizacion.xlsx</t>
  </si>
  <si>
    <t>173_10092026_CYM_Maule Norte_cotizacion.xlsx</t>
  </si>
  <si>
    <t>174_10092026_Multiproposito_Iquique_cotizacion.xlsx</t>
  </si>
  <si>
    <t>175_10092026_Multiproposito_Iquique_cotizacion.xlsx</t>
  </si>
  <si>
    <t xml:space="preserve">ok, faltan solo 6 pantalones que borden con fecha 10/09 siguen pendiente </t>
  </si>
  <si>
    <t>duplicada</t>
  </si>
  <si>
    <t>aprobado parcial</t>
  </si>
  <si>
    <t xml:space="preserve">ok, oc enviada coprelec + oc carga en banco para liberacion </t>
  </si>
  <si>
    <t xml:space="preserve">ok, nomina pagada pendientes de entrega </t>
  </si>
  <si>
    <t xml:space="preserve">ok,  linternas llegan lunes demas pendiente </t>
  </si>
  <si>
    <t>ok, entregado</t>
  </si>
  <si>
    <t>ok, entegado</t>
  </si>
  <si>
    <t>ok, oc enviada y nominas cargadas (max service debe bordar)</t>
  </si>
  <si>
    <t xml:space="preserve">nomina cargada en banco pendiente a liberacion </t>
  </si>
  <si>
    <t>146_03092026_Administracion_Maule Norte_PRISA_107_OC.xlsx</t>
  </si>
  <si>
    <t>C:\Users\rcayuleo\OneDrive - Transformadores Tusan SA\Archivos de Claudia Muñoz Farias EXT - Proceso de compras\03 Ordenes de Compra\146_03092026_Administracion_Maule Norte_PRISA_107_OC.xlsx</t>
  </si>
  <si>
    <t>148_04092026_CYM_Maule Norte_Casa blanca_119_OC.xlsx</t>
  </si>
  <si>
    <t>C:\Users\rcayuleo\OneDrive - Transformadores Tusan SA\Archivos de Claudia Muñoz Farias EXT - Proceso de compras\03 Ordenes de Compra\148_04092026_CYM_Maule Norte_Casa blanca_119_OC.xlsx</t>
  </si>
  <si>
    <t>154_08092026_SAE_Maule Sur_COPRELEC_109_OC.xlsx</t>
  </si>
  <si>
    <t>C:\Users\rcayuleo\OneDrive - Transformadores Tusan SA\Archivos de Claudia Muñoz Farias EXT - Proceso de compras\03 Ordenes de Compra\154_08092026_SAE_Maule Sur_COPRELEC_109_OC.xlsx</t>
  </si>
  <si>
    <t>154_08092026_SAE_Maule Sur_RAC_110_OC.xlsx</t>
  </si>
  <si>
    <t>C:\Users\rcayuleo\OneDrive - Transformadores Tusan SA\Archivos de Claudia Muñoz Farias EXT - Proceso de compras\03 Ordenes de Compra\154_08092026_SAE_Maule Sur_RAC_110_OC.xlsx</t>
  </si>
  <si>
    <t>155_08092026_SAE_Maule Norte_Coprelec_111_OC.xlsx</t>
  </si>
  <si>
    <t>C:\Users\rcayuleo\OneDrive - Transformadores Tusan SA\Archivos de Claudia Muñoz Farias EXT - Proceso de compras\03 Ordenes de Compra\155_08092026_SAE_Maule Norte_Coprelec_111_OC.xlsx</t>
  </si>
  <si>
    <t>155_08092026_SAE_Maule Norte_RAC_112_OC.xlsx</t>
  </si>
  <si>
    <t>C:\Users\rcayuleo\OneDrive - Transformadores Tusan SA\Archivos de Claudia Muñoz Farias EXT - Proceso de compras\03 Ordenes de Compra\155_08092026_SAE_Maule Norte_RAC_112_OC.xlsx</t>
  </si>
  <si>
    <t>155_08092026_SAE_Maule Norte_SEGURYCEL_113_OC.xlsx</t>
  </si>
  <si>
    <t>C:\Users\rcayuleo\OneDrive - Transformadores Tusan SA\Archivos de Claudia Muñoz Farias EXT - Proceso de compras\03 Ordenes de Compra\155_08092026_SAE_Maule Norte_SEGURYCEL_113_OC.xlsx</t>
  </si>
  <si>
    <t>156_08092026_CYM_Maule Norte_Casa del liniero_114_OC.xlsx</t>
  </si>
  <si>
    <t>C:\Users\rcayuleo\OneDrive - Transformadores Tusan SA\Archivos de Claudia Muñoz Farias EXT - Proceso de compras\03 Ordenes de Compra\156_08092026_CYM_Maule Norte_Casa del liniero_114_OC.xlsx</t>
  </si>
  <si>
    <t>156_08092026_CYM_Maule Norte_Mercado Libre_115_OC.xlsx</t>
  </si>
  <si>
    <t>C:\Users\rcayuleo\OneDrive - Transformadores Tusan SA\Archivos de Claudia Muñoz Farias EXT - Proceso de compras\03 Ordenes de Compra\156_08092026_CYM_Maule Norte_Mercado Libre_115_OC.xlsx</t>
  </si>
  <si>
    <t>158_08092026_CYM_INGECAF_Araucania_Max service_67_OC.xlsx</t>
  </si>
  <si>
    <t>C:\Users\rcayuleo\OneDrive - Transformadores Tusan SA\Archivos de Claudia Muñoz Farias EXT - Proceso de compras\03 Ordenes de Compra\158_08092026_CYM_INGECAF_Araucania_Max service_67_OC.xlsx</t>
  </si>
  <si>
    <t>159_08092026_SAE_INGECAF_Araucania_Max service_68_OC.xlsx</t>
  </si>
  <si>
    <t>C:\Users\rcayuleo\OneDrive - Transformadores Tusan SA\Archivos de Claudia Muñoz Farias EXT - Proceso de compras\03 Ordenes de Compra\159_08092026_SAE_INGECAF_Araucania_Max service_68_OC.xlsx</t>
  </si>
  <si>
    <t>160_08092026_Multiproposito_Araucania_Coprelec_116_OC.xlsx</t>
  </si>
  <si>
    <t>C:\Users\rcayuleo\OneDrive - Transformadores Tusan SA\Archivos de Claudia Muñoz Farias EXT - Proceso de compras\03 Ordenes de Compra\160_08092026_Multiproposito_Araucania_Coprelec_116_OC.xlsx</t>
  </si>
  <si>
    <t>160_08092026_Multiproposito_Araucania_Macaya_117_OC.xlsx</t>
  </si>
  <si>
    <t>C:\Users\rcayuleo\OneDrive - Transformadores Tusan SA\Archivos de Claudia Muñoz Farias EXT - Proceso de compras\03 Ordenes de Compra\160_08092026_Multiproposito_Araucania_Macaya_117_OC.xlsx</t>
  </si>
  <si>
    <t>160_08092026_Multiproposito_Araucania_Max service_118_OC.xlsx</t>
  </si>
  <si>
    <t>C:\Users\rcayuleo\OneDrive - Transformadores Tusan SA\Archivos de Claudia Muñoz Farias EXT - Proceso de compras\03 Ordenes de Compra\160_08092026_Multiproposito_Araucania_Max service_118_OC.xlsx</t>
  </si>
  <si>
    <t>161_08092026_Multiproposito_Araucania_MAX SERVICE_120_OC.xlsx</t>
  </si>
  <si>
    <t>C:\Users\rcayuleo\OneDrive - Transformadores Tusan SA\Archivos de Claudia Muñoz Farias EXT - Proceso de compras\03 Ordenes de Compra\161_08092026_Multiproposito_Araucania_MAX SERVICE_120_OC.xlsx</t>
  </si>
  <si>
    <t>162_08092026_FLOTA_INGECAF_ALTO PUTUE_70_OC.xlsx</t>
  </si>
  <si>
    <t xml:space="preserve">ALTO PUTUE </t>
  </si>
  <si>
    <t>C:\Users\rcayuleo\OneDrive - Transformadores Tusan SA\Archivos de Claudia Muñoz Farias EXT - Proceso de compras\03 Ordenes de Compra\162_08092026_FLOTA_INGECAF_ALTO PUTUE_70_OC.xlsx</t>
  </si>
  <si>
    <t>176_11092026</t>
  </si>
  <si>
    <t>176_11092026_CYM_Colchagua cardenal caro.xlsx</t>
  </si>
  <si>
    <t>176_11092026_CYM_Colchagua cardenal caro_cotizacion.xlsx</t>
  </si>
  <si>
    <t>176</t>
  </si>
  <si>
    <t>11-09-2026</t>
  </si>
  <si>
    <t>177_11092026</t>
  </si>
  <si>
    <t>177_11092026_Administracion_Maule Norte.xlsx</t>
  </si>
  <si>
    <t>177_11092026_Administracion_Maule Norte_cotizacion.xlsx</t>
  </si>
  <si>
    <t>177</t>
  </si>
  <si>
    <t>178_11092026</t>
  </si>
  <si>
    <t>178_11092026_SAE_INGECAF_Araucania.xlsx</t>
  </si>
  <si>
    <t>178_11092026_SAE_INGECAF_Araucania_cotizacion.xlsx</t>
  </si>
  <si>
    <t>178</t>
  </si>
  <si>
    <t>179_14092026</t>
  </si>
  <si>
    <t>179_14092026_CYM_Colchagua cardenal Caro.xlsx</t>
  </si>
  <si>
    <t>179_14092026_CYM_Colchagua cardenal Caro_cotizacion.xlsx</t>
  </si>
  <si>
    <t>179</t>
  </si>
  <si>
    <t>14-09-2026</t>
  </si>
  <si>
    <t>180_14092026</t>
  </si>
  <si>
    <t>180_14092026_administracion_Maule Norte.xlsx</t>
  </si>
  <si>
    <t>180_14092026_administracion_Maule Norte_cotizacion.xlsx</t>
  </si>
  <si>
    <t>180</t>
  </si>
  <si>
    <t>21-07-20267</t>
  </si>
  <si>
    <t xml:space="preserve">ok, entregado </t>
  </si>
  <si>
    <t xml:space="preserve">nomina pendiente de liberacion </t>
  </si>
  <si>
    <t xml:space="preserve">ok, oc enviada al proveedor en espera recepcion </t>
  </si>
  <si>
    <t>nominas pendientes de liberacion</t>
  </si>
  <si>
    <t xml:space="preserve">oc enviada al proveedor deben retirar  </t>
  </si>
  <si>
    <t xml:space="preserve">ok, oc creada y enviada </t>
  </si>
  <si>
    <t>079_14092026_CYM_Colchagua cardenal Caro_Casa Blanca_122_OC.xlsx</t>
  </si>
  <si>
    <t>C:\Users\rcayuleo\OneDrive - Transformadores Tusan SA\Archivos de Claudia Muñoz Farias EXT - Proceso de compras\03 Ordenes de Compra\079_14092026_CYM_Colchagua cardenal Caro_Casa Blanca_122_OC.xlsx</t>
  </si>
  <si>
    <t>147_04092026_Control perdidas_Arica iquique_TRECK_121_OC.xlsx</t>
  </si>
  <si>
    <t xml:space="preserve">TRECK </t>
  </si>
  <si>
    <t>C:\Users\rcayuleo\OneDrive - Transformadores Tusan SA\Archivos de Claudia Muñoz Farias EXT - Proceso de compras\03 Ordenes de Compra\147_04092026_Control perdidas_Arica iquique_TRECK_121_OC.xlsx</t>
  </si>
  <si>
    <t>149_04092026_CYM_Colchagua cardenal caro_Mercado Libre_123_OC.xlsx</t>
  </si>
  <si>
    <t>C:\Users\rcayuleo\OneDrive - Transformadores Tusan SA\Archivos de Claudia Muñoz Farias EXT - Proceso de compras\03 Ordenes de Compra\149_04092026_CYM_Colchagua cardenal caro_Mercado Libre_123_OC.xlsx</t>
  </si>
  <si>
    <t>167_10092026_CYM_Araucania_Extinpro_124_OC.xlsx</t>
  </si>
  <si>
    <t>EXTINPRO SPA</t>
  </si>
  <si>
    <t>C:\Users\rcayuleo\OneDrive - Transformadores Tusan SA\Archivos de Claudia Muñoz Farias EXT - Proceso de compras\03 Ordenes de Compra\167_10092026_CYM_Araucania_Extinpro_124_OC.xlsx</t>
  </si>
  <si>
    <t>168_10092026_CYM_INGECAF_Araucania_Extinpro_72_OC.xlsx</t>
  </si>
  <si>
    <t>EXTINPRO</t>
  </si>
  <si>
    <t>C:\Users\rcayuleo\OneDrive - Transformadores Tusan SA\Archivos de Claudia Muñoz Farias EXT - Proceso de compras\03 Ordenes de Compra\168_10092026_CYM_INGECAF_Araucania_Extinpro_72_OC.xlsx</t>
  </si>
  <si>
    <t>170_10092026_MUltiporposito_Maule Norte_SEGURYCEL_125_OC.xlsx</t>
  </si>
  <si>
    <t>C:\Users\rcayuleo\OneDrive - Transformadores Tusan SA\Archivos de Claudia Muñoz Farias EXT - Proceso de compras\03 Ordenes de Compra\170_10092026_MUltiporposito_Maule Norte_SEGURYCEL_125_OC.xlsx</t>
  </si>
  <si>
    <t>171_10092026_Multiproposito_Maule Norte_COPRELEC_126_OC.xlsx</t>
  </si>
  <si>
    <t>C:\Users\rcayuleo\OneDrive - Transformadores Tusan SA\Archivos de Claudia Muñoz Farias EXT - Proceso de compras\03 Ordenes de Compra\171_10092026_Multiproposito_Maule Norte_COPRELEC_126_OC.xlsx</t>
  </si>
  <si>
    <t>171_10092026_Multiproposito_Maule Norte_MACAYA_127_OC.xlsx</t>
  </si>
  <si>
    <t>C:\Users\rcayuleo\OneDrive - Transformadores Tusan SA\Archivos de Claudia Muñoz Farias EXT - Proceso de compras\03 Ordenes de Compra\171_10092026_Multiproposito_Maule Norte_MACAYA_127_OC.xlsx</t>
  </si>
  <si>
    <t>165_10092026_Prevencion riesgos_Araucania_cotizacion.xlsx</t>
  </si>
  <si>
    <t>181_14092026</t>
  </si>
  <si>
    <t>181_14092026_administracion_INGECAF_Araucania.xlsx</t>
  </si>
  <si>
    <t>181_14092026_administracion_INGECAF_Araucania_cotizacion.xlsx</t>
  </si>
  <si>
    <t>181</t>
  </si>
  <si>
    <t xml:space="preserve">Manuel Cofré Sabaria </t>
  </si>
  <si>
    <t>182_14092026</t>
  </si>
  <si>
    <t>182_14092026_Prevencion riesgos_Araucania.xlsx</t>
  </si>
  <si>
    <t>182_14092026_Prevencion riesgos_Araucania_cotizacion.xlsx</t>
  </si>
  <si>
    <t>182</t>
  </si>
  <si>
    <t>183_14092026</t>
  </si>
  <si>
    <t>183_14092026_CYM_INGECAF_Araucania.xlsx</t>
  </si>
  <si>
    <t>183_14092026_CYM_INGECAF_Araucania_cotizacion.xlsx</t>
  </si>
  <si>
    <t>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</si>
</sst>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0" xfId="0" applyFill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249" tableType="queryTable" totalsRowShown="0" headerRowDxfId="27">
  <autoFilter ref="A1:AA249" xr:uid="{FDA11577-8B06-46D1-ADA8-5D8875297866}">
    <filterColumn colId="0">
      <filters>
        <filter val="079_30072026"/>
        <filter val="082_29072026"/>
      </filters>
    </filterColumn>
  </autoFilter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82" totalsRowShown="0" headerRowDxfId="26" dataDxfId="25">
  <autoFilter ref="A1:G182" xr:uid="{0EB08CB5-F347-46F6-A2BB-419FEB016475}"/>
  <tableColumns count="7">
    <tableColumn id="1" xr3:uid="{EA8F1E43-6EF0-43E9-B71B-98D3C4584ACC}" name="N° solicitud" dataDxfId="21"/>
    <tableColumn id="2" xr3:uid="{9FA8BFE5-861C-4596-A02E-A670F1BDB608}" name="Estado" dataDxfId="20"/>
    <tableColumn id="3" xr3:uid="{E58581DB-8B04-4C13-8B4F-27FC5E1AE281}" name="Empresa" dataDxfId="19"/>
    <tableColumn id="6" xr3:uid="{DAADF8D0-34FE-479B-9430-88C5F34DBAE2}" name="fecha pago " dataDxfId="18"/>
    <tableColumn id="7" xr3:uid="{7D80F5CD-A672-43F9-903B-537A4B66EACC}" name="fecha entrega" dataDxfId="17"/>
    <tableColumn id="5" xr3:uid="{16163A18-549A-4B29-B76F-2E153A8FC4F4}" name="Comentario" dataDxfId="16"/>
    <tableColumn id="4" xr3:uid="{AB2C7C8D-292F-499F-B490-59E3C5CBAC30}" name="Columna1" dataDxfId="2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3"/>
    <tableColumn id="9" xr3:uid="{64335130-2EC5-44A7-9C4C-F057150832C4}" name="Fecha de entrega" dataDxfId="2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65"/>
  <sheetViews>
    <sheetView tabSelected="1" topLeftCell="S1" zoomScaleNormal="100" workbookViewId="0">
      <selection activeCell="V261" sqref="V261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68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 hidden="1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 hidden="1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 hidden="1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 hidden="1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 hidden="1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 hidden="1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 hidden="1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 hidden="1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 hidden="1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 hidden="1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 hidden="1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 hidden="1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 hidden="1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 hidden="1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 hidden="1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 hidden="1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 hidden="1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 hidden="1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 hidden="1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 hidden="1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 hidden="1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 hidden="1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 hidden="1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 hidden="1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 hidden="1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 hidden="1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 hidden="1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 hidden="1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 hidden="1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 hidden="1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 hidden="1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 hidden="1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 hidden="1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 hidden="1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 hidden="1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 hidden="1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 hidden="1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 hidden="1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 hidden="1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 hidden="1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 hidden="1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 hidden="1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 hidden="1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 hidden="1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 hidden="1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 hidden="1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 hidden="1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 hidden="1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 hidden="1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 hidden="1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 hidden="1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 hidden="1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 hidden="1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 hidden="1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 hidden="1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 hidden="1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 hidden="1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 hidden="1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 hidden="1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 hidden="1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 hidden="1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 hidden="1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 hidden="1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 hidden="1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 hidden="1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 hidden="1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 hidden="1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 hidden="1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 hidden="1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 hidden="1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 hidden="1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 hidden="1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 hidden="1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 hidden="1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 hidden="1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 hidden="1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 hidden="1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 hidden="1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 hidden="1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 hidden="1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 hidden="1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 hidden="1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 hidden="1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 hidden="1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 hidden="1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 hidden="1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 hidden="1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 hidden="1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 hidden="1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 hidden="1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 hidden="1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 hidden="1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 hidden="1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 hidden="1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 hidden="1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 hidden="1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 hidden="1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 hidden="1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 hidden="1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 hidden="1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 hidden="1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 hidden="1">
      <c r="A103" t="s">
        <v>701</v>
      </c>
      <c r="B103" t="s">
        <v>702</v>
      </c>
      <c r="C103" t="s">
        <v>718</v>
      </c>
      <c r="D103" t="s">
        <v>1037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1038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 hidden="1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 hidden="1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 hidden="1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 hidden="1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 hidden="1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754</v>
      </c>
      <c r="B109" t="s">
        <v>755</v>
      </c>
      <c r="C109" t="s">
        <v>756</v>
      </c>
      <c r="D109" t="s">
        <v>1444</v>
      </c>
      <c r="E109">
        <v>79</v>
      </c>
      <c r="F109" t="s">
        <v>757</v>
      </c>
      <c r="G109" t="s">
        <v>747</v>
      </c>
      <c r="H109" t="s">
        <v>747</v>
      </c>
      <c r="I109" t="s">
        <v>1432</v>
      </c>
      <c r="J109" t="s">
        <v>30</v>
      </c>
      <c r="K109" s="5"/>
      <c r="L109" s="5" t="s">
        <v>55</v>
      </c>
      <c r="M109" t="s">
        <v>1239</v>
      </c>
      <c r="N109" t="s">
        <v>705</v>
      </c>
      <c r="O109" t="s">
        <v>101</v>
      </c>
      <c r="P109" t="s">
        <v>58</v>
      </c>
      <c r="Q109" t="s">
        <v>36</v>
      </c>
      <c r="R109" t="s">
        <v>1445</v>
      </c>
      <c r="S109" t="s">
        <v>514</v>
      </c>
      <c r="U109" s="2">
        <v>46239</v>
      </c>
      <c r="V109" t="s">
        <v>817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5</v>
      </c>
      <c r="AA109" s="13">
        <f>+_xlfn.ISOWEEKNUM(Control[[#This Row],[Fecha Requisición]])</f>
        <v>31</v>
      </c>
    </row>
    <row r="110" spans="1:27" hidden="1">
      <c r="A110" t="s">
        <v>760</v>
      </c>
      <c r="B110" t="s">
        <v>761</v>
      </c>
      <c r="C110" t="s">
        <v>762</v>
      </c>
      <c r="D110" t="s">
        <v>763</v>
      </c>
      <c r="E110">
        <v>80</v>
      </c>
      <c r="F110" t="s">
        <v>764</v>
      </c>
      <c r="G110" t="s">
        <v>747</v>
      </c>
      <c r="H110" t="s">
        <v>747</v>
      </c>
      <c r="I110" t="s">
        <v>747</v>
      </c>
      <c r="J110" t="s">
        <v>39</v>
      </c>
      <c r="K110" s="5"/>
      <c r="L110" s="5" t="s">
        <v>31</v>
      </c>
      <c r="M110" t="s">
        <v>74</v>
      </c>
      <c r="N110" t="s">
        <v>765</v>
      </c>
      <c r="O110" t="s">
        <v>57</v>
      </c>
      <c r="P110" t="s">
        <v>35</v>
      </c>
      <c r="Q110" t="s">
        <v>36</v>
      </c>
      <c r="R110" t="s">
        <v>766</v>
      </c>
      <c r="S110" t="s">
        <v>514</v>
      </c>
      <c r="T110" s="2">
        <v>46236</v>
      </c>
      <c r="U110" s="2">
        <v>46235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2</v>
      </c>
      <c r="AA110" s="13">
        <f>+_xlfn.ISOWEEKNUM(Control[[#This Row],[Fecha Requisición]])</f>
        <v>31</v>
      </c>
    </row>
    <row r="111" spans="1:27" hidden="1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57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 hidden="1">
      <c r="A112" t="s">
        <v>767</v>
      </c>
      <c r="B112" t="s">
        <v>768</v>
      </c>
      <c r="C112" t="s">
        <v>769</v>
      </c>
      <c r="D112" t="s">
        <v>873</v>
      </c>
      <c r="E112">
        <v>81</v>
      </c>
      <c r="F112" t="s">
        <v>770</v>
      </c>
      <c r="G112" t="s">
        <v>771</v>
      </c>
      <c r="H112" t="s">
        <v>771</v>
      </c>
      <c r="I112" t="s">
        <v>771</v>
      </c>
      <c r="J112" t="s">
        <v>39</v>
      </c>
      <c r="K112" s="5"/>
      <c r="L112" s="5" t="s">
        <v>31</v>
      </c>
      <c r="M112" t="s">
        <v>74</v>
      </c>
      <c r="N112" t="s">
        <v>435</v>
      </c>
      <c r="P112" t="s">
        <v>35</v>
      </c>
      <c r="Q112" t="s">
        <v>59</v>
      </c>
      <c r="R112" t="s">
        <v>874</v>
      </c>
      <c r="S112" t="s">
        <v>514</v>
      </c>
      <c r="U112" s="2">
        <v>46248</v>
      </c>
      <c r="V112" t="s">
        <v>642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46204</v>
      </c>
      <c r="Y112" s="14">
        <f>+IF(Control[[#This Row],[Fecha de entrega]]="","",NETWORKDAYS(Control[[#This Row],[Fecha Requisición]],Control[[#This Row],[Fecha de entrega]]))</f>
        <v>11</v>
      </c>
      <c r="AA112" s="13">
        <f>+_xlfn.ISOWEEKNUM(Control[[#This Row],[Fecha Requisición]])</f>
        <v>31</v>
      </c>
    </row>
    <row r="113" spans="1:27" hidden="1">
      <c r="A113" t="s">
        <v>781</v>
      </c>
      <c r="B113" t="s">
        <v>782</v>
      </c>
      <c r="C113" t="s">
        <v>834</v>
      </c>
      <c r="D113" t="s">
        <v>914</v>
      </c>
      <c r="E113">
        <v>83</v>
      </c>
      <c r="F113" t="s">
        <v>783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58</v>
      </c>
      <c r="Q113" t="s">
        <v>36</v>
      </c>
      <c r="R113" t="s">
        <v>916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 hidden="1">
      <c r="A114" t="s">
        <v>785</v>
      </c>
      <c r="B114" t="s">
        <v>786</v>
      </c>
      <c r="C114" t="s">
        <v>835</v>
      </c>
      <c r="D114" t="s">
        <v>917</v>
      </c>
      <c r="E114">
        <v>84</v>
      </c>
      <c r="F114" t="s">
        <v>787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124</v>
      </c>
      <c r="Q114" t="s">
        <v>36</v>
      </c>
      <c r="R114" t="s">
        <v>918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 hidden="1">
      <c r="A115" t="s">
        <v>788</v>
      </c>
      <c r="B115" t="s">
        <v>789</v>
      </c>
      <c r="C115" t="s">
        <v>836</v>
      </c>
      <c r="D115" t="s">
        <v>919</v>
      </c>
      <c r="E115">
        <v>85</v>
      </c>
      <c r="F115" t="s">
        <v>790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273</v>
      </c>
      <c r="Q115" t="s">
        <v>36</v>
      </c>
      <c r="R115" t="s">
        <v>920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 hidden="1">
      <c r="A116" s="15" t="s">
        <v>791</v>
      </c>
      <c r="B116" s="15" t="s">
        <v>792</v>
      </c>
      <c r="C116" s="15" t="s">
        <v>837</v>
      </c>
      <c r="D116" s="15" t="s">
        <v>921</v>
      </c>
      <c r="E116" s="15">
        <v>86</v>
      </c>
      <c r="F116" s="15" t="s">
        <v>793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915</v>
      </c>
      <c r="N116" s="15" t="s">
        <v>196</v>
      </c>
      <c r="O116" s="15" t="s">
        <v>197</v>
      </c>
      <c r="P116" s="15" t="s">
        <v>75</v>
      </c>
      <c r="Q116" s="15" t="s">
        <v>36</v>
      </c>
      <c r="R116" s="15" t="s">
        <v>922</v>
      </c>
      <c r="S116" s="15" t="s">
        <v>514</v>
      </c>
      <c r="U116" s="2">
        <v>46246</v>
      </c>
      <c r="V116" s="15" t="s">
        <v>952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4">
        <f>+IF(Control[[#This Row],[Fecha de entrega]]="","",NETWORKDAYS(Control[[#This Row],[Fecha Requisición]],Control[[#This Row],[Fecha de entrega]]))</f>
        <v>8</v>
      </c>
      <c r="Z116" s="15"/>
      <c r="AA116" s="13">
        <f>+_xlfn.ISOWEEKNUM(Control[[#This Row],[Fecha Requisición]])</f>
        <v>32</v>
      </c>
    </row>
    <row r="117" spans="1:27" hidden="1">
      <c r="A117" s="15" t="s">
        <v>794</v>
      </c>
      <c r="B117" s="15" t="s">
        <v>795</v>
      </c>
      <c r="C117" s="15" t="s">
        <v>838</v>
      </c>
      <c r="D117" s="15" t="s">
        <v>1088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30</v>
      </c>
      <c r="K117" s="5"/>
      <c r="L117" s="5" t="s">
        <v>31</v>
      </c>
      <c r="M117" s="15" t="s">
        <v>1089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1090</v>
      </c>
      <c r="S117" s="15" t="s">
        <v>514</v>
      </c>
      <c r="V117" s="15" t="s">
        <v>1182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 hidden="1">
      <c r="A118" s="15" t="s">
        <v>794</v>
      </c>
      <c r="B118" s="15" t="s">
        <v>795</v>
      </c>
      <c r="C118" s="15" t="s">
        <v>838</v>
      </c>
      <c r="D118" s="15" t="s">
        <v>1091</v>
      </c>
      <c r="E118" s="15">
        <v>87</v>
      </c>
      <c r="F118" s="15" t="s">
        <v>796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933</v>
      </c>
      <c r="N118" s="15" t="s">
        <v>196</v>
      </c>
      <c r="O118" s="15" t="s">
        <v>34</v>
      </c>
      <c r="P118" s="15" t="s">
        <v>797</v>
      </c>
      <c r="Q118" s="15" t="s">
        <v>36</v>
      </c>
      <c r="R118" s="15" t="s">
        <v>1092</v>
      </c>
      <c r="S118" s="15" t="s">
        <v>514</v>
      </c>
      <c r="V118" s="15" t="s">
        <v>1182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4" t="str">
        <f>+IF(Control[[#This Row],[Fecha de entrega]]="","",NETWORKDAYS(Control[[#This Row],[Fecha Requisición]],Control[[#This Row],[Fecha de entrega]]))</f>
        <v/>
      </c>
      <c r="Z118" s="15"/>
      <c r="AA118" s="13">
        <f>+_xlfn.ISOWEEKNUM(Control[[#This Row],[Fecha Requisición]])</f>
        <v>32</v>
      </c>
    </row>
    <row r="119" spans="1:27" hidden="1">
      <c r="A119" s="15" t="s">
        <v>798</v>
      </c>
      <c r="B119" s="15" t="s">
        <v>799</v>
      </c>
      <c r="C119" s="15" t="s">
        <v>839</v>
      </c>
      <c r="D119" s="15" t="s">
        <v>1093</v>
      </c>
      <c r="E119" s="15">
        <v>88</v>
      </c>
      <c r="F119" s="15" t="s">
        <v>800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/>
      <c r="L119" s="5" t="s">
        <v>31</v>
      </c>
      <c r="M119" s="15" t="s">
        <v>930</v>
      </c>
      <c r="N119" s="15" t="s">
        <v>196</v>
      </c>
      <c r="O119" s="15" t="s">
        <v>197</v>
      </c>
      <c r="P119" s="15" t="s">
        <v>463</v>
      </c>
      <c r="Q119" s="15" t="s">
        <v>36</v>
      </c>
      <c r="R119" s="15" t="s">
        <v>1094</v>
      </c>
      <c r="S119" s="15" t="s">
        <v>514</v>
      </c>
      <c r="T119" s="2">
        <v>46260</v>
      </c>
      <c r="U119" s="2">
        <v>46270</v>
      </c>
      <c r="V119" s="15" t="s">
        <v>642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25</v>
      </c>
      <c r="Z119" s="15"/>
      <c r="AA119" s="13">
        <f>+_xlfn.ISOWEEKNUM(Control[[#This Row],[Fecha Requisición]])</f>
        <v>32</v>
      </c>
    </row>
    <row r="120" spans="1:27" hidden="1">
      <c r="A120" s="15" t="s">
        <v>801</v>
      </c>
      <c r="B120" s="15" t="s">
        <v>802</v>
      </c>
      <c r="C120" s="15" t="s">
        <v>820</v>
      </c>
      <c r="D120" s="15" t="s">
        <v>821</v>
      </c>
      <c r="E120" s="15">
        <v>89</v>
      </c>
      <c r="F120" s="15" t="s">
        <v>803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>
        <v>299800</v>
      </c>
      <c r="L120" s="5" t="s">
        <v>55</v>
      </c>
      <c r="M120" s="15" t="s">
        <v>822</v>
      </c>
      <c r="N120" s="15" t="s">
        <v>383</v>
      </c>
      <c r="O120" s="15" t="s">
        <v>384</v>
      </c>
      <c r="P120" s="15" t="s">
        <v>58</v>
      </c>
      <c r="Q120" s="15" t="s">
        <v>36</v>
      </c>
      <c r="R120" s="15" t="s">
        <v>823</v>
      </c>
      <c r="S120" s="15" t="s">
        <v>514</v>
      </c>
      <c r="T120" s="2">
        <v>46237</v>
      </c>
      <c r="U120" s="2">
        <v>46238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2</v>
      </c>
      <c r="Z120" s="15"/>
      <c r="AA120" s="13">
        <f>+_xlfn.ISOWEEKNUM(Control[[#This Row],[Fecha Requisición]])</f>
        <v>32</v>
      </c>
    </row>
    <row r="121" spans="1:27" hidden="1">
      <c r="A121" s="15" t="s">
        <v>811</v>
      </c>
      <c r="B121" s="15" t="s">
        <v>812</v>
      </c>
      <c r="C121" s="15" t="s">
        <v>840</v>
      </c>
      <c r="D121" s="15" t="s">
        <v>845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39</v>
      </c>
      <c r="K121" s="5"/>
      <c r="L121" s="5" t="s">
        <v>31</v>
      </c>
      <c r="M121" s="15" t="s">
        <v>121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846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 hidden="1">
      <c r="A122" s="15" t="s">
        <v>811</v>
      </c>
      <c r="B122" s="15" t="s">
        <v>812</v>
      </c>
      <c r="C122" s="15" t="s">
        <v>840</v>
      </c>
      <c r="D122" s="15" t="s">
        <v>847</v>
      </c>
      <c r="E122" s="15">
        <v>92</v>
      </c>
      <c r="F122" s="15" t="s">
        <v>813</v>
      </c>
      <c r="G122" s="15" t="s">
        <v>784</v>
      </c>
      <c r="H122" s="15" t="s">
        <v>784</v>
      </c>
      <c r="I122" s="15" t="s">
        <v>784</v>
      </c>
      <c r="J122" s="15" t="s">
        <v>30</v>
      </c>
      <c r="K122" s="5"/>
      <c r="L122" s="5" t="s">
        <v>31</v>
      </c>
      <c r="M122" s="15" t="s">
        <v>243</v>
      </c>
      <c r="N122" s="15" t="s">
        <v>765</v>
      </c>
      <c r="O122" s="15" t="s">
        <v>57</v>
      </c>
      <c r="P122" s="15" t="s">
        <v>35</v>
      </c>
      <c r="Q122" s="15" t="s">
        <v>94</v>
      </c>
      <c r="R122" s="15" t="s">
        <v>848</v>
      </c>
      <c r="S122" s="15" t="s">
        <v>514</v>
      </c>
      <c r="U122" s="2">
        <v>46246</v>
      </c>
      <c r="V122" s="15" t="s">
        <v>774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4">
        <f>+IF(Control[[#This Row],[Fecha de entrega]]="","",NETWORKDAYS(Control[[#This Row],[Fecha Requisición]],Control[[#This Row],[Fecha de entrega]]))</f>
        <v>8</v>
      </c>
      <c r="Z122" s="15"/>
      <c r="AA122" s="13">
        <f>+_xlfn.ISOWEEKNUM(Control[[#This Row],[Fecha Requisición]])</f>
        <v>32</v>
      </c>
    </row>
    <row r="123" spans="1:27" hidden="1">
      <c r="A123" s="15" t="s">
        <v>824</v>
      </c>
      <c r="B123" s="15" t="s">
        <v>825</v>
      </c>
      <c r="C123" s="15" t="s">
        <v>826</v>
      </c>
      <c r="D123" s="15" t="s">
        <v>827</v>
      </c>
      <c r="E123" s="15">
        <v>94</v>
      </c>
      <c r="F123" s="15" t="s">
        <v>828</v>
      </c>
      <c r="G123" s="15" t="s">
        <v>829</v>
      </c>
      <c r="H123" s="15" t="s">
        <v>829</v>
      </c>
      <c r="I123" s="15" t="s">
        <v>829</v>
      </c>
      <c r="J123" s="15" t="s">
        <v>39</v>
      </c>
      <c r="K123" s="5"/>
      <c r="L123" s="5" t="s">
        <v>31</v>
      </c>
      <c r="M123" s="15" t="s">
        <v>830</v>
      </c>
      <c r="N123" s="15" t="s">
        <v>831</v>
      </c>
      <c r="O123" s="15" t="s">
        <v>57</v>
      </c>
      <c r="P123" s="15" t="s">
        <v>35</v>
      </c>
      <c r="Q123" s="15" t="s">
        <v>59</v>
      </c>
      <c r="R123" s="15" t="s">
        <v>832</v>
      </c>
      <c r="S123" s="15" t="s">
        <v>514</v>
      </c>
      <c r="U123" s="2">
        <v>46238</v>
      </c>
      <c r="V123" s="15" t="s">
        <v>773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46569</v>
      </c>
      <c r="Y123" s="14">
        <f>+IF(Control[[#This Row],[Fecha de entrega]]="","",NETWORKDAYS(Control[[#This Row],[Fecha Requisición]],Control[[#This Row],[Fecha de entrega]]))</f>
        <v>-259</v>
      </c>
      <c r="Z123" s="15"/>
      <c r="AA123" s="13">
        <f>+_xlfn.ISOWEEKNUM(Control[[#This Row],[Fecha Requisición]])</f>
        <v>30</v>
      </c>
    </row>
    <row r="124" spans="1:27" hidden="1">
      <c r="A124" s="15" t="s">
        <v>842</v>
      </c>
      <c r="B124" s="15" t="s">
        <v>843</v>
      </c>
      <c r="C124" s="15" t="s">
        <v>849</v>
      </c>
      <c r="D124" s="15" t="s">
        <v>875</v>
      </c>
      <c r="E124" s="15">
        <v>95</v>
      </c>
      <c r="F124" s="15" t="s">
        <v>844</v>
      </c>
      <c r="G124" s="15" t="s">
        <v>784</v>
      </c>
      <c r="H124" s="15" t="s">
        <v>784</v>
      </c>
      <c r="I124" s="15" t="s">
        <v>784</v>
      </c>
      <c r="J124" s="15" t="s">
        <v>39</v>
      </c>
      <c r="K124" s="5">
        <v>135898</v>
      </c>
      <c r="L124" s="5"/>
      <c r="M124" s="15" t="s">
        <v>121</v>
      </c>
      <c r="N124" s="15"/>
      <c r="O124" s="15"/>
      <c r="P124" s="15"/>
      <c r="Q124" s="15"/>
      <c r="R124" s="15" t="s">
        <v>876</v>
      </c>
      <c r="S124" s="15" t="s">
        <v>514</v>
      </c>
      <c r="T124" s="2">
        <v>46241</v>
      </c>
      <c r="U124" s="2">
        <v>46247</v>
      </c>
      <c r="V124" s="15" t="s">
        <v>953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9</v>
      </c>
      <c r="Z124" s="15"/>
      <c r="AA124" s="13">
        <f>+_xlfn.ISOWEEKNUM(Control[[#This Row],[Fecha Requisición]])</f>
        <v>32</v>
      </c>
    </row>
    <row r="125" spans="1:27" hidden="1">
      <c r="A125" s="15" t="s">
        <v>850</v>
      </c>
      <c r="B125" s="15" t="s">
        <v>851</v>
      </c>
      <c r="C125" s="15" t="s">
        <v>852</v>
      </c>
      <c r="D125" s="15" t="s">
        <v>853</v>
      </c>
      <c r="E125" s="15">
        <v>96</v>
      </c>
      <c r="F125" s="15" t="s">
        <v>854</v>
      </c>
      <c r="G125" s="15" t="s">
        <v>855</v>
      </c>
      <c r="H125" s="15" t="s">
        <v>855</v>
      </c>
      <c r="I125" s="15" t="s">
        <v>855</v>
      </c>
      <c r="J125" s="15" t="s">
        <v>30</v>
      </c>
      <c r="K125" s="5">
        <v>129472</v>
      </c>
      <c r="L125" s="5" t="s">
        <v>55</v>
      </c>
      <c r="M125" s="15" t="s">
        <v>32</v>
      </c>
      <c r="N125" s="15" t="s">
        <v>204</v>
      </c>
      <c r="O125" s="15" t="s">
        <v>57</v>
      </c>
      <c r="P125" s="15" t="s">
        <v>58</v>
      </c>
      <c r="Q125" s="15" t="s">
        <v>36</v>
      </c>
      <c r="R125" s="15" t="s">
        <v>856</v>
      </c>
      <c r="S125" s="15" t="s">
        <v>514</v>
      </c>
      <c r="U125" s="2">
        <v>46238</v>
      </c>
      <c r="V125" s="15" t="s">
        <v>872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4">
        <f>+IF(Control[[#This Row],[Fecha de entrega]]="","",NETWORKDAYS(Control[[#This Row],[Fecha Requisición]],Control[[#This Row],[Fecha de entrega]]))</f>
        <v>1</v>
      </c>
      <c r="Z125" s="15"/>
      <c r="AA125" s="13">
        <f>+_xlfn.ISOWEEKNUM(Control[[#This Row],[Fecha Requisición]])</f>
        <v>32</v>
      </c>
    </row>
    <row r="126" spans="1:27" hidden="1">
      <c r="A126" s="15" t="s">
        <v>857</v>
      </c>
      <c r="B126" s="15" t="s">
        <v>858</v>
      </c>
      <c r="C126" s="15" t="s">
        <v>871</v>
      </c>
      <c r="D126" s="15" t="s">
        <v>1095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927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1096</v>
      </c>
      <c r="S126" s="15" t="s">
        <v>514</v>
      </c>
      <c r="V126" s="15" t="s">
        <v>1372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 hidden="1">
      <c r="A127" s="15" t="s">
        <v>857</v>
      </c>
      <c r="B127" s="15" t="s">
        <v>858</v>
      </c>
      <c r="C127" s="15" t="s">
        <v>871</v>
      </c>
      <c r="D127" s="15" t="s">
        <v>1097</v>
      </c>
      <c r="E127" s="15">
        <v>97</v>
      </c>
      <c r="F127" s="15" t="s">
        <v>859</v>
      </c>
      <c r="G127" s="15" t="s">
        <v>860</v>
      </c>
      <c r="H127" s="15" t="s">
        <v>860</v>
      </c>
      <c r="I127" s="15" t="s">
        <v>860</v>
      </c>
      <c r="J127" s="15" t="s">
        <v>30</v>
      </c>
      <c r="K127" s="5"/>
      <c r="L127" s="5" t="s">
        <v>31</v>
      </c>
      <c r="M127" s="15" t="s">
        <v>936</v>
      </c>
      <c r="N127" s="15" t="s">
        <v>861</v>
      </c>
      <c r="O127" s="15" t="s">
        <v>197</v>
      </c>
      <c r="P127" s="15" t="s">
        <v>124</v>
      </c>
      <c r="Q127" s="15" t="s">
        <v>59</v>
      </c>
      <c r="R127" s="15" t="s">
        <v>1098</v>
      </c>
      <c r="S127" s="15" t="s">
        <v>514</v>
      </c>
      <c r="V127" s="15" t="s">
        <v>1372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7" s="9">
        <f>+DATE(YEAR(Control[[#This Row],[Fecha Requisición]]),MONTH(Control[[#This Row],[Fecha Requisición]]),1)</f>
        <v>46204</v>
      </c>
      <c r="Y127" s="14" t="str">
        <f>+IF(Control[[#This Row],[Fecha de entrega]]="","",NETWORKDAYS(Control[[#This Row],[Fecha Requisición]],Control[[#This Row],[Fecha de entrega]]))</f>
        <v/>
      </c>
      <c r="Z127" s="15"/>
      <c r="AA127" s="13">
        <f>+_xlfn.ISOWEEKNUM(Control[[#This Row],[Fecha Requisición]])</f>
        <v>27</v>
      </c>
    </row>
    <row r="128" spans="1:27" hidden="1">
      <c r="A128" s="15" t="s">
        <v>862</v>
      </c>
      <c r="B128" s="15" t="s">
        <v>863</v>
      </c>
      <c r="C128" s="15" t="s">
        <v>877</v>
      </c>
      <c r="D128" s="15" t="s">
        <v>878</v>
      </c>
      <c r="E128" s="15">
        <v>98</v>
      </c>
      <c r="F128" s="15" t="s">
        <v>864</v>
      </c>
      <c r="G128" s="15" t="s">
        <v>865</v>
      </c>
      <c r="H128" s="15" t="s">
        <v>865</v>
      </c>
      <c r="I128" s="15" t="s">
        <v>865</v>
      </c>
      <c r="J128" s="15" t="s">
        <v>39</v>
      </c>
      <c r="K128" s="5"/>
      <c r="L128" s="5" t="s">
        <v>31</v>
      </c>
      <c r="M128" s="15" t="s">
        <v>879</v>
      </c>
      <c r="N128" s="15" t="s">
        <v>219</v>
      </c>
      <c r="O128" s="15" t="s">
        <v>866</v>
      </c>
      <c r="P128" s="15" t="s">
        <v>124</v>
      </c>
      <c r="Q128" s="15" t="s">
        <v>94</v>
      </c>
      <c r="R128" s="15" t="s">
        <v>880</v>
      </c>
      <c r="S128" s="15" t="s">
        <v>514</v>
      </c>
      <c r="T128" s="2">
        <v>46248</v>
      </c>
      <c r="U128" s="2">
        <v>46252</v>
      </c>
      <c r="V128" s="15" t="s">
        <v>642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10</v>
      </c>
      <c r="Z128" s="15"/>
      <c r="AA128" s="13">
        <f>+_xlfn.ISOWEEKNUM(Control[[#This Row],[Fecha Requisición]])</f>
        <v>32</v>
      </c>
    </row>
    <row r="129" spans="1:27" hidden="1">
      <c r="A129" s="15" t="s">
        <v>867</v>
      </c>
      <c r="B129" s="15" t="s">
        <v>868</v>
      </c>
      <c r="C129" s="15" t="s">
        <v>892</v>
      </c>
      <c r="D129" s="15" t="s">
        <v>923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39</v>
      </c>
      <c r="K129" s="5">
        <v>430820</v>
      </c>
      <c r="L129" s="5" t="s">
        <v>55</v>
      </c>
      <c r="M129" s="15" t="s">
        <v>924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925</v>
      </c>
      <c r="S129" s="15" t="s">
        <v>514</v>
      </c>
      <c r="T129" s="2">
        <v>46248</v>
      </c>
      <c r="U129" s="2">
        <v>46251</v>
      </c>
      <c r="V129" s="15" t="s">
        <v>1031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 hidden="1">
      <c r="A130" s="15" t="s">
        <v>867</v>
      </c>
      <c r="B130" s="15" t="s">
        <v>868</v>
      </c>
      <c r="C130" s="15" t="s">
        <v>892</v>
      </c>
      <c r="D130" s="15" t="s">
        <v>926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30</v>
      </c>
      <c r="K130" s="5">
        <v>175893</v>
      </c>
      <c r="L130" s="5" t="s">
        <v>55</v>
      </c>
      <c r="M130" s="15" t="s">
        <v>927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928</v>
      </c>
      <c r="S130" s="15" t="s">
        <v>514</v>
      </c>
      <c r="T130" s="2">
        <v>46248</v>
      </c>
      <c r="U130" s="2">
        <v>46251</v>
      </c>
      <c r="V130" s="15" t="s">
        <v>1031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 hidden="1">
      <c r="A131" s="15" t="s">
        <v>867</v>
      </c>
      <c r="B131" s="15" t="s">
        <v>868</v>
      </c>
      <c r="C131" s="15" t="s">
        <v>892</v>
      </c>
      <c r="D131" s="15" t="s">
        <v>929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582990</v>
      </c>
      <c r="L131" s="5" t="s">
        <v>55</v>
      </c>
      <c r="M131" s="15" t="s">
        <v>930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931</v>
      </c>
      <c r="S131" s="15" t="s">
        <v>514</v>
      </c>
      <c r="T131" s="2">
        <v>46248</v>
      </c>
      <c r="U131" s="2">
        <v>46251</v>
      </c>
      <c r="V131" s="15" t="s">
        <v>1031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 hidden="1">
      <c r="A132" s="15" t="s">
        <v>867</v>
      </c>
      <c r="B132" s="15" t="s">
        <v>868</v>
      </c>
      <c r="C132" s="15" t="s">
        <v>892</v>
      </c>
      <c r="D132" s="15" t="s">
        <v>932</v>
      </c>
      <c r="E132" s="15">
        <v>99</v>
      </c>
      <c r="F132" s="15" t="s">
        <v>869</v>
      </c>
      <c r="G132" s="15" t="s">
        <v>870</v>
      </c>
      <c r="H132" s="15" t="s">
        <v>870</v>
      </c>
      <c r="I132" s="15" t="s">
        <v>870</v>
      </c>
      <c r="J132" s="15" t="s">
        <v>39</v>
      </c>
      <c r="K132" s="5">
        <v>259391</v>
      </c>
      <c r="L132" s="5" t="s">
        <v>55</v>
      </c>
      <c r="M132" s="15" t="s">
        <v>933</v>
      </c>
      <c r="N132" s="15" t="s">
        <v>204</v>
      </c>
      <c r="O132" s="15" t="s">
        <v>86</v>
      </c>
      <c r="P132" s="15" t="s">
        <v>58</v>
      </c>
      <c r="Q132" s="15" t="s">
        <v>36</v>
      </c>
      <c r="R132" s="15" t="s">
        <v>934</v>
      </c>
      <c r="S132" s="15" t="s">
        <v>514</v>
      </c>
      <c r="T132" s="2">
        <v>46248</v>
      </c>
      <c r="U132" s="2">
        <v>46251</v>
      </c>
      <c r="V132" s="15" t="s">
        <v>1031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6</v>
      </c>
      <c r="Z132" s="15"/>
      <c r="AA132" s="13">
        <f>+_xlfn.ISOWEEKNUM(Control[[#This Row],[Fecha Requisición]])</f>
        <v>32</v>
      </c>
    </row>
    <row r="133" spans="1:27" hidden="1">
      <c r="A133" s="15" t="s">
        <v>867</v>
      </c>
      <c r="B133" s="15" t="s">
        <v>868</v>
      </c>
      <c r="C133" s="15" t="s">
        <v>892</v>
      </c>
      <c r="D133" s="15" t="s">
        <v>1234</v>
      </c>
      <c r="E133" s="15">
        <v>99</v>
      </c>
      <c r="F133" s="15" t="s">
        <v>869</v>
      </c>
      <c r="G133" s="15" t="s">
        <v>870</v>
      </c>
      <c r="H133" s="15" t="s">
        <v>870</v>
      </c>
      <c r="I133" s="15" t="s">
        <v>870</v>
      </c>
      <c r="J133" s="15" t="s">
        <v>30</v>
      </c>
      <c r="K133" s="5">
        <v>994840</v>
      </c>
      <c r="L133" s="5" t="s">
        <v>55</v>
      </c>
      <c r="M133" s="15" t="s">
        <v>1089</v>
      </c>
      <c r="N133" s="15" t="s">
        <v>204</v>
      </c>
      <c r="O133" s="15" t="s">
        <v>86</v>
      </c>
      <c r="P133" s="15" t="s">
        <v>58</v>
      </c>
      <c r="Q133" s="15" t="s">
        <v>36</v>
      </c>
      <c r="R133" s="15" t="s">
        <v>1235</v>
      </c>
      <c r="S133" s="15" t="s">
        <v>514</v>
      </c>
      <c r="T133" s="2">
        <v>46248</v>
      </c>
      <c r="U133" s="2">
        <v>46251</v>
      </c>
      <c r="V133" s="15" t="s">
        <v>1031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6</v>
      </c>
      <c r="Z133" s="15"/>
      <c r="AA133" s="13">
        <f>+_xlfn.ISOWEEKNUM(Control[[#This Row],[Fecha Requisición]])</f>
        <v>32</v>
      </c>
    </row>
    <row r="134" spans="1:27" hidden="1">
      <c r="A134" s="15" t="s">
        <v>881</v>
      </c>
      <c r="B134" s="15" t="s">
        <v>882</v>
      </c>
      <c r="C134" s="15" t="s">
        <v>891</v>
      </c>
      <c r="D134" s="15" t="s">
        <v>883</v>
      </c>
      <c r="E134" s="15">
        <v>100</v>
      </c>
      <c r="F134" s="15" t="s">
        <v>884</v>
      </c>
      <c r="G134" s="15" t="s">
        <v>885</v>
      </c>
      <c r="H134" s="15" t="s">
        <v>885</v>
      </c>
      <c r="I134" s="15" t="s">
        <v>885</v>
      </c>
      <c r="J134" s="15" t="s">
        <v>30</v>
      </c>
      <c r="K134" s="5">
        <v>536000</v>
      </c>
      <c r="L134" s="5" t="s">
        <v>55</v>
      </c>
      <c r="M134" s="15" t="s">
        <v>886</v>
      </c>
      <c r="N134" s="15" t="s">
        <v>383</v>
      </c>
      <c r="O134" s="15" t="s">
        <v>384</v>
      </c>
      <c r="P134" s="15" t="s">
        <v>58</v>
      </c>
      <c r="Q134" s="15" t="s">
        <v>36</v>
      </c>
      <c r="R134" s="15" t="s">
        <v>887</v>
      </c>
      <c r="S134" s="15" t="s">
        <v>514</v>
      </c>
      <c r="T134" s="2">
        <v>46248</v>
      </c>
      <c r="U134" s="2">
        <v>46244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3</v>
      </c>
      <c r="Z134" s="15"/>
      <c r="AA134" s="13">
        <f>+_xlfn.ISOWEEKNUM(Control[[#This Row],[Fecha Requisición]])</f>
        <v>32</v>
      </c>
    </row>
    <row r="135" spans="1:27" hidden="1">
      <c r="A135" s="15" t="s">
        <v>888</v>
      </c>
      <c r="B135" s="15" t="s">
        <v>889</v>
      </c>
      <c r="C135" s="15" t="s">
        <v>893</v>
      </c>
      <c r="D135" s="15" t="s">
        <v>935</v>
      </c>
      <c r="E135" s="15">
        <v>101</v>
      </c>
      <c r="F135" s="15" t="s">
        <v>890</v>
      </c>
      <c r="G135" s="15" t="s">
        <v>885</v>
      </c>
      <c r="H135" s="15" t="s">
        <v>885</v>
      </c>
      <c r="I135" s="15" t="s">
        <v>885</v>
      </c>
      <c r="J135" s="15" t="s">
        <v>30</v>
      </c>
      <c r="K135" s="5"/>
      <c r="L135" s="5" t="s">
        <v>31</v>
      </c>
      <c r="M135" s="15" t="s">
        <v>936</v>
      </c>
      <c r="N135" s="15" t="s">
        <v>307</v>
      </c>
      <c r="O135" s="15" t="s">
        <v>86</v>
      </c>
      <c r="P135" s="15" t="s">
        <v>124</v>
      </c>
      <c r="Q135" s="15" t="s">
        <v>36</v>
      </c>
      <c r="R135" s="15" t="s">
        <v>937</v>
      </c>
      <c r="S135" s="15" t="s">
        <v>514</v>
      </c>
      <c r="U135" s="2">
        <v>46247</v>
      </c>
      <c r="V135" s="15" t="s">
        <v>642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5" s="9">
        <f>+DATE(YEAR(Control[[#This Row],[Fecha Requisición]]),MONTH(Control[[#This Row],[Fecha Requisición]]),1)</f>
        <v>46235</v>
      </c>
      <c r="Y135" s="14">
        <f>+IF(Control[[#This Row],[Fecha de entrega]]="","",NETWORKDAYS(Control[[#This Row],[Fecha Requisición]],Control[[#This Row],[Fecha de entrega]]))</f>
        <v>6</v>
      </c>
      <c r="Z135" s="15"/>
      <c r="AA135" s="13">
        <f>+_xlfn.ISOWEEKNUM(Control[[#This Row],[Fecha Requisición]])</f>
        <v>32</v>
      </c>
    </row>
    <row r="136" spans="1:27" hidden="1">
      <c r="A136" s="15" t="s">
        <v>894</v>
      </c>
      <c r="B136" s="15" t="s">
        <v>895</v>
      </c>
      <c r="C136" s="15" t="s">
        <v>896</v>
      </c>
      <c r="D136" s="15" t="s">
        <v>956</v>
      </c>
      <c r="E136" s="15">
        <v>102</v>
      </c>
      <c r="F136" s="15" t="s">
        <v>897</v>
      </c>
      <c r="G136" s="15" t="s">
        <v>898</v>
      </c>
      <c r="H136" s="15" t="s">
        <v>898</v>
      </c>
      <c r="I136" s="15" t="s">
        <v>898</v>
      </c>
      <c r="J136" s="15" t="s">
        <v>39</v>
      </c>
      <c r="K136" s="5"/>
      <c r="L136" s="5" t="s">
        <v>31</v>
      </c>
      <c r="M136" s="15" t="s">
        <v>957</v>
      </c>
      <c r="N136" s="15" t="s">
        <v>219</v>
      </c>
      <c r="O136" s="15" t="s">
        <v>866</v>
      </c>
      <c r="P136" s="15"/>
      <c r="Q136" s="15" t="s">
        <v>36</v>
      </c>
      <c r="R136" s="15" t="s">
        <v>958</v>
      </c>
      <c r="S136" s="15" t="s">
        <v>514</v>
      </c>
      <c r="T136" s="2">
        <v>46248</v>
      </c>
      <c r="U136" s="2">
        <v>46248</v>
      </c>
      <c r="V136" s="15" t="s">
        <v>642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6</v>
      </c>
      <c r="Z136" s="15"/>
      <c r="AA136" s="13">
        <f>+_xlfn.ISOWEEKNUM(Control[[#This Row],[Fecha Requisición]])</f>
        <v>32</v>
      </c>
    </row>
    <row r="137" spans="1:27" hidden="1">
      <c r="A137" s="15" t="s">
        <v>899</v>
      </c>
      <c r="B137" s="15" t="s">
        <v>900</v>
      </c>
      <c r="C137" s="15" t="s">
        <v>901</v>
      </c>
      <c r="D137" s="15" t="s">
        <v>959</v>
      </c>
      <c r="E137" s="15">
        <v>103</v>
      </c>
      <c r="F137" s="15" t="s">
        <v>902</v>
      </c>
      <c r="G137" s="15" t="s">
        <v>898</v>
      </c>
      <c r="H137" s="15" t="s">
        <v>898</v>
      </c>
      <c r="I137" s="15" t="s">
        <v>898</v>
      </c>
      <c r="J137" s="15" t="s">
        <v>39</v>
      </c>
      <c r="K137" s="5">
        <v>1662073</v>
      </c>
      <c r="L137" s="5" t="s">
        <v>55</v>
      </c>
      <c r="M137" s="15" t="s">
        <v>960</v>
      </c>
      <c r="N137" s="15" t="s">
        <v>903</v>
      </c>
      <c r="O137" s="15" t="s">
        <v>384</v>
      </c>
      <c r="P137" s="15" t="s">
        <v>58</v>
      </c>
      <c r="Q137" s="15" t="s">
        <v>36</v>
      </c>
      <c r="R137" s="15" t="s">
        <v>961</v>
      </c>
      <c r="S137" s="15" t="s">
        <v>641</v>
      </c>
      <c r="T137" s="2">
        <v>46248</v>
      </c>
      <c r="V137" s="15" t="s">
        <v>1212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7" s="9">
        <f>+DATE(YEAR(Control[[#This Row],[Fecha Requisición]]),MONTH(Control[[#This Row],[Fecha Requisición]]),1)</f>
        <v>46235</v>
      </c>
      <c r="Y137" s="14" t="str">
        <f>+IF(Control[[#This Row],[Fecha de entrega]]="","",NETWORKDAYS(Control[[#This Row],[Fecha Requisición]],Control[[#This Row],[Fecha de entrega]]))</f>
        <v/>
      </c>
      <c r="Z137" s="15"/>
      <c r="AA137" s="13">
        <f>+_xlfn.ISOWEEKNUM(Control[[#This Row],[Fecha Requisición]])</f>
        <v>32</v>
      </c>
    </row>
    <row r="138" spans="1:27" hidden="1">
      <c r="A138" s="15" t="s">
        <v>904</v>
      </c>
      <c r="B138" s="15" t="s">
        <v>905</v>
      </c>
      <c r="C138" s="15" t="s">
        <v>906</v>
      </c>
      <c r="D138" s="15" t="s">
        <v>945</v>
      </c>
      <c r="E138" s="15">
        <v>104</v>
      </c>
      <c r="F138" s="15" t="s">
        <v>907</v>
      </c>
      <c r="G138" s="15" t="s">
        <v>908</v>
      </c>
      <c r="H138" s="15" t="s">
        <v>908</v>
      </c>
      <c r="I138" s="15" t="s">
        <v>908</v>
      </c>
      <c r="J138" s="15" t="s">
        <v>30</v>
      </c>
      <c r="K138" s="5"/>
      <c r="L138" s="5" t="s">
        <v>31</v>
      </c>
      <c r="M138" s="15" t="s">
        <v>936</v>
      </c>
      <c r="N138" s="15" t="s">
        <v>909</v>
      </c>
      <c r="O138" s="15" t="s">
        <v>34</v>
      </c>
      <c r="P138" s="15" t="s">
        <v>273</v>
      </c>
      <c r="Q138" s="15" t="s">
        <v>36</v>
      </c>
      <c r="R138" s="15" t="s">
        <v>946</v>
      </c>
      <c r="S138" s="15" t="s">
        <v>514</v>
      </c>
      <c r="U138" s="2">
        <v>46247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3</v>
      </c>
      <c r="Z138" s="15"/>
      <c r="AA138" s="13">
        <f>+_xlfn.ISOWEEKNUM(Control[[#This Row],[Fecha Requisición]])</f>
        <v>33</v>
      </c>
    </row>
    <row r="139" spans="1:27" hidden="1">
      <c r="A139" s="15" t="s">
        <v>910</v>
      </c>
      <c r="B139" s="15" t="s">
        <v>911</v>
      </c>
      <c r="C139" s="15" t="s">
        <v>912</v>
      </c>
      <c r="D139" s="15" t="s">
        <v>962</v>
      </c>
      <c r="E139" s="15">
        <v>105</v>
      </c>
      <c r="F139" s="15" t="s">
        <v>913</v>
      </c>
      <c r="G139" s="15" t="s">
        <v>908</v>
      </c>
      <c r="H139" s="15" t="s">
        <v>908</v>
      </c>
      <c r="I139" s="15" t="s">
        <v>908</v>
      </c>
      <c r="J139" s="15" t="s">
        <v>39</v>
      </c>
      <c r="K139" s="5">
        <v>353930</v>
      </c>
      <c r="L139" s="5" t="s">
        <v>55</v>
      </c>
      <c r="M139" s="15" t="s">
        <v>963</v>
      </c>
      <c r="N139" s="15" t="s">
        <v>903</v>
      </c>
      <c r="O139" s="15" t="s">
        <v>384</v>
      </c>
      <c r="P139" s="15" t="s">
        <v>58</v>
      </c>
      <c r="Q139" s="15" t="s">
        <v>36</v>
      </c>
      <c r="R139" s="15" t="s">
        <v>964</v>
      </c>
      <c r="S139" s="15" t="s">
        <v>514</v>
      </c>
      <c r="T139" s="2">
        <v>46248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6</v>
      </c>
      <c r="Z139" s="15"/>
      <c r="AA139" s="13">
        <f>+_xlfn.ISOWEEKNUM(Control[[#This Row],[Fecha Requisición]])</f>
        <v>33</v>
      </c>
    </row>
    <row r="140" spans="1:27" hidden="1">
      <c r="A140" s="15" t="s">
        <v>938</v>
      </c>
      <c r="B140" s="15" t="s">
        <v>939</v>
      </c>
      <c r="C140" s="15" t="s">
        <v>965</v>
      </c>
      <c r="D140" s="15" t="s">
        <v>1099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39</v>
      </c>
      <c r="K140" s="5"/>
      <c r="L140" s="5" t="s">
        <v>31</v>
      </c>
      <c r="M140" s="15" t="s">
        <v>1100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1101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 hidden="1">
      <c r="A141" s="15" t="s">
        <v>938</v>
      </c>
      <c r="B141" s="15" t="s">
        <v>939</v>
      </c>
      <c r="C141" s="15" t="s">
        <v>965</v>
      </c>
      <c r="D141" s="15" t="s">
        <v>1102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30</v>
      </c>
      <c r="K141" s="5"/>
      <c r="L141" s="5" t="s">
        <v>31</v>
      </c>
      <c r="M141" s="15" t="s">
        <v>1103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1104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 hidden="1">
      <c r="A142" s="15" t="s">
        <v>938</v>
      </c>
      <c r="B142" s="15" t="s">
        <v>939</v>
      </c>
      <c r="C142" s="15" t="s">
        <v>965</v>
      </c>
      <c r="D142" s="15" t="s">
        <v>1105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39</v>
      </c>
      <c r="K142" s="5"/>
      <c r="L142" s="5" t="s">
        <v>31</v>
      </c>
      <c r="M142" s="15" t="s">
        <v>924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1106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 hidden="1">
      <c r="A143" s="15" t="s">
        <v>938</v>
      </c>
      <c r="B143" s="15" t="s">
        <v>939</v>
      </c>
      <c r="C143" s="15" t="s">
        <v>965</v>
      </c>
      <c r="D143" s="15" t="s">
        <v>993</v>
      </c>
      <c r="E143" s="15">
        <v>106</v>
      </c>
      <c r="F143" s="15" t="s">
        <v>940</v>
      </c>
      <c r="G143" s="15" t="s">
        <v>941</v>
      </c>
      <c r="H143" s="15" t="s">
        <v>941</v>
      </c>
      <c r="I143" s="15" t="s">
        <v>941</v>
      </c>
      <c r="J143" s="15" t="s">
        <v>30</v>
      </c>
      <c r="K143" s="5"/>
      <c r="L143" s="5" t="s">
        <v>31</v>
      </c>
      <c r="M143" s="15" t="s">
        <v>927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994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 hidden="1">
      <c r="A144" s="15" t="s">
        <v>938</v>
      </c>
      <c r="B144" s="15" t="s">
        <v>939</v>
      </c>
      <c r="C144" s="15" t="s">
        <v>965</v>
      </c>
      <c r="D144" s="15" t="s">
        <v>1107</v>
      </c>
      <c r="E144" s="15">
        <v>106</v>
      </c>
      <c r="F144" s="15" t="s">
        <v>940</v>
      </c>
      <c r="G144" s="15" t="s">
        <v>941</v>
      </c>
      <c r="H144" s="15" t="s">
        <v>941</v>
      </c>
      <c r="I144" s="15" t="s">
        <v>941</v>
      </c>
      <c r="J144" s="15" t="s">
        <v>39</v>
      </c>
      <c r="K144" s="5"/>
      <c r="L144" s="5" t="s">
        <v>31</v>
      </c>
      <c r="M144" s="15" t="s">
        <v>930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1108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 hidden="1">
      <c r="A145" s="15" t="s">
        <v>942</v>
      </c>
      <c r="B145" s="15" t="s">
        <v>943</v>
      </c>
      <c r="C145" s="15" t="s">
        <v>966</v>
      </c>
      <c r="D145" s="15" t="s">
        <v>1143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39</v>
      </c>
      <c r="K145" s="5">
        <v>136374</v>
      </c>
      <c r="L145" s="5" t="s">
        <v>55</v>
      </c>
      <c r="M145" s="15" t="s">
        <v>1144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1145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 hidden="1">
      <c r="A146" s="15" t="s">
        <v>942</v>
      </c>
      <c r="B146" s="15" t="s">
        <v>943</v>
      </c>
      <c r="C146" s="15" t="s">
        <v>966</v>
      </c>
      <c r="D146" s="15" t="s">
        <v>1146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30</v>
      </c>
      <c r="K146" s="5">
        <v>1572094</v>
      </c>
      <c r="L146" s="5" t="s">
        <v>55</v>
      </c>
      <c r="M146" s="15" t="s">
        <v>1089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1147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 hidden="1">
      <c r="A147" s="15" t="s">
        <v>942</v>
      </c>
      <c r="B147" s="15" t="s">
        <v>943</v>
      </c>
      <c r="C147" s="15" t="s">
        <v>966</v>
      </c>
      <c r="D147" s="15" t="s">
        <v>1148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39</v>
      </c>
      <c r="K147" s="5">
        <v>80325</v>
      </c>
      <c r="L147" s="5" t="s">
        <v>55</v>
      </c>
      <c r="M147" s="15" t="s">
        <v>924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1149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 hidden="1">
      <c r="A148" s="15" t="s">
        <v>942</v>
      </c>
      <c r="B148" s="15" t="s">
        <v>943</v>
      </c>
      <c r="C148" s="15" t="s">
        <v>966</v>
      </c>
      <c r="D148" s="15" t="s">
        <v>995</v>
      </c>
      <c r="E148" s="15">
        <v>107</v>
      </c>
      <c r="F148" s="15" t="s">
        <v>944</v>
      </c>
      <c r="G148" s="15" t="s">
        <v>941</v>
      </c>
      <c r="H148" s="15" t="s">
        <v>941</v>
      </c>
      <c r="I148" s="15" t="s">
        <v>941</v>
      </c>
      <c r="J148" s="15" t="s">
        <v>30</v>
      </c>
      <c r="K148" s="5">
        <v>1672516</v>
      </c>
      <c r="L148" s="5" t="s">
        <v>55</v>
      </c>
      <c r="M148" s="15" t="s">
        <v>996</v>
      </c>
      <c r="N148" s="15" t="s">
        <v>204</v>
      </c>
      <c r="O148" s="15" t="s">
        <v>57</v>
      </c>
      <c r="P148" s="15" t="s">
        <v>58</v>
      </c>
      <c r="Q148" s="15" t="s">
        <v>36</v>
      </c>
      <c r="R148" s="15" t="s">
        <v>997</v>
      </c>
      <c r="S148" s="15" t="s">
        <v>514</v>
      </c>
      <c r="U148" s="2">
        <v>46252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5</v>
      </c>
      <c r="Z148" s="15"/>
      <c r="AA148" s="13">
        <f>+_xlfn.ISOWEEKNUM(Control[[#This Row],[Fecha Requisición]])</f>
        <v>33</v>
      </c>
    </row>
    <row r="149" spans="1:27" hidden="1">
      <c r="A149" s="15" t="s">
        <v>942</v>
      </c>
      <c r="B149" s="15" t="s">
        <v>943</v>
      </c>
      <c r="C149" s="15" t="s">
        <v>966</v>
      </c>
      <c r="D149" s="15" t="s">
        <v>1150</v>
      </c>
      <c r="E149" s="15">
        <v>107</v>
      </c>
      <c r="F149" s="15" t="s">
        <v>944</v>
      </c>
      <c r="G149" s="15" t="s">
        <v>941</v>
      </c>
      <c r="H149" s="15" t="s">
        <v>941</v>
      </c>
      <c r="I149" s="15" t="s">
        <v>941</v>
      </c>
      <c r="J149" s="15" t="s">
        <v>39</v>
      </c>
      <c r="K149" s="5">
        <v>97801</v>
      </c>
      <c r="L149" s="5" t="s">
        <v>55</v>
      </c>
      <c r="M149" s="15" t="s">
        <v>930</v>
      </c>
      <c r="N149" s="15" t="s">
        <v>204</v>
      </c>
      <c r="O149" s="15" t="s">
        <v>57</v>
      </c>
      <c r="P149" s="15" t="s">
        <v>58</v>
      </c>
      <c r="Q149" s="15" t="s">
        <v>36</v>
      </c>
      <c r="R149" s="15" t="s">
        <v>1151</v>
      </c>
      <c r="S149" s="15" t="s">
        <v>514</v>
      </c>
      <c r="U149" s="2">
        <v>46252</v>
      </c>
      <c r="V149" s="15" t="s">
        <v>642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5</v>
      </c>
      <c r="Z149" s="15"/>
      <c r="AA149" s="13">
        <f>+_xlfn.ISOWEEKNUM(Control[[#This Row],[Fecha Requisición]])</f>
        <v>33</v>
      </c>
    </row>
    <row r="150" spans="1:27" hidden="1">
      <c r="A150" s="15" t="s">
        <v>947</v>
      </c>
      <c r="B150" s="15" t="s">
        <v>948</v>
      </c>
      <c r="C150" s="15" t="s">
        <v>949</v>
      </c>
      <c r="D150" s="15" t="s">
        <v>954</v>
      </c>
      <c r="E150" s="15">
        <v>109</v>
      </c>
      <c r="F150" s="15" t="s">
        <v>950</v>
      </c>
      <c r="G150" s="15" t="s">
        <v>951</v>
      </c>
      <c r="H150" s="15" t="s">
        <v>951</v>
      </c>
      <c r="I150" s="15" t="s">
        <v>951</v>
      </c>
      <c r="J150" s="15" t="s">
        <v>39</v>
      </c>
      <c r="K150" s="5"/>
      <c r="L150" s="5" t="s">
        <v>31</v>
      </c>
      <c r="M150" s="15" t="s">
        <v>571</v>
      </c>
      <c r="N150" s="15" t="s">
        <v>219</v>
      </c>
      <c r="O150" s="15" t="s">
        <v>866</v>
      </c>
      <c r="P150" s="15" t="s">
        <v>124</v>
      </c>
      <c r="Q150" s="15" t="s">
        <v>36</v>
      </c>
      <c r="R150" s="15" t="s">
        <v>955</v>
      </c>
      <c r="S150" s="15" t="s">
        <v>514</v>
      </c>
      <c r="T150" s="2">
        <v>46248</v>
      </c>
      <c r="U150" s="2">
        <v>46251</v>
      </c>
      <c r="V150" s="15" t="s">
        <v>642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 hidden="1">
      <c r="A151" s="15" t="s">
        <v>967</v>
      </c>
      <c r="B151" s="15" t="s">
        <v>968</v>
      </c>
      <c r="C151" s="15" t="s">
        <v>969</v>
      </c>
      <c r="D151" s="15" t="s">
        <v>998</v>
      </c>
      <c r="E151" s="15">
        <v>110</v>
      </c>
      <c r="F151" s="15" t="s">
        <v>970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>
        <v>1431345</v>
      </c>
      <c r="L151" s="5" t="s">
        <v>55</v>
      </c>
      <c r="M151" s="15" t="s">
        <v>915</v>
      </c>
      <c r="N151" s="15" t="s">
        <v>204</v>
      </c>
      <c r="O151" s="15" t="s">
        <v>57</v>
      </c>
      <c r="P151" s="15" t="s">
        <v>58</v>
      </c>
      <c r="Q151" s="15" t="s">
        <v>36</v>
      </c>
      <c r="R151" s="15" t="s">
        <v>999</v>
      </c>
      <c r="S151" s="15" t="s">
        <v>514</v>
      </c>
      <c r="U151" s="2">
        <v>46251</v>
      </c>
      <c r="V151" s="15" t="s">
        <v>1086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 hidden="1">
      <c r="A152" s="15" t="s">
        <v>971</v>
      </c>
      <c r="B152" s="15" t="s">
        <v>972</v>
      </c>
      <c r="C152" s="15" t="s">
        <v>973</v>
      </c>
      <c r="D152" s="15" t="s">
        <v>1000</v>
      </c>
      <c r="E152" s="15">
        <v>111</v>
      </c>
      <c r="F152" s="15" t="s">
        <v>974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57</v>
      </c>
      <c r="P152" s="15" t="s">
        <v>124</v>
      </c>
      <c r="Q152" s="15" t="s">
        <v>36</v>
      </c>
      <c r="R152" s="15" t="s">
        <v>1002</v>
      </c>
      <c r="S152" s="15" t="s">
        <v>514</v>
      </c>
      <c r="U152" s="2">
        <v>46251</v>
      </c>
      <c r="V152" s="15" t="s">
        <v>1086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 hidden="1">
      <c r="A153" s="15" t="s">
        <v>976</v>
      </c>
      <c r="B153" s="15" t="s">
        <v>977</v>
      </c>
      <c r="C153" s="15" t="s">
        <v>978</v>
      </c>
      <c r="D153" s="15" t="s">
        <v>1003</v>
      </c>
      <c r="E153" s="15">
        <v>112</v>
      </c>
      <c r="F153" s="15" t="s">
        <v>979</v>
      </c>
      <c r="G153" s="15" t="s">
        <v>951</v>
      </c>
      <c r="H153" s="15" t="s">
        <v>951</v>
      </c>
      <c r="I153" s="15" t="s">
        <v>951</v>
      </c>
      <c r="J153" s="15" t="s">
        <v>30</v>
      </c>
      <c r="K153" s="5"/>
      <c r="L153" s="5" t="s">
        <v>31</v>
      </c>
      <c r="M153" s="15" t="s">
        <v>1001</v>
      </c>
      <c r="N153" s="15" t="s">
        <v>975</v>
      </c>
      <c r="O153" s="15" t="s">
        <v>101</v>
      </c>
      <c r="P153" s="15" t="s">
        <v>124</v>
      </c>
      <c r="Q153" s="15" t="s">
        <v>36</v>
      </c>
      <c r="R153" s="15" t="s">
        <v>1004</v>
      </c>
      <c r="S153" s="15" t="s">
        <v>514</v>
      </c>
      <c r="U153" s="2">
        <v>46251</v>
      </c>
      <c r="V153" s="15" t="s">
        <v>1086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3</v>
      </c>
      <c r="Z153" s="15"/>
      <c r="AA153" s="13">
        <f>+_xlfn.ISOWEEKNUM(Control[[#This Row],[Fecha Requisición]])</f>
        <v>33</v>
      </c>
    </row>
    <row r="154" spans="1:27" hidden="1">
      <c r="A154" s="15" t="s">
        <v>980</v>
      </c>
      <c r="B154" s="15" t="s">
        <v>981</v>
      </c>
      <c r="C154" s="15" t="s">
        <v>982</v>
      </c>
      <c r="D154" s="15" t="s">
        <v>1005</v>
      </c>
      <c r="E154" s="15">
        <v>113</v>
      </c>
      <c r="F154" s="15" t="s">
        <v>983</v>
      </c>
      <c r="G154" s="15" t="s">
        <v>951</v>
      </c>
      <c r="H154" s="15" t="s">
        <v>951</v>
      </c>
      <c r="I154" s="15" t="s">
        <v>951</v>
      </c>
      <c r="J154" s="15" t="s">
        <v>30</v>
      </c>
      <c r="K154" s="5"/>
      <c r="L154" s="5" t="s">
        <v>31</v>
      </c>
      <c r="M154" s="15" t="s">
        <v>1001</v>
      </c>
      <c r="N154" s="15" t="s">
        <v>975</v>
      </c>
      <c r="O154" s="15" t="s">
        <v>123</v>
      </c>
      <c r="P154" s="15" t="s">
        <v>124</v>
      </c>
      <c r="Q154" s="15" t="s">
        <v>36</v>
      </c>
      <c r="R154" s="15" t="s">
        <v>1006</v>
      </c>
      <c r="S154" s="15" t="s">
        <v>514</v>
      </c>
      <c r="U154" s="2">
        <v>46251</v>
      </c>
      <c r="V154" s="15" t="s">
        <v>1086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3</v>
      </c>
      <c r="Z154" s="15"/>
      <c r="AA154" s="13">
        <f>+_xlfn.ISOWEEKNUM(Control[[#This Row],[Fecha Requisición]])</f>
        <v>33</v>
      </c>
    </row>
    <row r="155" spans="1:27" hidden="1">
      <c r="A155" s="15" t="s">
        <v>984</v>
      </c>
      <c r="B155" s="15" t="s">
        <v>985</v>
      </c>
      <c r="C155" s="15" t="s">
        <v>992</v>
      </c>
      <c r="D155" s="15" t="s">
        <v>1007</v>
      </c>
      <c r="E155" s="15">
        <v>114</v>
      </c>
      <c r="F155" s="15" t="s">
        <v>986</v>
      </c>
      <c r="G155" s="15" t="s">
        <v>987</v>
      </c>
      <c r="H155" s="15" t="s">
        <v>987</v>
      </c>
      <c r="I155" s="15" t="s">
        <v>987</v>
      </c>
      <c r="J155" s="15" t="s">
        <v>30</v>
      </c>
      <c r="K155" s="5"/>
      <c r="L155" s="5" t="s">
        <v>31</v>
      </c>
      <c r="M155" s="15" t="s">
        <v>1001</v>
      </c>
      <c r="N155" s="15" t="s">
        <v>765</v>
      </c>
      <c r="O155" s="15" t="s">
        <v>57</v>
      </c>
      <c r="P155" s="15" t="s">
        <v>35</v>
      </c>
      <c r="Q155" s="15" t="s">
        <v>94</v>
      </c>
      <c r="R155" s="15" t="s">
        <v>1008</v>
      </c>
      <c r="S155" s="15" t="s">
        <v>514</v>
      </c>
      <c r="U155" s="2">
        <v>46251</v>
      </c>
      <c r="V155" s="15" t="s">
        <v>1087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5" s="9">
        <f>+DATE(YEAR(Control[[#This Row],[Fecha Requisición]]),MONTH(Control[[#This Row],[Fecha Requisición]]),1)</f>
        <v>46235</v>
      </c>
      <c r="Y155" s="14">
        <f>+IF(Control[[#This Row],[Fecha de entrega]]="","",NETWORKDAYS(Control[[#This Row],[Fecha Requisición]],Control[[#This Row],[Fecha de entrega]]))</f>
        <v>2</v>
      </c>
      <c r="Z155" s="15"/>
      <c r="AA155" s="13">
        <f>+_xlfn.ISOWEEKNUM(Control[[#This Row],[Fecha Requisición]])</f>
        <v>33</v>
      </c>
    </row>
    <row r="156" spans="1:27" hidden="1">
      <c r="A156" s="15" t="s">
        <v>988</v>
      </c>
      <c r="B156" s="15" t="s">
        <v>989</v>
      </c>
      <c r="C156" s="15" t="s">
        <v>990</v>
      </c>
      <c r="D156" s="15" t="s">
        <v>1009</v>
      </c>
      <c r="E156" s="15">
        <v>115</v>
      </c>
      <c r="F156" s="15" t="s">
        <v>991</v>
      </c>
      <c r="G156" s="15" t="s">
        <v>987</v>
      </c>
      <c r="H156" s="15" t="s">
        <v>987</v>
      </c>
      <c r="I156" s="15" t="s">
        <v>987</v>
      </c>
      <c r="J156" s="15" t="s">
        <v>30</v>
      </c>
      <c r="K156" s="5">
        <v>150000</v>
      </c>
      <c r="L156" s="5" t="s">
        <v>55</v>
      </c>
      <c r="M156" s="15" t="s">
        <v>1010</v>
      </c>
      <c r="N156" s="15" t="s">
        <v>903</v>
      </c>
      <c r="O156" s="15" t="s">
        <v>384</v>
      </c>
      <c r="P156" s="15" t="s">
        <v>58</v>
      </c>
      <c r="Q156" s="15" t="s">
        <v>36</v>
      </c>
      <c r="R156" s="15" t="s">
        <v>1011</v>
      </c>
      <c r="S156" s="15" t="s">
        <v>514</v>
      </c>
      <c r="T156" s="2">
        <v>46252</v>
      </c>
      <c r="U156" s="2">
        <v>46251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2</v>
      </c>
      <c r="Z156" s="15"/>
      <c r="AA156" s="13">
        <f>+_xlfn.ISOWEEKNUM(Control[[#This Row],[Fecha Requisición]])</f>
        <v>33</v>
      </c>
    </row>
    <row r="157" spans="1:27" hidden="1">
      <c r="A157" s="15" t="s">
        <v>1012</v>
      </c>
      <c r="B157" s="15" t="s">
        <v>1013</v>
      </c>
      <c r="C157" s="15" t="s">
        <v>1014</v>
      </c>
      <c r="D157" s="15" t="s">
        <v>1109</v>
      </c>
      <c r="E157" s="15">
        <v>116</v>
      </c>
      <c r="F157" s="15" t="s">
        <v>1015</v>
      </c>
      <c r="G157" s="15" t="s">
        <v>1016</v>
      </c>
      <c r="H157" s="15" t="s">
        <v>1016</v>
      </c>
      <c r="I157" s="15" t="s">
        <v>1016</v>
      </c>
      <c r="J157" s="15" t="s">
        <v>30</v>
      </c>
      <c r="K157" s="5"/>
      <c r="L157" s="5" t="s">
        <v>31</v>
      </c>
      <c r="M157" s="15" t="s">
        <v>1110</v>
      </c>
      <c r="N157" s="15" t="s">
        <v>219</v>
      </c>
      <c r="O157" s="15" t="s">
        <v>384</v>
      </c>
      <c r="P157" s="15"/>
      <c r="Q157" s="15" t="s">
        <v>94</v>
      </c>
      <c r="R157" s="15" t="s">
        <v>1111</v>
      </c>
      <c r="S157" s="15" t="s">
        <v>514</v>
      </c>
      <c r="U157" s="2">
        <v>46261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9</v>
      </c>
      <c r="Z157" s="15"/>
      <c r="AA157" s="13">
        <f>+_xlfn.ISOWEEKNUM(Control[[#This Row],[Fecha Requisición]])</f>
        <v>34</v>
      </c>
    </row>
    <row r="158" spans="1:27" hidden="1">
      <c r="A158" s="15" t="s">
        <v>1017</v>
      </c>
      <c r="B158" s="15" t="s">
        <v>1018</v>
      </c>
      <c r="C158" s="15" t="s">
        <v>1019</v>
      </c>
      <c r="D158" s="15" t="s">
        <v>1152</v>
      </c>
      <c r="E158" s="15">
        <v>117</v>
      </c>
      <c r="F158" s="15" t="s">
        <v>1020</v>
      </c>
      <c r="G158" s="15" t="s">
        <v>1021</v>
      </c>
      <c r="H158" s="15" t="s">
        <v>1021</v>
      </c>
      <c r="I158" s="15" t="s">
        <v>1021</v>
      </c>
      <c r="J158" s="15" t="s">
        <v>39</v>
      </c>
      <c r="K158" s="5">
        <v>399990</v>
      </c>
      <c r="L158" s="5" t="s">
        <v>55</v>
      </c>
      <c r="M158" s="15" t="s">
        <v>1153</v>
      </c>
      <c r="N158" s="15" t="s">
        <v>93</v>
      </c>
      <c r="O158" s="15" t="s">
        <v>866</v>
      </c>
      <c r="P158" s="15" t="s">
        <v>58</v>
      </c>
      <c r="Q158" s="15" t="s">
        <v>94</v>
      </c>
      <c r="R158" s="15" t="s">
        <v>1154</v>
      </c>
      <c r="S158" s="15" t="s">
        <v>514</v>
      </c>
      <c r="T158" s="2">
        <v>46254</v>
      </c>
      <c r="U158" s="2">
        <v>46259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6</v>
      </c>
      <c r="Z158" s="15"/>
      <c r="AA158" s="13">
        <f>+_xlfn.ISOWEEKNUM(Control[[#This Row],[Fecha Requisición]])</f>
        <v>34</v>
      </c>
    </row>
    <row r="159" spans="1:27" hidden="1">
      <c r="A159" s="15" t="s">
        <v>1022</v>
      </c>
      <c r="B159" s="15" t="s">
        <v>1023</v>
      </c>
      <c r="C159" s="15" t="s">
        <v>1024</v>
      </c>
      <c r="D159" s="15" t="s">
        <v>1112</v>
      </c>
      <c r="E159" s="15">
        <v>118</v>
      </c>
      <c r="F159" s="15" t="s">
        <v>1025</v>
      </c>
      <c r="G159" s="15" t="s">
        <v>1021</v>
      </c>
      <c r="H159" s="15" t="s">
        <v>1021</v>
      </c>
      <c r="I159" s="15" t="s">
        <v>1021</v>
      </c>
      <c r="J159" s="15" t="s">
        <v>30</v>
      </c>
      <c r="K159" s="5"/>
      <c r="L159" s="5" t="s">
        <v>31</v>
      </c>
      <c r="M159" s="15" t="s">
        <v>1113</v>
      </c>
      <c r="N159" s="15" t="s">
        <v>204</v>
      </c>
      <c r="O159" s="15" t="s">
        <v>57</v>
      </c>
      <c r="P159" s="15" t="s">
        <v>58</v>
      </c>
      <c r="Q159" s="15" t="s">
        <v>36</v>
      </c>
      <c r="R159" s="15" t="s">
        <v>1114</v>
      </c>
      <c r="S159" s="15" t="s">
        <v>514</v>
      </c>
      <c r="U159" s="2">
        <v>46261</v>
      </c>
      <c r="V159" s="15" t="s">
        <v>642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8</v>
      </c>
      <c r="Z159" s="15"/>
      <c r="AA159" s="13">
        <f>+_xlfn.ISOWEEKNUM(Control[[#This Row],[Fecha Requisición]])</f>
        <v>34</v>
      </c>
    </row>
    <row r="160" spans="1:27" hidden="1">
      <c r="A160" s="15" t="s">
        <v>1026</v>
      </c>
      <c r="B160" s="15" t="s">
        <v>1027</v>
      </c>
      <c r="C160" s="15" t="s">
        <v>1028</v>
      </c>
      <c r="D160" s="15" t="s">
        <v>1039</v>
      </c>
      <c r="E160" s="15">
        <v>119</v>
      </c>
      <c r="F160" s="15" t="s">
        <v>1029</v>
      </c>
      <c r="G160" s="15" t="s">
        <v>1021</v>
      </c>
      <c r="H160" s="15" t="s">
        <v>1021</v>
      </c>
      <c r="I160" s="15" t="s">
        <v>1021</v>
      </c>
      <c r="J160" s="15" t="s">
        <v>30</v>
      </c>
      <c r="K160" s="5">
        <v>602295</v>
      </c>
      <c r="L160" s="5" t="s">
        <v>55</v>
      </c>
      <c r="M160" s="15" t="s">
        <v>927</v>
      </c>
      <c r="N160" s="15" t="s">
        <v>204</v>
      </c>
      <c r="O160" s="15" t="s">
        <v>57</v>
      </c>
      <c r="P160" s="15" t="s">
        <v>58</v>
      </c>
      <c r="Q160" s="15" t="s">
        <v>36</v>
      </c>
      <c r="R160" s="15" t="s">
        <v>1040</v>
      </c>
      <c r="S160" s="15" t="s">
        <v>514</v>
      </c>
      <c r="U160" s="2">
        <v>46261</v>
      </c>
      <c r="V160" s="15" t="s">
        <v>642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8</v>
      </c>
      <c r="Z160" s="15"/>
      <c r="AA160" s="13">
        <f>+_xlfn.ISOWEEKNUM(Control[[#This Row],[Fecha Requisición]])</f>
        <v>34</v>
      </c>
    </row>
    <row r="161" spans="1:27" hidden="1">
      <c r="A161" s="15" t="s">
        <v>1041</v>
      </c>
      <c r="B161" s="15" t="s">
        <v>1042</v>
      </c>
      <c r="C161" s="15" t="s">
        <v>1042</v>
      </c>
      <c r="D161" s="15" t="s">
        <v>1115</v>
      </c>
      <c r="E161" s="15">
        <v>121</v>
      </c>
      <c r="F161" s="15" t="s">
        <v>1043</v>
      </c>
      <c r="G161" s="15" t="s">
        <v>1044</v>
      </c>
      <c r="H161" s="15" t="s">
        <v>1044</v>
      </c>
      <c r="I161" s="15" t="s">
        <v>1044</v>
      </c>
      <c r="J161" s="15" t="s">
        <v>30</v>
      </c>
      <c r="K161" s="5"/>
      <c r="L161" s="5" t="s">
        <v>31</v>
      </c>
      <c r="M161" s="15" t="s">
        <v>830</v>
      </c>
      <c r="N161" s="15" t="s">
        <v>765</v>
      </c>
      <c r="O161" s="15" t="s">
        <v>57</v>
      </c>
      <c r="P161" s="15" t="s">
        <v>35</v>
      </c>
      <c r="Q161" s="15" t="s">
        <v>94</v>
      </c>
      <c r="R161" s="15" t="s">
        <v>1116</v>
      </c>
      <c r="S161" s="15" t="s">
        <v>514</v>
      </c>
      <c r="U161" s="2">
        <v>46255</v>
      </c>
      <c r="V161" s="15" t="s">
        <v>1083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1</v>
      </c>
      <c r="Z161" s="15"/>
      <c r="AA161" s="13">
        <f>+_xlfn.ISOWEEKNUM(Control[[#This Row],[Fecha Requisición]])</f>
        <v>34</v>
      </c>
    </row>
    <row r="162" spans="1:27" hidden="1">
      <c r="A162" s="21" t="s">
        <v>1045</v>
      </c>
      <c r="B162" s="21" t="s">
        <v>1046</v>
      </c>
      <c r="C162" s="21" t="s">
        <v>1047</v>
      </c>
      <c r="D162" s="21" t="s">
        <v>1155</v>
      </c>
      <c r="E162" s="21">
        <v>122</v>
      </c>
      <c r="F162" s="21" t="s">
        <v>1048</v>
      </c>
      <c r="G162" s="21" t="s">
        <v>1049</v>
      </c>
      <c r="H162" s="21" t="s">
        <v>1049</v>
      </c>
      <c r="I162" s="21" t="s">
        <v>1049</v>
      </c>
      <c r="J162" s="21" t="s">
        <v>39</v>
      </c>
      <c r="K162" s="5">
        <v>100000</v>
      </c>
      <c r="L162" s="5" t="s">
        <v>55</v>
      </c>
      <c r="M162" s="21" t="s">
        <v>1156</v>
      </c>
      <c r="N162" s="21" t="s">
        <v>93</v>
      </c>
      <c r="O162" s="21" t="s">
        <v>57</v>
      </c>
      <c r="P162" s="21" t="s">
        <v>58</v>
      </c>
      <c r="Q162" s="21" t="s">
        <v>94</v>
      </c>
      <c r="R162" s="21" t="s">
        <v>1157</v>
      </c>
      <c r="S162" s="21" t="s">
        <v>514</v>
      </c>
      <c r="T162" s="2">
        <v>46262</v>
      </c>
      <c r="U162" s="2">
        <v>46262</v>
      </c>
      <c r="V162" s="21" t="s">
        <v>642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2" s="9">
        <f>+DATE(YEAR(Control[[#This Row],[Fecha Requisición]]),MONTH(Control[[#This Row],[Fecha Requisición]]),1)</f>
        <v>46235</v>
      </c>
      <c r="Y162" s="14">
        <f>+IF(Control[[#This Row],[Fecha de entrega]]="","",NETWORKDAYS(Control[[#This Row],[Fecha Requisición]],Control[[#This Row],[Fecha de entrega]]))</f>
        <v>5</v>
      </c>
      <c r="Z162" s="21"/>
      <c r="AA162" s="13">
        <f>+_xlfn.ISOWEEKNUM(Control[[#This Row],[Fecha Requisición]])</f>
        <v>35</v>
      </c>
    </row>
    <row r="163" spans="1:27" hidden="1">
      <c r="A163" s="21" t="s">
        <v>1058</v>
      </c>
      <c r="B163" s="21" t="s">
        <v>1059</v>
      </c>
      <c r="C163" s="21" t="s">
        <v>1060</v>
      </c>
      <c r="D163" s="21" t="s">
        <v>1158</v>
      </c>
      <c r="E163" s="21">
        <v>125</v>
      </c>
      <c r="F163" s="21" t="s">
        <v>1061</v>
      </c>
      <c r="G163" s="21" t="s">
        <v>1049</v>
      </c>
      <c r="H163" s="21" t="s">
        <v>1049</v>
      </c>
      <c r="I163" s="21" t="s">
        <v>1049</v>
      </c>
      <c r="J163" s="21" t="s">
        <v>39</v>
      </c>
      <c r="K163" s="5"/>
      <c r="L163" s="5" t="s">
        <v>31</v>
      </c>
      <c r="M163" s="21" t="s">
        <v>1159</v>
      </c>
      <c r="N163" s="21" t="s">
        <v>1062</v>
      </c>
      <c r="O163" s="21" t="s">
        <v>1063</v>
      </c>
      <c r="P163" s="21" t="s">
        <v>1064</v>
      </c>
      <c r="Q163" s="21" t="s">
        <v>94</v>
      </c>
      <c r="R163" s="21" t="s">
        <v>1160</v>
      </c>
      <c r="S163" s="21" t="s">
        <v>514</v>
      </c>
      <c r="T163" s="2">
        <v>46261</v>
      </c>
      <c r="U163" s="2">
        <v>46262</v>
      </c>
      <c r="V163" s="21" t="s">
        <v>1141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5</v>
      </c>
      <c r="Z163" s="21"/>
      <c r="AA163" s="13">
        <f>+_xlfn.ISOWEEKNUM(Control[[#This Row],[Fecha Requisición]])</f>
        <v>35</v>
      </c>
    </row>
    <row r="164" spans="1:27" hidden="1">
      <c r="A164" s="21" t="s">
        <v>1065</v>
      </c>
      <c r="B164" s="21" t="s">
        <v>1066</v>
      </c>
      <c r="C164" s="21" t="s">
        <v>1067</v>
      </c>
      <c r="D164" s="21" t="s">
        <v>1117</v>
      </c>
      <c r="E164" s="21">
        <v>126</v>
      </c>
      <c r="F164" s="21" t="s">
        <v>1068</v>
      </c>
      <c r="G164" s="21" t="s">
        <v>1049</v>
      </c>
      <c r="H164" s="21" t="s">
        <v>1049</v>
      </c>
      <c r="I164" s="21" t="s">
        <v>1049</v>
      </c>
      <c r="J164" s="21" t="s">
        <v>39</v>
      </c>
      <c r="K164" s="5"/>
      <c r="L164" s="5" t="s">
        <v>31</v>
      </c>
      <c r="M164" s="21" t="s">
        <v>1118</v>
      </c>
      <c r="N164" s="21" t="s">
        <v>1069</v>
      </c>
      <c r="O164" s="21" t="s">
        <v>384</v>
      </c>
      <c r="P164" s="21" t="s">
        <v>124</v>
      </c>
      <c r="Q164" s="21" t="s">
        <v>59</v>
      </c>
      <c r="R164" s="21" t="s">
        <v>1119</v>
      </c>
      <c r="S164" s="21" t="s">
        <v>514</v>
      </c>
      <c r="T164" s="2">
        <v>46261</v>
      </c>
      <c r="U164" s="2">
        <v>46267</v>
      </c>
      <c r="V164" s="21" t="s">
        <v>642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8</v>
      </c>
      <c r="Z164" s="21"/>
      <c r="AA164" s="13">
        <f>+_xlfn.ISOWEEKNUM(Control[[#This Row],[Fecha Requisición]])</f>
        <v>35</v>
      </c>
    </row>
    <row r="165" spans="1:27" hidden="1">
      <c r="A165" s="21" t="s">
        <v>1126</v>
      </c>
      <c r="B165" s="21" t="s">
        <v>1127</v>
      </c>
      <c r="C165" s="21" t="s">
        <v>1128</v>
      </c>
      <c r="D165" s="21" t="s">
        <v>1161</v>
      </c>
      <c r="E165" s="21">
        <v>132</v>
      </c>
      <c r="F165" s="21" t="s">
        <v>1129</v>
      </c>
      <c r="G165" s="21" t="s">
        <v>1074</v>
      </c>
      <c r="H165" s="21" t="s">
        <v>1074</v>
      </c>
      <c r="I165" s="21" t="s">
        <v>1074</v>
      </c>
      <c r="J165" s="21" t="s">
        <v>30</v>
      </c>
      <c r="K165" s="5">
        <v>1930043</v>
      </c>
      <c r="L165" s="5"/>
      <c r="M165" s="21" t="s">
        <v>1001</v>
      </c>
      <c r="N165" s="21"/>
      <c r="O165" s="21"/>
      <c r="P165" s="21"/>
      <c r="Q165" s="21"/>
      <c r="R165" s="21" t="s">
        <v>1162</v>
      </c>
      <c r="S165" s="21" t="s">
        <v>514</v>
      </c>
      <c r="U165" s="2">
        <v>46265</v>
      </c>
      <c r="V165" s="21" t="s">
        <v>1183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5</v>
      </c>
      <c r="Z165" s="21"/>
      <c r="AA165" s="13">
        <f>+_xlfn.ISOWEEKNUM(Control[[#This Row],[Fecha Requisición]])</f>
        <v>35</v>
      </c>
    </row>
    <row r="166" spans="1:27" hidden="1">
      <c r="A166" s="21" t="s">
        <v>1163</v>
      </c>
      <c r="B166" s="21" t="s">
        <v>1164</v>
      </c>
      <c r="C166" s="21" t="s">
        <v>1165</v>
      </c>
      <c r="D166" s="21" t="s">
        <v>1166</v>
      </c>
      <c r="E166" s="21">
        <v>135</v>
      </c>
      <c r="F166" s="21" t="s">
        <v>1167</v>
      </c>
      <c r="G166" s="21" t="s">
        <v>1168</v>
      </c>
      <c r="H166" s="21" t="s">
        <v>1168</v>
      </c>
      <c r="I166" s="21" t="s">
        <v>1168</v>
      </c>
      <c r="J166" s="21" t="s">
        <v>30</v>
      </c>
      <c r="K166" s="5">
        <v>500654</v>
      </c>
      <c r="L166" s="5" t="s">
        <v>55</v>
      </c>
      <c r="M166" s="21" t="s">
        <v>1169</v>
      </c>
      <c r="N166" s="21" t="s">
        <v>93</v>
      </c>
      <c r="O166" s="21" t="s">
        <v>57</v>
      </c>
      <c r="P166" s="21" t="s">
        <v>58</v>
      </c>
      <c r="Q166" s="21" t="s">
        <v>94</v>
      </c>
      <c r="R166" s="21" t="s">
        <v>1170</v>
      </c>
      <c r="S166" s="21" t="s">
        <v>514</v>
      </c>
      <c r="U166" s="2">
        <v>46238</v>
      </c>
      <c r="V166" s="21" t="s">
        <v>642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6" s="9">
        <f>+DATE(YEAR(Control[[#This Row],[Fecha Requisición]]),MONTH(Control[[#This Row],[Fecha Requisición]]),1)</f>
        <v>46235</v>
      </c>
      <c r="Y166" s="14">
        <f>+IF(Control[[#This Row],[Fecha de entrega]]="","",NETWORKDAYS(Control[[#This Row],[Fecha Requisición]],Control[[#This Row],[Fecha de entrega]]))</f>
        <v>-17</v>
      </c>
      <c r="Z166" s="21"/>
      <c r="AA166" s="13">
        <f>+_xlfn.ISOWEEKNUM(Control[[#This Row],[Fecha Requisición]])</f>
        <v>35</v>
      </c>
    </row>
    <row r="167" spans="1:27" hidden="1">
      <c r="A167" s="21" t="s">
        <v>1171</v>
      </c>
      <c r="B167" s="21" t="s">
        <v>1172</v>
      </c>
      <c r="C167" s="21" t="s">
        <v>1173</v>
      </c>
      <c r="D167" s="21" t="s">
        <v>1174</v>
      </c>
      <c r="E167" s="21">
        <v>137</v>
      </c>
      <c r="F167" s="21" t="s">
        <v>1175</v>
      </c>
      <c r="G167" s="21" t="s">
        <v>1176</v>
      </c>
      <c r="H167" s="21" t="s">
        <v>1176</v>
      </c>
      <c r="I167" s="21" t="s">
        <v>1176</v>
      </c>
      <c r="J167" s="21" t="s">
        <v>30</v>
      </c>
      <c r="K167" s="5">
        <v>1837303</v>
      </c>
      <c r="L167" s="5"/>
      <c r="M167" s="21" t="s">
        <v>1001</v>
      </c>
      <c r="N167" s="21"/>
      <c r="O167" s="21"/>
      <c r="P167" s="21"/>
      <c r="Q167" s="21"/>
      <c r="R167" s="21" t="s">
        <v>1177</v>
      </c>
      <c r="S167" s="21" t="s">
        <v>514</v>
      </c>
      <c r="U167" s="2">
        <v>46265</v>
      </c>
      <c r="V167" s="21" t="s">
        <v>1142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7" s="9">
        <f>+DATE(YEAR(Control[[#This Row],[Fecha Requisición]]),MONTH(Control[[#This Row],[Fecha Requisición]]),1)</f>
        <v>46235</v>
      </c>
      <c r="Y167" s="14">
        <f>+IF(Control[[#This Row],[Fecha de entrega]]="","",NETWORKDAYS(Control[[#This Row],[Fecha Requisición]],Control[[#This Row],[Fecha de entrega]]))</f>
        <v>3</v>
      </c>
      <c r="Z167" s="21"/>
      <c r="AA167" s="13">
        <f>+_xlfn.ISOWEEKNUM(Control[[#This Row],[Fecha Requisición]])</f>
        <v>35</v>
      </c>
    </row>
    <row r="168" spans="1:27" hidden="1">
      <c r="A168" s="21" t="s">
        <v>1202</v>
      </c>
      <c r="B168" s="21" t="s">
        <v>1203</v>
      </c>
      <c r="C168" s="21" t="s">
        <v>1204</v>
      </c>
      <c r="D168" s="21" t="s">
        <v>1236</v>
      </c>
      <c r="E168" s="21">
        <v>140</v>
      </c>
      <c r="F168" s="21" t="s">
        <v>1205</v>
      </c>
      <c r="G168" s="21" t="s">
        <v>1190</v>
      </c>
      <c r="H168" s="21" t="s">
        <v>1190</v>
      </c>
      <c r="I168" s="21" t="s">
        <v>1190</v>
      </c>
      <c r="J168" s="21" t="s">
        <v>39</v>
      </c>
      <c r="K168" s="5">
        <v>336502</v>
      </c>
      <c r="L168" s="5" t="s">
        <v>55</v>
      </c>
      <c r="M168" s="21" t="s">
        <v>741</v>
      </c>
      <c r="N168" s="21" t="s">
        <v>1206</v>
      </c>
      <c r="O168" s="21" t="s">
        <v>101</v>
      </c>
      <c r="P168" s="21" t="s">
        <v>58</v>
      </c>
      <c r="Q168" s="21" t="s">
        <v>36</v>
      </c>
      <c r="R168" s="21" t="s">
        <v>1237</v>
      </c>
      <c r="S168" s="21" t="s">
        <v>514</v>
      </c>
      <c r="T168" s="2">
        <v>46273</v>
      </c>
      <c r="U168" s="2">
        <v>46279</v>
      </c>
      <c r="V168" s="21" t="s">
        <v>1378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8" s="9">
        <f>+DATE(YEAR(Control[[#This Row],[Fecha Requisición]]),MONTH(Control[[#This Row],[Fecha Requisición]]),1)</f>
        <v>46235</v>
      </c>
      <c r="Y168" s="14">
        <f>+IF(Control[[#This Row],[Fecha de entrega]]="","",NETWORKDAYS(Control[[#This Row],[Fecha Requisición]],Control[[#This Row],[Fecha de entrega]]))</f>
        <v>11</v>
      </c>
      <c r="Z168" s="21"/>
      <c r="AA168" s="13">
        <f>+_xlfn.ISOWEEKNUM(Control[[#This Row],[Fecha Requisición]])</f>
        <v>36</v>
      </c>
    </row>
    <row r="169" spans="1:27" hidden="1">
      <c r="A169" s="21" t="s">
        <v>1185</v>
      </c>
      <c r="B169" s="21" t="s">
        <v>1186</v>
      </c>
      <c r="C169" s="21" t="s">
        <v>1187</v>
      </c>
      <c r="D169" s="21" t="s">
        <v>1238</v>
      </c>
      <c r="E169" s="21">
        <v>141</v>
      </c>
      <c r="F169" s="21" t="s">
        <v>1189</v>
      </c>
      <c r="G169" s="21" t="s">
        <v>1190</v>
      </c>
      <c r="H169" s="21" t="s">
        <v>1190</v>
      </c>
      <c r="I169" s="21" t="s">
        <v>1190</v>
      </c>
      <c r="J169" s="21" t="s">
        <v>30</v>
      </c>
      <c r="K169" s="5"/>
      <c r="L169" s="5" t="s">
        <v>31</v>
      </c>
      <c r="M169" s="21" t="s">
        <v>1239</v>
      </c>
      <c r="N169" s="21" t="s">
        <v>1192</v>
      </c>
      <c r="O169" s="21" t="s">
        <v>57</v>
      </c>
      <c r="P169" s="21" t="s">
        <v>463</v>
      </c>
      <c r="Q169" s="21" t="s">
        <v>94</v>
      </c>
      <c r="R169" s="21" t="s">
        <v>1240</v>
      </c>
      <c r="S169" s="21" t="s">
        <v>514</v>
      </c>
      <c r="U169" s="2">
        <v>46267</v>
      </c>
      <c r="V169" s="21" t="s">
        <v>1213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9" s="9">
        <f>+DATE(YEAR(Control[[#This Row],[Fecha Requisición]]),MONTH(Control[[#This Row],[Fecha Requisición]]),1)</f>
        <v>46235</v>
      </c>
      <c r="Y169" s="14">
        <f>+IF(Control[[#This Row],[Fecha de entrega]]="","",NETWORKDAYS(Control[[#This Row],[Fecha Requisición]],Control[[#This Row],[Fecha de entrega]]))</f>
        <v>3</v>
      </c>
      <c r="Z169" s="21"/>
      <c r="AA169" s="13">
        <f>+_xlfn.ISOWEEKNUM(Control[[#This Row],[Fecha Requisición]])</f>
        <v>36</v>
      </c>
    </row>
    <row r="170" spans="1:27" hidden="1">
      <c r="A170" s="21" t="s">
        <v>1185</v>
      </c>
      <c r="B170" s="21" t="s">
        <v>1186</v>
      </c>
      <c r="C170" s="21" t="s">
        <v>1187</v>
      </c>
      <c r="D170" s="21" t="s">
        <v>1188</v>
      </c>
      <c r="E170" s="21">
        <v>141</v>
      </c>
      <c r="F170" s="21" t="s">
        <v>1189</v>
      </c>
      <c r="G170" s="21" t="s">
        <v>1190</v>
      </c>
      <c r="H170" s="21" t="s">
        <v>1190</v>
      </c>
      <c r="I170" s="21" t="s">
        <v>1190</v>
      </c>
      <c r="J170" s="21" t="s">
        <v>39</v>
      </c>
      <c r="K170" s="5">
        <v>883396</v>
      </c>
      <c r="L170" s="5" t="s">
        <v>31</v>
      </c>
      <c r="M170" s="21" t="s">
        <v>1191</v>
      </c>
      <c r="N170" s="21" t="s">
        <v>1192</v>
      </c>
      <c r="O170" s="21" t="s">
        <v>57</v>
      </c>
      <c r="P170" s="21" t="s">
        <v>463</v>
      </c>
      <c r="Q170" s="21" t="s">
        <v>94</v>
      </c>
      <c r="R170" s="21" t="s">
        <v>1193</v>
      </c>
      <c r="S170" s="21" t="s">
        <v>514</v>
      </c>
      <c r="U170" s="2">
        <v>46267</v>
      </c>
      <c r="V170" s="21" t="s">
        <v>1213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0" s="9">
        <f>+DATE(YEAR(Control[[#This Row],[Fecha Requisición]]),MONTH(Control[[#This Row],[Fecha Requisición]]),1)</f>
        <v>46235</v>
      </c>
      <c r="Y170" s="14">
        <f>+IF(Control[[#This Row],[Fecha de entrega]]="","",NETWORKDAYS(Control[[#This Row],[Fecha Requisición]],Control[[#This Row],[Fecha de entrega]]))</f>
        <v>3</v>
      </c>
      <c r="Z170" s="21"/>
      <c r="AA170" s="13">
        <f>+_xlfn.ISOWEEKNUM(Control[[#This Row],[Fecha Requisición]])</f>
        <v>36</v>
      </c>
    </row>
    <row r="171" spans="1:27" hidden="1">
      <c r="A171" s="21" t="s">
        <v>1214</v>
      </c>
      <c r="B171" s="21" t="s">
        <v>1215</v>
      </c>
      <c r="C171" s="21" t="s">
        <v>1216</v>
      </c>
      <c r="D171" s="21" t="s">
        <v>1241</v>
      </c>
      <c r="E171" s="21">
        <v>143</v>
      </c>
      <c r="F171" s="21" t="s">
        <v>1217</v>
      </c>
      <c r="G171" s="21" t="s">
        <v>1218</v>
      </c>
      <c r="H171" s="21" t="s">
        <v>1218</v>
      </c>
      <c r="I171" s="21" t="s">
        <v>1218</v>
      </c>
      <c r="J171" s="21" t="s">
        <v>30</v>
      </c>
      <c r="K171" s="5"/>
      <c r="L171" s="5" t="s">
        <v>31</v>
      </c>
      <c r="M171" s="21" t="s">
        <v>1242</v>
      </c>
      <c r="N171" s="21" t="s">
        <v>975</v>
      </c>
      <c r="O171" s="21" t="s">
        <v>57</v>
      </c>
      <c r="P171" s="21" t="s">
        <v>124</v>
      </c>
      <c r="Q171" s="21" t="s">
        <v>36</v>
      </c>
      <c r="R171" s="21" t="s">
        <v>1243</v>
      </c>
      <c r="S171" s="21" t="s">
        <v>514</v>
      </c>
      <c r="V171" s="21" t="s">
        <v>1365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1" s="9">
        <f>+DATE(YEAR(Control[[#This Row],[Fecha Requisición]]),MONTH(Control[[#This Row],[Fecha Requisición]]),1)</f>
        <v>46266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36</v>
      </c>
    </row>
    <row r="172" spans="1:27" hidden="1">
      <c r="A172" s="21" t="s">
        <v>1214</v>
      </c>
      <c r="B172" s="21" t="s">
        <v>1215</v>
      </c>
      <c r="C172" s="21" t="s">
        <v>1216</v>
      </c>
      <c r="D172" s="21" t="s">
        <v>1366</v>
      </c>
      <c r="E172" s="21">
        <v>143</v>
      </c>
      <c r="F172" s="21" t="s">
        <v>1217</v>
      </c>
      <c r="G172" s="21" t="s">
        <v>1218</v>
      </c>
      <c r="H172" s="21" t="s">
        <v>1218</v>
      </c>
      <c r="I172" s="21" t="s">
        <v>1218</v>
      </c>
      <c r="J172" s="21" t="s">
        <v>30</v>
      </c>
      <c r="K172" s="5"/>
      <c r="L172" s="5" t="s">
        <v>31</v>
      </c>
      <c r="M172" s="21" t="s">
        <v>1242</v>
      </c>
      <c r="N172" s="21" t="s">
        <v>975</v>
      </c>
      <c r="O172" s="21" t="s">
        <v>57</v>
      </c>
      <c r="P172" s="21" t="s">
        <v>124</v>
      </c>
      <c r="Q172" s="21" t="s">
        <v>36</v>
      </c>
      <c r="R172" s="21" t="s">
        <v>1367</v>
      </c>
      <c r="S172" s="21" t="s">
        <v>514</v>
      </c>
      <c r="V172" s="21" t="s">
        <v>1365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2" s="9">
        <f>+DATE(YEAR(Control[[#This Row],[Fecha Requisición]]),MONTH(Control[[#This Row],[Fecha Requisición]]),1)</f>
        <v>46266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36</v>
      </c>
    </row>
    <row r="173" spans="1:27" hidden="1">
      <c r="A173" s="21" t="s">
        <v>1219</v>
      </c>
      <c r="B173" s="21" t="s">
        <v>1220</v>
      </c>
      <c r="C173" s="21" t="s">
        <v>1221</v>
      </c>
      <c r="D173" s="21" t="s">
        <v>1244</v>
      </c>
      <c r="E173" s="21">
        <v>144</v>
      </c>
      <c r="F173" s="21" t="s">
        <v>1222</v>
      </c>
      <c r="G173" s="21" t="s">
        <v>1218</v>
      </c>
      <c r="H173" s="21" t="s">
        <v>1218</v>
      </c>
      <c r="I173" s="21" t="s">
        <v>1218</v>
      </c>
      <c r="J173" s="21" t="s">
        <v>30</v>
      </c>
      <c r="K173" s="5"/>
      <c r="L173" s="5" t="s">
        <v>31</v>
      </c>
      <c r="M173" s="21" t="s">
        <v>1242</v>
      </c>
      <c r="N173" s="21" t="s">
        <v>975</v>
      </c>
      <c r="O173" s="21" t="s">
        <v>123</v>
      </c>
      <c r="P173" s="21" t="s">
        <v>124</v>
      </c>
      <c r="Q173" s="21" t="s">
        <v>36</v>
      </c>
      <c r="R173" s="21" t="s">
        <v>1245</v>
      </c>
      <c r="S173" s="21" t="s">
        <v>514</v>
      </c>
      <c r="V173" s="21" t="s">
        <v>1231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3" s="9">
        <f>+DATE(YEAR(Control[[#This Row],[Fecha Requisición]]),MONTH(Control[[#This Row],[Fecha Requisición]]),1)</f>
        <v>46266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36</v>
      </c>
    </row>
    <row r="174" spans="1:27" hidden="1">
      <c r="A174" s="21" t="s">
        <v>1223</v>
      </c>
      <c r="B174" s="21" t="s">
        <v>1224</v>
      </c>
      <c r="C174" s="21" t="s">
        <v>1225</v>
      </c>
      <c r="D174" s="21" t="s">
        <v>1246</v>
      </c>
      <c r="E174" s="21">
        <v>145</v>
      </c>
      <c r="F174" s="21" t="s">
        <v>1226</v>
      </c>
      <c r="G174" s="21" t="s">
        <v>1218</v>
      </c>
      <c r="H174" s="21" t="s">
        <v>1218</v>
      </c>
      <c r="I174" s="21" t="s">
        <v>1218</v>
      </c>
      <c r="J174" s="21" t="s">
        <v>30</v>
      </c>
      <c r="K174" s="5"/>
      <c r="L174" s="5" t="s">
        <v>31</v>
      </c>
      <c r="M174" s="21" t="s">
        <v>1113</v>
      </c>
      <c r="N174" s="21" t="s">
        <v>975</v>
      </c>
      <c r="O174" s="21" t="s">
        <v>101</v>
      </c>
      <c r="P174" s="21" t="s">
        <v>124</v>
      </c>
      <c r="Q174" s="21" t="s">
        <v>36</v>
      </c>
      <c r="R174" s="21" t="s">
        <v>1247</v>
      </c>
      <c r="S174" s="21" t="s">
        <v>514</v>
      </c>
      <c r="V174" s="21" t="s">
        <v>1232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4" s="9">
        <f>+DATE(YEAR(Control[[#This Row],[Fecha Requisición]]),MONTH(Control[[#This Row],[Fecha Requisición]]),1)</f>
        <v>46266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36</v>
      </c>
    </row>
    <row r="175" spans="1:27" hidden="1">
      <c r="A175" s="21" t="s">
        <v>1223</v>
      </c>
      <c r="B175" s="21" t="s">
        <v>1224</v>
      </c>
      <c r="C175" s="21" t="s">
        <v>1225</v>
      </c>
      <c r="D175" s="21" t="s">
        <v>1248</v>
      </c>
      <c r="E175" s="21">
        <v>145</v>
      </c>
      <c r="F175" s="21" t="s">
        <v>1226</v>
      </c>
      <c r="G175" s="21" t="s">
        <v>1218</v>
      </c>
      <c r="H175" s="21" t="s">
        <v>1218</v>
      </c>
      <c r="I175" s="21" t="s">
        <v>1218</v>
      </c>
      <c r="J175" s="21" t="s">
        <v>30</v>
      </c>
      <c r="K175" s="5"/>
      <c r="L175" s="5" t="s">
        <v>31</v>
      </c>
      <c r="M175" s="21" t="s">
        <v>1242</v>
      </c>
      <c r="N175" s="21" t="s">
        <v>975</v>
      </c>
      <c r="O175" s="21" t="s">
        <v>101</v>
      </c>
      <c r="P175" s="21" t="s">
        <v>124</v>
      </c>
      <c r="Q175" s="21" t="s">
        <v>36</v>
      </c>
      <c r="R175" s="21" t="s">
        <v>1249</v>
      </c>
      <c r="S175" s="21" t="s">
        <v>514</v>
      </c>
      <c r="V175" s="21" t="s">
        <v>1232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5" s="9">
        <f>+DATE(YEAR(Control[[#This Row],[Fecha Requisición]]),MONTH(Control[[#This Row],[Fecha Requisición]]),1)</f>
        <v>46266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36</v>
      </c>
    </row>
    <row r="176" spans="1:27" hidden="1">
      <c r="A176" s="21" t="s">
        <v>1227</v>
      </c>
      <c r="B176" s="21" t="s">
        <v>1228</v>
      </c>
      <c r="C176" s="21" t="s">
        <v>1229</v>
      </c>
      <c r="D176" s="21" t="s">
        <v>1382</v>
      </c>
      <c r="E176" s="21">
        <v>146</v>
      </c>
      <c r="F176" s="21" t="s">
        <v>1230</v>
      </c>
      <c r="G176" s="21" t="s">
        <v>1218</v>
      </c>
      <c r="H176" s="21" t="s">
        <v>1218</v>
      </c>
      <c r="I176" s="21" t="s">
        <v>1218</v>
      </c>
      <c r="J176" s="21" t="s">
        <v>39</v>
      </c>
      <c r="K176" s="5"/>
      <c r="L176" s="5" t="s">
        <v>31</v>
      </c>
      <c r="M176" s="21" t="s">
        <v>1169</v>
      </c>
      <c r="N176" s="21" t="s">
        <v>371</v>
      </c>
      <c r="O176" s="21" t="s">
        <v>176</v>
      </c>
      <c r="P176" s="21" t="s">
        <v>124</v>
      </c>
      <c r="Q176" s="21" t="s">
        <v>36</v>
      </c>
      <c r="R176" s="21" t="s">
        <v>1383</v>
      </c>
      <c r="S176" s="21" t="s">
        <v>514</v>
      </c>
      <c r="V176" s="21" t="s">
        <v>1233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6" s="9">
        <f>+DATE(YEAR(Control[[#This Row],[Fecha Requisición]]),MONTH(Control[[#This Row],[Fecha Requisición]]),1)</f>
        <v>46266</v>
      </c>
      <c r="Y176" s="14" t="str">
        <f>+IF(Control[[#This Row],[Fecha de entrega]]="","",NETWORKDAYS(Control[[#This Row],[Fecha Requisición]],Control[[#This Row],[Fecha de entrega]]))</f>
        <v/>
      </c>
      <c r="Z176" s="21"/>
      <c r="AA176" s="13">
        <f>+_xlfn.ISOWEEKNUM(Control[[#This Row],[Fecha Requisición]])</f>
        <v>36</v>
      </c>
    </row>
    <row r="177" spans="1:27" hidden="1">
      <c r="A177" s="21" t="s">
        <v>1250</v>
      </c>
      <c r="B177" s="21" t="s">
        <v>1251</v>
      </c>
      <c r="C177" s="21" t="s">
        <v>1252</v>
      </c>
      <c r="D177" s="21" t="s">
        <v>1446</v>
      </c>
      <c r="E177" s="21">
        <v>147</v>
      </c>
      <c r="F177" s="21" t="s">
        <v>1253</v>
      </c>
      <c r="G177" s="21" t="s">
        <v>1254</v>
      </c>
      <c r="H177" s="21" t="s">
        <v>1254</v>
      </c>
      <c r="I177" s="21" t="s">
        <v>1254</v>
      </c>
      <c r="J177" s="21" t="s">
        <v>30</v>
      </c>
      <c r="K177" s="5"/>
      <c r="L177" s="5" t="s">
        <v>31</v>
      </c>
      <c r="M177" s="21" t="s">
        <v>1447</v>
      </c>
      <c r="N177" s="21" t="s">
        <v>909</v>
      </c>
      <c r="O177" s="21" t="s">
        <v>34</v>
      </c>
      <c r="P177" s="21" t="s">
        <v>273</v>
      </c>
      <c r="Q177" s="21" t="s">
        <v>59</v>
      </c>
      <c r="R177" s="21" t="s">
        <v>1448</v>
      </c>
      <c r="S177" s="21" t="s">
        <v>514</v>
      </c>
      <c r="V177" s="21" t="s">
        <v>1439</v>
      </c>
      <c r="W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7" s="9">
        <f>+DATE(YEAR(Control[[#This Row],[Fecha Requisición]]),MONTH(Control[[#This Row],[Fecha Requisición]]),1)</f>
        <v>46266</v>
      </c>
      <c r="Y177" s="14" t="str">
        <f>+IF(Control[[#This Row],[Fecha de entrega]]="","",NETWORKDAYS(Control[[#This Row],[Fecha Requisición]],Control[[#This Row],[Fecha de entrega]]))</f>
        <v/>
      </c>
      <c r="Z177" s="21"/>
      <c r="AA177" s="13">
        <f>+_xlfn.ISOWEEKNUM(Control[[#This Row],[Fecha Requisición]])</f>
        <v>36</v>
      </c>
    </row>
    <row r="178" spans="1:27" hidden="1">
      <c r="A178" s="21" t="s">
        <v>1255</v>
      </c>
      <c r="B178" s="21" t="s">
        <v>1256</v>
      </c>
      <c r="C178" s="21" t="s">
        <v>1257</v>
      </c>
      <c r="D178" s="21" t="s">
        <v>1384</v>
      </c>
      <c r="E178" s="21">
        <v>148</v>
      </c>
      <c r="F178" s="21" t="s">
        <v>1258</v>
      </c>
      <c r="G178" s="21" t="s">
        <v>1254</v>
      </c>
      <c r="H178" s="21" t="s">
        <v>1254</v>
      </c>
      <c r="I178" s="21" t="s">
        <v>1254</v>
      </c>
      <c r="J178" s="21" t="s">
        <v>30</v>
      </c>
      <c r="K178" s="5"/>
      <c r="L178" s="5" t="s">
        <v>31</v>
      </c>
      <c r="M178" s="21" t="s">
        <v>1239</v>
      </c>
      <c r="N178" s="21" t="s">
        <v>1192</v>
      </c>
      <c r="O178" s="21" t="s">
        <v>57</v>
      </c>
      <c r="P178" s="21" t="s">
        <v>463</v>
      </c>
      <c r="Q178" s="21" t="s">
        <v>94</v>
      </c>
      <c r="R178" s="21" t="s">
        <v>1385</v>
      </c>
      <c r="S178" s="21" t="s">
        <v>514</v>
      </c>
      <c r="U178" s="2">
        <v>46276</v>
      </c>
      <c r="V178" s="21" t="s">
        <v>1378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8" s="9">
        <f>+DATE(YEAR(Control[[#This Row],[Fecha Requisición]]),MONTH(Control[[#This Row],[Fecha Requisición]]),1)</f>
        <v>46266</v>
      </c>
      <c r="Y178" s="14">
        <f>+IF(Control[[#This Row],[Fecha de entrega]]="","",NETWORKDAYS(Control[[#This Row],[Fecha Requisición]],Control[[#This Row],[Fecha de entrega]]))</f>
        <v>6</v>
      </c>
      <c r="Z178" s="21"/>
      <c r="AA178" s="13">
        <f>+_xlfn.ISOWEEKNUM(Control[[#This Row],[Fecha Requisición]])</f>
        <v>36</v>
      </c>
    </row>
    <row r="179" spans="1:27" hidden="1">
      <c r="A179" s="21" t="s">
        <v>1259</v>
      </c>
      <c r="B179" s="21" t="s">
        <v>1260</v>
      </c>
      <c r="C179" s="21" t="s">
        <v>1261</v>
      </c>
      <c r="D179" s="21" t="s">
        <v>1449</v>
      </c>
      <c r="E179" s="21">
        <v>149</v>
      </c>
      <c r="F179" s="21" t="s">
        <v>1262</v>
      </c>
      <c r="G179" s="21" t="s">
        <v>1254</v>
      </c>
      <c r="H179" s="21" t="s">
        <v>1254</v>
      </c>
      <c r="I179" s="21" t="s">
        <v>1254</v>
      </c>
      <c r="J179" s="21" t="s">
        <v>39</v>
      </c>
      <c r="K179" s="5"/>
      <c r="L179" s="5" t="s">
        <v>31</v>
      </c>
      <c r="M179" s="21" t="s">
        <v>930</v>
      </c>
      <c r="N179" s="21" t="s">
        <v>765</v>
      </c>
      <c r="O179" s="21" t="s">
        <v>57</v>
      </c>
      <c r="P179" s="21" t="s">
        <v>35</v>
      </c>
      <c r="Q179" s="21" t="s">
        <v>94</v>
      </c>
      <c r="R179" s="21" t="s">
        <v>1450</v>
      </c>
      <c r="S179" s="21" t="s">
        <v>514</v>
      </c>
      <c r="V179" s="21" t="s">
        <v>1439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9" s="9">
        <f>+DATE(YEAR(Control[[#This Row],[Fecha Requisición]]),MONTH(Control[[#This Row],[Fecha Requisición]]),1)</f>
        <v>46266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36</v>
      </c>
    </row>
    <row r="180" spans="1:27" hidden="1">
      <c r="A180" s="21" t="s">
        <v>1277</v>
      </c>
      <c r="B180" s="21" t="s">
        <v>1278</v>
      </c>
      <c r="C180" s="21" t="s">
        <v>1279</v>
      </c>
      <c r="D180" s="21" t="s">
        <v>1386</v>
      </c>
      <c r="E180" s="21">
        <v>154</v>
      </c>
      <c r="F180" s="21" t="s">
        <v>1280</v>
      </c>
      <c r="G180" s="21" t="s">
        <v>1272</v>
      </c>
      <c r="H180" s="21" t="s">
        <v>1272</v>
      </c>
      <c r="I180" s="21" t="s">
        <v>1272</v>
      </c>
      <c r="J180" s="21" t="s">
        <v>30</v>
      </c>
      <c r="K180" s="5"/>
      <c r="L180" s="5" t="s">
        <v>31</v>
      </c>
      <c r="M180" s="21" t="s">
        <v>1089</v>
      </c>
      <c r="N180" s="21" t="s">
        <v>975</v>
      </c>
      <c r="O180" s="21" t="s">
        <v>101</v>
      </c>
      <c r="P180" s="21" t="s">
        <v>392</v>
      </c>
      <c r="Q180" s="21" t="s">
        <v>36</v>
      </c>
      <c r="R180" s="21" t="s">
        <v>1387</v>
      </c>
      <c r="S180" s="21" t="s">
        <v>514</v>
      </c>
      <c r="V180" s="21" t="s">
        <v>1375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0" s="9">
        <f>+DATE(YEAR(Control[[#This Row],[Fecha Requisición]]),MONTH(Control[[#This Row],[Fecha Requisición]]),1)</f>
        <v>46266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37</v>
      </c>
    </row>
    <row r="181" spans="1:27" hidden="1">
      <c r="A181" s="21" t="s">
        <v>1277</v>
      </c>
      <c r="B181" s="21" t="s">
        <v>1278</v>
      </c>
      <c r="C181" s="21" t="s">
        <v>1279</v>
      </c>
      <c r="D181" s="21" t="s">
        <v>1388</v>
      </c>
      <c r="E181" s="21">
        <v>154</v>
      </c>
      <c r="F181" s="21" t="s">
        <v>1280</v>
      </c>
      <c r="G181" s="21" t="s">
        <v>1272</v>
      </c>
      <c r="H181" s="21" t="s">
        <v>1272</v>
      </c>
      <c r="I181" s="21" t="s">
        <v>1272</v>
      </c>
      <c r="J181" s="21" t="s">
        <v>39</v>
      </c>
      <c r="K181" s="5"/>
      <c r="L181" s="5" t="s">
        <v>31</v>
      </c>
      <c r="M181" s="21" t="s">
        <v>933</v>
      </c>
      <c r="N181" s="21" t="s">
        <v>975</v>
      </c>
      <c r="O181" s="21" t="s">
        <v>101</v>
      </c>
      <c r="P181" s="21" t="s">
        <v>392</v>
      </c>
      <c r="Q181" s="21" t="s">
        <v>36</v>
      </c>
      <c r="R181" s="21" t="s">
        <v>1389</v>
      </c>
      <c r="S181" s="21" t="s">
        <v>514</v>
      </c>
      <c r="V181" s="21" t="s">
        <v>1375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1" s="9">
        <f>+DATE(YEAR(Control[[#This Row],[Fecha Requisición]]),MONTH(Control[[#This Row],[Fecha Requisición]]),1)</f>
        <v>46266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37</v>
      </c>
    </row>
    <row r="182" spans="1:27" hidden="1">
      <c r="A182" s="21" t="s">
        <v>1281</v>
      </c>
      <c r="B182" s="21" t="s">
        <v>1282</v>
      </c>
      <c r="C182" s="21" t="s">
        <v>1283</v>
      </c>
      <c r="D182" s="21" t="s">
        <v>1390</v>
      </c>
      <c r="E182" s="21">
        <v>155</v>
      </c>
      <c r="F182" s="21" t="s">
        <v>1284</v>
      </c>
      <c r="G182" s="21" t="s">
        <v>1272</v>
      </c>
      <c r="H182" s="21" t="s">
        <v>1272</v>
      </c>
      <c r="I182" s="21" t="s">
        <v>1272</v>
      </c>
      <c r="J182" s="21" t="s">
        <v>30</v>
      </c>
      <c r="K182" s="5"/>
      <c r="L182" s="5" t="s">
        <v>31</v>
      </c>
      <c r="M182" s="21" t="s">
        <v>1089</v>
      </c>
      <c r="N182" s="21" t="s">
        <v>975</v>
      </c>
      <c r="O182" s="21" t="s">
        <v>101</v>
      </c>
      <c r="P182" s="21" t="s">
        <v>124</v>
      </c>
      <c r="Q182" s="21" t="s">
        <v>36</v>
      </c>
      <c r="R182" s="21" t="s">
        <v>1391</v>
      </c>
      <c r="S182" s="21" t="s">
        <v>514</v>
      </c>
      <c r="T182" s="2">
        <v>46276</v>
      </c>
      <c r="V182" s="21" t="s">
        <v>1376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2" s="9">
        <f>+DATE(YEAR(Control[[#This Row],[Fecha Requisición]]),MONTH(Control[[#This Row],[Fecha Requisición]]),1)</f>
        <v>46266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37</v>
      </c>
    </row>
    <row r="183" spans="1:27" hidden="1">
      <c r="A183" s="21" t="s">
        <v>1281</v>
      </c>
      <c r="B183" s="21" t="s">
        <v>1282</v>
      </c>
      <c r="C183" s="21" t="s">
        <v>1283</v>
      </c>
      <c r="D183" s="21" t="s">
        <v>1392</v>
      </c>
      <c r="E183" s="21">
        <v>155</v>
      </c>
      <c r="F183" s="21" t="s">
        <v>1284</v>
      </c>
      <c r="G183" s="21" t="s">
        <v>1272</v>
      </c>
      <c r="H183" s="21" t="s">
        <v>1272</v>
      </c>
      <c r="I183" s="21" t="s">
        <v>1272</v>
      </c>
      <c r="J183" s="21" t="s">
        <v>39</v>
      </c>
      <c r="K183" s="5"/>
      <c r="L183" s="5" t="s">
        <v>31</v>
      </c>
      <c r="M183" s="21" t="s">
        <v>933</v>
      </c>
      <c r="N183" s="21" t="s">
        <v>975</v>
      </c>
      <c r="O183" s="21" t="s">
        <v>101</v>
      </c>
      <c r="P183" s="21" t="s">
        <v>124</v>
      </c>
      <c r="Q183" s="21" t="s">
        <v>36</v>
      </c>
      <c r="R183" s="21" t="s">
        <v>1393</v>
      </c>
      <c r="S183" s="21" t="s">
        <v>514</v>
      </c>
      <c r="T183" s="2">
        <v>46276</v>
      </c>
      <c r="V183" s="21" t="s">
        <v>1376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3" s="9">
        <f>+DATE(YEAR(Control[[#This Row],[Fecha Requisición]]),MONTH(Control[[#This Row],[Fecha Requisición]]),1)</f>
        <v>46266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37</v>
      </c>
    </row>
    <row r="184" spans="1:27" hidden="1">
      <c r="A184" s="21" t="s">
        <v>1281</v>
      </c>
      <c r="B184" s="21" t="s">
        <v>1282</v>
      </c>
      <c r="C184" s="21" t="s">
        <v>1283</v>
      </c>
      <c r="D184" s="21" t="s">
        <v>1394</v>
      </c>
      <c r="E184" s="21">
        <v>155</v>
      </c>
      <c r="F184" s="21" t="s">
        <v>1284</v>
      </c>
      <c r="G184" s="21" t="s">
        <v>1272</v>
      </c>
      <c r="H184" s="21" t="s">
        <v>1272</v>
      </c>
      <c r="I184" s="21" t="s">
        <v>1272</v>
      </c>
      <c r="J184" s="21" t="s">
        <v>30</v>
      </c>
      <c r="K184" s="5"/>
      <c r="L184" s="5" t="s">
        <v>31</v>
      </c>
      <c r="M184" s="21" t="s">
        <v>1242</v>
      </c>
      <c r="N184" s="21" t="s">
        <v>975</v>
      </c>
      <c r="O184" s="21" t="s">
        <v>101</v>
      </c>
      <c r="P184" s="21" t="s">
        <v>124</v>
      </c>
      <c r="Q184" s="21" t="s">
        <v>36</v>
      </c>
      <c r="R184" s="21" t="s">
        <v>1395</v>
      </c>
      <c r="S184" s="21" t="s">
        <v>514</v>
      </c>
      <c r="T184" s="2">
        <v>46276</v>
      </c>
      <c r="V184" s="21" t="s">
        <v>1376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4" s="9">
        <f>+DATE(YEAR(Control[[#This Row],[Fecha Requisición]]),MONTH(Control[[#This Row],[Fecha Requisición]]),1)</f>
        <v>46266</v>
      </c>
      <c r="Y184" s="14" t="str">
        <f>+IF(Control[[#This Row],[Fecha de entrega]]="","",NETWORKDAYS(Control[[#This Row],[Fecha Requisición]],Control[[#This Row],[Fecha de entrega]]))</f>
        <v/>
      </c>
      <c r="Z184" s="21"/>
      <c r="AA184" s="13">
        <f>+_xlfn.ISOWEEKNUM(Control[[#This Row],[Fecha Requisición]])</f>
        <v>37</v>
      </c>
    </row>
    <row r="185" spans="1:27" hidden="1">
      <c r="A185" s="21" t="s">
        <v>1285</v>
      </c>
      <c r="B185" s="21" t="s">
        <v>1286</v>
      </c>
      <c r="C185" s="21" t="s">
        <v>1287</v>
      </c>
      <c r="D185" s="21" t="s">
        <v>1396</v>
      </c>
      <c r="E185" s="21">
        <v>156</v>
      </c>
      <c r="F185" s="21" t="s">
        <v>1288</v>
      </c>
      <c r="G185" s="21" t="s">
        <v>1272</v>
      </c>
      <c r="H185" s="21" t="s">
        <v>1272</v>
      </c>
      <c r="I185" s="21" t="s">
        <v>1272</v>
      </c>
      <c r="J185" s="21" t="s">
        <v>39</v>
      </c>
      <c r="K185" s="5"/>
      <c r="L185" s="5" t="s">
        <v>31</v>
      </c>
      <c r="M185" s="21" t="s">
        <v>1100</v>
      </c>
      <c r="N185" s="21" t="s">
        <v>975</v>
      </c>
      <c r="O185" s="21" t="s">
        <v>57</v>
      </c>
      <c r="P185" s="21" t="s">
        <v>124</v>
      </c>
      <c r="Q185" s="21" t="s">
        <v>36</v>
      </c>
      <c r="R185" s="21" t="s">
        <v>1397</v>
      </c>
      <c r="S185" s="21" t="s">
        <v>514</v>
      </c>
      <c r="T185" s="2">
        <v>46276</v>
      </c>
      <c r="V185" s="21" t="s">
        <v>1377</v>
      </c>
      <c r="W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5" s="9">
        <f>+DATE(YEAR(Control[[#This Row],[Fecha Requisición]]),MONTH(Control[[#This Row],[Fecha Requisición]]),1)</f>
        <v>46266</v>
      </c>
      <c r="Y185" s="14" t="str">
        <f>+IF(Control[[#This Row],[Fecha de entrega]]="","",NETWORKDAYS(Control[[#This Row],[Fecha Requisición]],Control[[#This Row],[Fecha de entrega]]))</f>
        <v/>
      </c>
      <c r="Z185" s="21"/>
      <c r="AA185" s="13">
        <f>+_xlfn.ISOWEEKNUM(Control[[#This Row],[Fecha Requisición]])</f>
        <v>37</v>
      </c>
    </row>
    <row r="186" spans="1:27" hidden="1">
      <c r="A186" s="21" t="s">
        <v>1285</v>
      </c>
      <c r="B186" s="21" t="s">
        <v>1286</v>
      </c>
      <c r="C186" s="21" t="s">
        <v>1287</v>
      </c>
      <c r="D186" s="21" t="s">
        <v>1398</v>
      </c>
      <c r="E186" s="21">
        <v>156</v>
      </c>
      <c r="F186" s="21" t="s">
        <v>1288</v>
      </c>
      <c r="G186" s="21" t="s">
        <v>1272</v>
      </c>
      <c r="H186" s="21" t="s">
        <v>1272</v>
      </c>
      <c r="I186" s="21" t="s">
        <v>1272</v>
      </c>
      <c r="J186" s="21" t="s">
        <v>39</v>
      </c>
      <c r="K186" s="5"/>
      <c r="L186" s="5" t="s">
        <v>31</v>
      </c>
      <c r="M186" s="21" t="s">
        <v>930</v>
      </c>
      <c r="N186" s="21" t="s">
        <v>975</v>
      </c>
      <c r="O186" s="21" t="s">
        <v>57</v>
      </c>
      <c r="P186" s="21" t="s">
        <v>124</v>
      </c>
      <c r="Q186" s="21" t="s">
        <v>36</v>
      </c>
      <c r="R186" s="21" t="s">
        <v>1399</v>
      </c>
      <c r="S186" s="21" t="s">
        <v>514</v>
      </c>
      <c r="T186" s="2">
        <v>46276</v>
      </c>
      <c r="V186" s="21" t="s">
        <v>1377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6" s="9">
        <f>+DATE(YEAR(Control[[#This Row],[Fecha Requisición]]),MONTH(Control[[#This Row],[Fecha Requisición]]),1)</f>
        <v>46266</v>
      </c>
      <c r="Y186" s="14" t="str">
        <f>+IF(Control[[#This Row],[Fecha de entrega]]="","",NETWORKDAYS(Control[[#This Row],[Fecha Requisición]],Control[[#This Row],[Fecha de entrega]]))</f>
        <v/>
      </c>
      <c r="Z186" s="21"/>
      <c r="AA186" s="13">
        <f>+_xlfn.ISOWEEKNUM(Control[[#This Row],[Fecha Requisición]])</f>
        <v>37</v>
      </c>
    </row>
    <row r="187" spans="1:27" hidden="1">
      <c r="A187" s="21" t="s">
        <v>1294</v>
      </c>
      <c r="B187" s="21" t="s">
        <v>1295</v>
      </c>
      <c r="C187" s="21" t="s">
        <v>1296</v>
      </c>
      <c r="D187" s="21" t="s">
        <v>1400</v>
      </c>
      <c r="E187" s="21">
        <v>158</v>
      </c>
      <c r="F187" s="21" t="s">
        <v>1297</v>
      </c>
      <c r="G187" s="21" t="s">
        <v>1272</v>
      </c>
      <c r="H187" s="21" t="s">
        <v>1272</v>
      </c>
      <c r="I187" s="21" t="s">
        <v>1272</v>
      </c>
      <c r="J187" s="21" t="s">
        <v>30</v>
      </c>
      <c r="K187" s="5">
        <v>271403</v>
      </c>
      <c r="L187" s="5" t="s">
        <v>55</v>
      </c>
      <c r="M187" s="21" t="s">
        <v>1113</v>
      </c>
      <c r="N187" s="21" t="s">
        <v>204</v>
      </c>
      <c r="O187" s="21" t="s">
        <v>57</v>
      </c>
      <c r="P187" s="21" t="s">
        <v>58</v>
      </c>
      <c r="Q187" s="21" t="s">
        <v>36</v>
      </c>
      <c r="R187" s="21" t="s">
        <v>1401</v>
      </c>
      <c r="S187" s="21" t="s">
        <v>514</v>
      </c>
      <c r="U187" s="2">
        <v>46276</v>
      </c>
      <c r="V187" s="21" t="s">
        <v>1378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7" s="9">
        <f>+DATE(YEAR(Control[[#This Row],[Fecha Requisición]]),MONTH(Control[[#This Row],[Fecha Requisición]]),1)</f>
        <v>46266</v>
      </c>
      <c r="Y187" s="14">
        <f>+IF(Control[[#This Row],[Fecha de entrega]]="","",NETWORKDAYS(Control[[#This Row],[Fecha Requisición]],Control[[#This Row],[Fecha de entrega]]))</f>
        <v>4</v>
      </c>
      <c r="Z187" s="21"/>
      <c r="AA187" s="13">
        <f>+_xlfn.ISOWEEKNUM(Control[[#This Row],[Fecha Requisición]])</f>
        <v>37</v>
      </c>
    </row>
    <row r="188" spans="1:27" hidden="1">
      <c r="A188" s="21" t="s">
        <v>1298</v>
      </c>
      <c r="B188" s="21" t="s">
        <v>1299</v>
      </c>
      <c r="C188" s="21" t="s">
        <v>1300</v>
      </c>
      <c r="D188" s="21" t="s">
        <v>1402</v>
      </c>
      <c r="E188" s="21">
        <v>159</v>
      </c>
      <c r="F188" s="21" t="s">
        <v>1301</v>
      </c>
      <c r="G188" s="21" t="s">
        <v>1272</v>
      </c>
      <c r="H188" s="21" t="s">
        <v>1272</v>
      </c>
      <c r="I188" s="21" t="s">
        <v>1272</v>
      </c>
      <c r="J188" s="21" t="s">
        <v>30</v>
      </c>
      <c r="K188" s="5">
        <v>221221</v>
      </c>
      <c r="L188" s="5" t="s">
        <v>55</v>
      </c>
      <c r="M188" s="21" t="s">
        <v>1113</v>
      </c>
      <c r="N188" s="21" t="s">
        <v>1302</v>
      </c>
      <c r="O188" s="21" t="s">
        <v>101</v>
      </c>
      <c r="P188" s="21" t="s">
        <v>58</v>
      </c>
      <c r="Q188" s="21" t="s">
        <v>36</v>
      </c>
      <c r="R188" s="21" t="s">
        <v>1403</v>
      </c>
      <c r="S188" s="21" t="s">
        <v>514</v>
      </c>
      <c r="U188" s="2">
        <v>46276</v>
      </c>
      <c r="V188" s="21" t="s">
        <v>1379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8" s="9">
        <f>+DATE(YEAR(Control[[#This Row],[Fecha Requisición]]),MONTH(Control[[#This Row],[Fecha Requisición]]),1)</f>
        <v>46266</v>
      </c>
      <c r="Y188" s="14">
        <f>+IF(Control[[#This Row],[Fecha de entrega]]="","",NETWORKDAYS(Control[[#This Row],[Fecha Requisición]],Control[[#This Row],[Fecha de entrega]]))</f>
        <v>4</v>
      </c>
      <c r="Z188" s="21"/>
      <c r="AA188" s="13">
        <f>+_xlfn.ISOWEEKNUM(Control[[#This Row],[Fecha Requisición]])</f>
        <v>37</v>
      </c>
    </row>
    <row r="189" spans="1:27" hidden="1">
      <c r="A189" s="21" t="s">
        <v>1303</v>
      </c>
      <c r="B189" s="21" t="s">
        <v>1304</v>
      </c>
      <c r="C189" s="21" t="s">
        <v>1305</v>
      </c>
      <c r="D189" s="21" t="s">
        <v>1404</v>
      </c>
      <c r="E189" s="21">
        <v>160</v>
      </c>
      <c r="F189" s="21" t="s">
        <v>1306</v>
      </c>
      <c r="G189" s="21" t="s">
        <v>1272</v>
      </c>
      <c r="H189" s="21" t="s">
        <v>1272</v>
      </c>
      <c r="I189" s="21" t="s">
        <v>1272</v>
      </c>
      <c r="J189" s="21" t="s">
        <v>30</v>
      </c>
      <c r="K189" s="5"/>
      <c r="L189" s="5" t="s">
        <v>31</v>
      </c>
      <c r="M189" s="21" t="s">
        <v>1089</v>
      </c>
      <c r="N189" s="21" t="s">
        <v>167</v>
      </c>
      <c r="O189" s="21" t="s">
        <v>197</v>
      </c>
      <c r="P189" s="21" t="s">
        <v>58</v>
      </c>
      <c r="Q189" s="21" t="s">
        <v>36</v>
      </c>
      <c r="R189" s="21" t="s">
        <v>1405</v>
      </c>
      <c r="S189" s="21" t="s">
        <v>514</v>
      </c>
      <c r="V189" s="21" t="s">
        <v>1380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9" s="9">
        <f>+DATE(YEAR(Control[[#This Row],[Fecha Requisición]]),MONTH(Control[[#This Row],[Fecha Requisición]]),1)</f>
        <v>46266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37</v>
      </c>
    </row>
    <row r="190" spans="1:27" hidden="1">
      <c r="A190" s="21" t="s">
        <v>1303</v>
      </c>
      <c r="B190" s="21" t="s">
        <v>1304</v>
      </c>
      <c r="C190" s="21" t="s">
        <v>1305</v>
      </c>
      <c r="D190" s="21" t="s">
        <v>1406</v>
      </c>
      <c r="E190" s="21">
        <v>160</v>
      </c>
      <c r="F190" s="21" t="s">
        <v>1306</v>
      </c>
      <c r="G190" s="21" t="s">
        <v>1272</v>
      </c>
      <c r="H190" s="21" t="s">
        <v>1272</v>
      </c>
      <c r="I190" s="21" t="s">
        <v>1272</v>
      </c>
      <c r="J190" s="21" t="s">
        <v>39</v>
      </c>
      <c r="K190" s="5"/>
      <c r="L190" s="5" t="s">
        <v>31</v>
      </c>
      <c r="M190" s="21" t="s">
        <v>924</v>
      </c>
      <c r="N190" s="21" t="s">
        <v>167</v>
      </c>
      <c r="O190" s="21" t="s">
        <v>197</v>
      </c>
      <c r="P190" s="21" t="s">
        <v>58</v>
      </c>
      <c r="Q190" s="21" t="s">
        <v>36</v>
      </c>
      <c r="R190" s="21" t="s">
        <v>1407</v>
      </c>
      <c r="S190" s="21" t="s">
        <v>514</v>
      </c>
      <c r="V190" s="21" t="s">
        <v>1380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0" s="9">
        <f>+DATE(YEAR(Control[[#This Row],[Fecha Requisición]]),MONTH(Control[[#This Row],[Fecha Requisición]]),1)</f>
        <v>46266</v>
      </c>
      <c r="Y190" s="14" t="str">
        <f>+IF(Control[[#This Row],[Fecha de entrega]]="","",NETWORKDAYS(Control[[#This Row],[Fecha Requisición]],Control[[#This Row],[Fecha de entrega]]))</f>
        <v/>
      </c>
      <c r="Z190" s="21"/>
      <c r="AA190" s="13">
        <f>+_xlfn.ISOWEEKNUM(Control[[#This Row],[Fecha Requisición]])</f>
        <v>37</v>
      </c>
    </row>
    <row r="191" spans="1:27" hidden="1">
      <c r="A191" s="21" t="s">
        <v>1303</v>
      </c>
      <c r="B191" s="21" t="s">
        <v>1304</v>
      </c>
      <c r="C191" s="21" t="s">
        <v>1305</v>
      </c>
      <c r="D191" s="21" t="s">
        <v>1408</v>
      </c>
      <c r="E191" s="21">
        <v>160</v>
      </c>
      <c r="F191" s="21" t="s">
        <v>1306</v>
      </c>
      <c r="G191" s="21" t="s">
        <v>1272</v>
      </c>
      <c r="H191" s="21" t="s">
        <v>1272</v>
      </c>
      <c r="I191" s="21" t="s">
        <v>1272</v>
      </c>
      <c r="J191" s="21" t="s">
        <v>30</v>
      </c>
      <c r="K191" s="5"/>
      <c r="L191" s="5" t="s">
        <v>31</v>
      </c>
      <c r="M191" s="21" t="s">
        <v>927</v>
      </c>
      <c r="N191" s="21" t="s">
        <v>167</v>
      </c>
      <c r="O191" s="21" t="s">
        <v>197</v>
      </c>
      <c r="P191" s="21" t="s">
        <v>58</v>
      </c>
      <c r="Q191" s="21" t="s">
        <v>36</v>
      </c>
      <c r="R191" s="21" t="s">
        <v>1409</v>
      </c>
      <c r="S191" s="21" t="s">
        <v>514</v>
      </c>
      <c r="V191" s="21" t="s">
        <v>1380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1" s="9">
        <f>+DATE(YEAR(Control[[#This Row],[Fecha Requisición]]),MONTH(Control[[#This Row],[Fecha Requisición]]),1)</f>
        <v>46266</v>
      </c>
      <c r="Y191" s="14" t="str">
        <f>+IF(Control[[#This Row],[Fecha de entrega]]="","",NETWORKDAYS(Control[[#This Row],[Fecha Requisición]],Control[[#This Row],[Fecha de entrega]]))</f>
        <v/>
      </c>
      <c r="Z191" s="21"/>
      <c r="AA191" s="13">
        <f>+_xlfn.ISOWEEKNUM(Control[[#This Row],[Fecha Requisición]])</f>
        <v>37</v>
      </c>
    </row>
    <row r="192" spans="1:27" hidden="1">
      <c r="A192" s="21" t="s">
        <v>1307</v>
      </c>
      <c r="B192" s="21" t="s">
        <v>1308</v>
      </c>
      <c r="C192" s="21" t="s">
        <v>1308</v>
      </c>
      <c r="D192" s="21" t="s">
        <v>1410</v>
      </c>
      <c r="E192" s="21">
        <v>161</v>
      </c>
      <c r="F192" s="21" t="s">
        <v>1309</v>
      </c>
      <c r="G192" s="21" t="s">
        <v>1272</v>
      </c>
      <c r="H192" s="21" t="s">
        <v>1272</v>
      </c>
      <c r="I192" s="21" t="s">
        <v>1272</v>
      </c>
      <c r="J192" s="21" t="s">
        <v>30</v>
      </c>
      <c r="K192" s="5"/>
      <c r="L192" s="5"/>
      <c r="M192" s="21" t="s">
        <v>927</v>
      </c>
      <c r="N192" s="21"/>
      <c r="O192" s="21"/>
      <c r="P192" s="21"/>
      <c r="Q192" s="21"/>
      <c r="R192" s="21" t="s">
        <v>1411</v>
      </c>
      <c r="S192" s="21" t="s">
        <v>514</v>
      </c>
      <c r="U192" s="2">
        <v>46279</v>
      </c>
      <c r="V192" s="21" t="s">
        <v>1378</v>
      </c>
      <c r="W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2" s="9">
        <f>+DATE(YEAR(Control[[#This Row],[Fecha Requisición]]),MONTH(Control[[#This Row],[Fecha Requisición]]),1)</f>
        <v>46266</v>
      </c>
      <c r="Y192" s="14">
        <f>+IF(Control[[#This Row],[Fecha de entrega]]="","",NETWORKDAYS(Control[[#This Row],[Fecha Requisición]],Control[[#This Row],[Fecha de entrega]]))</f>
        <v>5</v>
      </c>
      <c r="Z192" s="21"/>
      <c r="AA192" s="13">
        <f>+_xlfn.ISOWEEKNUM(Control[[#This Row],[Fecha Requisición]])</f>
        <v>37</v>
      </c>
    </row>
    <row r="193" spans="1:27" hidden="1">
      <c r="A193" s="21" t="s">
        <v>1310</v>
      </c>
      <c r="B193" s="21" t="s">
        <v>1311</v>
      </c>
      <c r="C193" s="21" t="s">
        <v>1312</v>
      </c>
      <c r="D193" s="21" t="s">
        <v>1412</v>
      </c>
      <c r="E193" s="21">
        <v>162</v>
      </c>
      <c r="F193" s="21" t="s">
        <v>1313</v>
      </c>
      <c r="G193" s="21" t="s">
        <v>1272</v>
      </c>
      <c r="H193" s="21" t="s">
        <v>1272</v>
      </c>
      <c r="I193" s="21" t="s">
        <v>1272</v>
      </c>
      <c r="J193" s="21" t="s">
        <v>39</v>
      </c>
      <c r="K193" s="5">
        <v>249900</v>
      </c>
      <c r="L193" s="5" t="s">
        <v>55</v>
      </c>
      <c r="M193" s="21" t="s">
        <v>1413</v>
      </c>
      <c r="N193" s="21" t="s">
        <v>383</v>
      </c>
      <c r="O193" s="21" t="s">
        <v>384</v>
      </c>
      <c r="P193" s="21" t="s">
        <v>58</v>
      </c>
      <c r="Q193" s="21" t="s">
        <v>36</v>
      </c>
      <c r="R193" s="21" t="s">
        <v>1414</v>
      </c>
      <c r="S193" s="21" t="s">
        <v>514</v>
      </c>
      <c r="V193" s="21" t="s">
        <v>1381</v>
      </c>
      <c r="W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3" s="9">
        <f>+DATE(YEAR(Control[[#This Row],[Fecha Requisición]]),MONTH(Control[[#This Row],[Fecha Requisición]]),1)</f>
        <v>46266</v>
      </c>
      <c r="Y193" s="14" t="str">
        <f>+IF(Control[[#This Row],[Fecha de entrega]]="","",NETWORKDAYS(Control[[#This Row],[Fecha Requisición]],Control[[#This Row],[Fecha de entrega]]))</f>
        <v/>
      </c>
      <c r="Z193" s="21"/>
      <c r="AA193" s="13">
        <f>+_xlfn.ISOWEEKNUM(Control[[#This Row],[Fecha Requisición]])</f>
        <v>37</v>
      </c>
    </row>
    <row r="194" spans="1:27" hidden="1">
      <c r="A194" s="21" t="s">
        <v>1333</v>
      </c>
      <c r="B194" s="21" t="s">
        <v>1334</v>
      </c>
      <c r="C194" s="21" t="s">
        <v>1335</v>
      </c>
      <c r="D194" s="21" t="s">
        <v>1451</v>
      </c>
      <c r="E194" s="21">
        <v>167</v>
      </c>
      <c r="F194" s="21" t="s">
        <v>1336</v>
      </c>
      <c r="G194" s="21" t="s">
        <v>1328</v>
      </c>
      <c r="H194" s="21" t="s">
        <v>1328</v>
      </c>
      <c r="I194" s="21" t="s">
        <v>1328</v>
      </c>
      <c r="J194" s="21" t="s">
        <v>39</v>
      </c>
      <c r="K194" s="5"/>
      <c r="L194" s="5"/>
      <c r="M194" s="21" t="s">
        <v>1452</v>
      </c>
      <c r="N194" s="21"/>
      <c r="O194" s="21"/>
      <c r="P194" s="21"/>
      <c r="Q194" s="21"/>
      <c r="R194" s="21" t="s">
        <v>1453</v>
      </c>
      <c r="S194" s="21" t="s">
        <v>514</v>
      </c>
      <c r="V194" s="21" t="s">
        <v>1439</v>
      </c>
      <c r="W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4" s="9">
        <f>+DATE(YEAR(Control[[#This Row],[Fecha Requisición]]),MONTH(Control[[#This Row],[Fecha Requisición]]),1)</f>
        <v>46266</v>
      </c>
      <c r="Y194" s="14" t="str">
        <f>+IF(Control[[#This Row],[Fecha de entrega]]="","",NETWORKDAYS(Control[[#This Row],[Fecha Requisición]],Control[[#This Row],[Fecha de entrega]]))</f>
        <v/>
      </c>
      <c r="Z194" s="21"/>
      <c r="AA194" s="13">
        <f>+_xlfn.ISOWEEKNUM(Control[[#This Row],[Fecha Requisición]])</f>
        <v>37</v>
      </c>
    </row>
    <row r="195" spans="1:27" hidden="1">
      <c r="A195" s="21" t="s">
        <v>1337</v>
      </c>
      <c r="B195" s="21" t="s">
        <v>1338</v>
      </c>
      <c r="C195" s="21" t="s">
        <v>1339</v>
      </c>
      <c r="D195" s="21" t="s">
        <v>1454</v>
      </c>
      <c r="E195" s="21">
        <v>168</v>
      </c>
      <c r="F195" s="21" t="s">
        <v>1340</v>
      </c>
      <c r="G195" s="21" t="s">
        <v>1328</v>
      </c>
      <c r="H195" s="21" t="s">
        <v>1328</v>
      </c>
      <c r="I195" s="21" t="s">
        <v>1328</v>
      </c>
      <c r="J195" s="21" t="s">
        <v>39</v>
      </c>
      <c r="K195" s="5">
        <v>71340</v>
      </c>
      <c r="L195" s="5" t="s">
        <v>55</v>
      </c>
      <c r="M195" s="21" t="s">
        <v>1455</v>
      </c>
      <c r="N195" s="21" t="s">
        <v>204</v>
      </c>
      <c r="O195" s="21" t="s">
        <v>57</v>
      </c>
      <c r="P195" s="21" t="s">
        <v>58</v>
      </c>
      <c r="Q195" s="21" t="s">
        <v>36</v>
      </c>
      <c r="R195" s="21" t="s">
        <v>1456</v>
      </c>
      <c r="S195" s="21" t="s">
        <v>514</v>
      </c>
      <c r="V195" s="21" t="s">
        <v>1439</v>
      </c>
      <c r="W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5" s="9">
        <f>+DATE(YEAR(Control[[#This Row],[Fecha Requisición]]),MONTH(Control[[#This Row],[Fecha Requisición]]),1)</f>
        <v>46266</v>
      </c>
      <c r="Y195" s="14" t="str">
        <f>+IF(Control[[#This Row],[Fecha de entrega]]="","",NETWORKDAYS(Control[[#This Row],[Fecha Requisición]],Control[[#This Row],[Fecha de entrega]]))</f>
        <v/>
      </c>
      <c r="Z195" s="21"/>
      <c r="AA195" s="13">
        <f>+_xlfn.ISOWEEKNUM(Control[[#This Row],[Fecha Requisición]])</f>
        <v>37</v>
      </c>
    </row>
    <row r="196" spans="1:27" hidden="1">
      <c r="A196" s="21" t="s">
        <v>1345</v>
      </c>
      <c r="B196" s="21" t="s">
        <v>1346</v>
      </c>
      <c r="C196" s="21" t="s">
        <v>1347</v>
      </c>
      <c r="D196" s="21" t="s">
        <v>1457</v>
      </c>
      <c r="E196" s="21">
        <v>170</v>
      </c>
      <c r="F196" s="21" t="s">
        <v>1348</v>
      </c>
      <c r="G196" s="21" t="s">
        <v>1328</v>
      </c>
      <c r="H196" s="21" t="s">
        <v>1328</v>
      </c>
      <c r="I196" s="21" t="s">
        <v>1328</v>
      </c>
      <c r="J196" s="21" t="s">
        <v>30</v>
      </c>
      <c r="K196" s="5"/>
      <c r="L196" s="5" t="s">
        <v>31</v>
      </c>
      <c r="M196" s="21" t="s">
        <v>936</v>
      </c>
      <c r="N196" s="21" t="s">
        <v>167</v>
      </c>
      <c r="O196" s="21" t="s">
        <v>197</v>
      </c>
      <c r="P196" s="21" t="s">
        <v>124</v>
      </c>
      <c r="Q196" s="21" t="s">
        <v>36</v>
      </c>
      <c r="R196" s="21" t="s">
        <v>1458</v>
      </c>
      <c r="S196" s="21" t="s">
        <v>514</v>
      </c>
      <c r="V196" s="21" t="s">
        <v>1440</v>
      </c>
      <c r="W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6" s="9">
        <f>+DATE(YEAR(Control[[#This Row],[Fecha Requisición]]),MONTH(Control[[#This Row],[Fecha Requisición]]),1)</f>
        <v>46266</v>
      </c>
      <c r="Y196" s="14" t="str">
        <f>+IF(Control[[#This Row],[Fecha de entrega]]="","",NETWORKDAYS(Control[[#This Row],[Fecha Requisición]],Control[[#This Row],[Fecha de entrega]]))</f>
        <v/>
      </c>
      <c r="Z196" s="21"/>
      <c r="AA196" s="13">
        <f>+_xlfn.ISOWEEKNUM(Control[[#This Row],[Fecha Requisición]])</f>
        <v>37</v>
      </c>
    </row>
    <row r="197" spans="1:27" hidden="1">
      <c r="A197" s="21" t="s">
        <v>1349</v>
      </c>
      <c r="B197" s="21" t="s">
        <v>1350</v>
      </c>
      <c r="C197" s="21" t="s">
        <v>1351</v>
      </c>
      <c r="D197" s="21" t="s">
        <v>1459</v>
      </c>
      <c r="E197" s="21">
        <v>171</v>
      </c>
      <c r="F197" s="21" t="s">
        <v>1352</v>
      </c>
      <c r="G197" s="21" t="s">
        <v>1328</v>
      </c>
      <c r="H197" s="21" t="s">
        <v>1328</v>
      </c>
      <c r="I197" s="21" t="s">
        <v>1328</v>
      </c>
      <c r="J197" s="21" t="s">
        <v>30</v>
      </c>
      <c r="K197" s="5"/>
      <c r="L197" s="5" t="s">
        <v>31</v>
      </c>
      <c r="M197" s="21" t="s">
        <v>1089</v>
      </c>
      <c r="N197" s="21" t="s">
        <v>167</v>
      </c>
      <c r="O197" s="21" t="s">
        <v>197</v>
      </c>
      <c r="P197" s="21" t="s">
        <v>124</v>
      </c>
      <c r="Q197" s="21" t="s">
        <v>36</v>
      </c>
      <c r="R197" s="21" t="s">
        <v>1460</v>
      </c>
      <c r="S197" s="21" t="s">
        <v>514</v>
      </c>
      <c r="V197" s="21" t="s">
        <v>1441</v>
      </c>
      <c r="W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7" s="9">
        <f>+DATE(YEAR(Control[[#This Row],[Fecha Requisición]]),MONTH(Control[[#This Row],[Fecha Requisición]]),1)</f>
        <v>46266</v>
      </c>
      <c r="Y197" s="14" t="str">
        <f>+IF(Control[[#This Row],[Fecha de entrega]]="","",NETWORKDAYS(Control[[#This Row],[Fecha Requisición]],Control[[#This Row],[Fecha de entrega]]))</f>
        <v/>
      </c>
      <c r="Z197" s="21"/>
      <c r="AA197" s="13">
        <f>+_xlfn.ISOWEEKNUM(Control[[#This Row],[Fecha Requisición]])</f>
        <v>37</v>
      </c>
    </row>
    <row r="198" spans="1:27" hidden="1">
      <c r="A198" s="21" t="s">
        <v>1349</v>
      </c>
      <c r="B198" s="21" t="s">
        <v>1350</v>
      </c>
      <c r="C198" s="21" t="s">
        <v>1351</v>
      </c>
      <c r="D198" s="21" t="s">
        <v>1461</v>
      </c>
      <c r="E198" s="21">
        <v>171</v>
      </c>
      <c r="F198" s="21" t="s">
        <v>1352</v>
      </c>
      <c r="G198" s="21" t="s">
        <v>1328</v>
      </c>
      <c r="H198" s="21" t="s">
        <v>1328</v>
      </c>
      <c r="I198" s="21" t="s">
        <v>1328</v>
      </c>
      <c r="J198" s="21" t="s">
        <v>39</v>
      </c>
      <c r="K198" s="5"/>
      <c r="L198" s="5" t="s">
        <v>31</v>
      </c>
      <c r="M198" s="21" t="s">
        <v>924</v>
      </c>
      <c r="N198" s="21" t="s">
        <v>167</v>
      </c>
      <c r="O198" s="21" t="s">
        <v>197</v>
      </c>
      <c r="P198" s="21" t="s">
        <v>124</v>
      </c>
      <c r="Q198" s="21" t="s">
        <v>36</v>
      </c>
      <c r="R198" s="21" t="s">
        <v>1462</v>
      </c>
      <c r="S198" s="21" t="s">
        <v>514</v>
      </c>
      <c r="V198" s="21" t="s">
        <v>1441</v>
      </c>
      <c r="W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8" s="9">
        <f>+DATE(YEAR(Control[[#This Row],[Fecha Requisición]]),MONTH(Control[[#This Row],[Fecha Requisición]]),1)</f>
        <v>46266</v>
      </c>
      <c r="Y198" s="14" t="str">
        <f>+IF(Control[[#This Row],[Fecha de entrega]]="","",NETWORKDAYS(Control[[#This Row],[Fecha Requisición]],Control[[#This Row],[Fecha de entrega]]))</f>
        <v/>
      </c>
      <c r="Z198" s="21"/>
      <c r="AA198" s="13">
        <f>+_xlfn.ISOWEEKNUM(Control[[#This Row],[Fecha Requisición]])</f>
        <v>37</v>
      </c>
    </row>
    <row r="199" spans="1:27" hidden="1">
      <c r="A199" s="21" t="s">
        <v>199</v>
      </c>
      <c r="B199" s="21" t="s">
        <v>200</v>
      </c>
      <c r="C199" s="21" t="s">
        <v>201</v>
      </c>
      <c r="D199" s="21"/>
      <c r="E199" s="21">
        <v>18</v>
      </c>
      <c r="F199" s="21" t="s">
        <v>202</v>
      </c>
      <c r="G199" s="21" t="s">
        <v>203</v>
      </c>
      <c r="H199" s="21" t="s">
        <v>203</v>
      </c>
      <c r="I199" s="21"/>
      <c r="J199" s="21"/>
      <c r="K199" s="5"/>
      <c r="L199" s="5" t="s">
        <v>55</v>
      </c>
      <c r="M199" s="21"/>
      <c r="N199" s="21" t="s">
        <v>204</v>
      </c>
      <c r="O199" s="21" t="s">
        <v>86</v>
      </c>
      <c r="P199" s="21" t="s">
        <v>58</v>
      </c>
      <c r="Q199" s="21" t="s">
        <v>36</v>
      </c>
      <c r="R199" s="21"/>
      <c r="S199" s="21" t="s">
        <v>641</v>
      </c>
      <c r="V199" s="21" t="s">
        <v>641</v>
      </c>
      <c r="W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9" s="9">
        <f>+DATE(YEAR(Control[[#This Row],[Fecha Requisición]]),MONTH(Control[[#This Row],[Fecha Requisición]]),1)</f>
        <v>46174</v>
      </c>
      <c r="Y199" s="14" t="str">
        <f>+IF(Control[[#This Row],[Fecha de entrega]]="","",NETWORKDAYS(Control[[#This Row],[Fecha Requisición]],Control[[#This Row],[Fecha de entrega]]))</f>
        <v/>
      </c>
      <c r="Z199" s="21"/>
      <c r="AA199" s="13">
        <f>+_xlfn.ISOWEEKNUM(Control[[#This Row],[Fecha Requisición]])</f>
        <v>23</v>
      </c>
    </row>
    <row r="200" spans="1:27" hidden="1">
      <c r="A200" s="21" t="s">
        <v>205</v>
      </c>
      <c r="B200" s="21" t="s">
        <v>206</v>
      </c>
      <c r="C200" s="21" t="s">
        <v>716</v>
      </c>
      <c r="D200" s="21"/>
      <c r="E200" s="21">
        <v>21</v>
      </c>
      <c r="F200" s="21" t="s">
        <v>207</v>
      </c>
      <c r="G200" s="21" t="s">
        <v>195</v>
      </c>
      <c r="H200" s="21" t="s">
        <v>195</v>
      </c>
      <c r="I200" s="21"/>
      <c r="J200" s="21"/>
      <c r="K200" s="5"/>
      <c r="L200" s="5" t="s">
        <v>31</v>
      </c>
      <c r="M200" s="21"/>
      <c r="N200" s="21" t="s">
        <v>167</v>
      </c>
      <c r="O200" s="21" t="s">
        <v>86</v>
      </c>
      <c r="P200" s="21" t="s">
        <v>35</v>
      </c>
      <c r="Q200" s="21" t="s">
        <v>36</v>
      </c>
      <c r="R200" s="21"/>
      <c r="S200" s="21" t="s">
        <v>641</v>
      </c>
      <c r="V200" s="21" t="s">
        <v>641</v>
      </c>
      <c r="W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0" s="9">
        <f>+DATE(YEAR(Control[[#This Row],[Fecha Requisición]]),MONTH(Control[[#This Row],[Fecha Requisición]]),1)</f>
        <v>46174</v>
      </c>
      <c r="Y200" s="14" t="str">
        <f>+IF(Control[[#This Row],[Fecha de entrega]]="","",NETWORKDAYS(Control[[#This Row],[Fecha Requisición]],Control[[#This Row],[Fecha de entrega]]))</f>
        <v/>
      </c>
      <c r="Z200" s="21"/>
      <c r="AA200" s="13">
        <f>+_xlfn.ISOWEEKNUM(Control[[#This Row],[Fecha Requisición]])</f>
        <v>23</v>
      </c>
    </row>
    <row r="201" spans="1:27" hidden="1">
      <c r="A201" s="21" t="s">
        <v>208</v>
      </c>
      <c r="B201" s="21" t="s">
        <v>209</v>
      </c>
      <c r="C201" s="21" t="s">
        <v>210</v>
      </c>
      <c r="D201" s="21"/>
      <c r="E201" s="21">
        <v>26</v>
      </c>
      <c r="F201" s="21" t="s">
        <v>211</v>
      </c>
      <c r="G201" s="21" t="s">
        <v>212</v>
      </c>
      <c r="H201" s="21" t="s">
        <v>212</v>
      </c>
      <c r="I201" s="21"/>
      <c r="J201" s="21"/>
      <c r="K201" s="5"/>
      <c r="L201" s="5" t="s">
        <v>31</v>
      </c>
      <c r="M201" s="21"/>
      <c r="N201" s="21" t="s">
        <v>213</v>
      </c>
      <c r="O201" s="21" t="s">
        <v>101</v>
      </c>
      <c r="P201" s="21" t="s">
        <v>124</v>
      </c>
      <c r="Q201" s="21" t="s">
        <v>36</v>
      </c>
      <c r="R201" s="21"/>
      <c r="S201" s="21" t="s">
        <v>641</v>
      </c>
      <c r="V201" s="21" t="s">
        <v>641</v>
      </c>
      <c r="W2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1" s="9">
        <f>+DATE(YEAR(Control[[#This Row],[Fecha Requisición]]),MONTH(Control[[#This Row],[Fecha Requisición]]),1)</f>
        <v>46174</v>
      </c>
      <c r="Y201" s="14" t="str">
        <f>+IF(Control[[#This Row],[Fecha de entrega]]="","",NETWORKDAYS(Control[[#This Row],[Fecha Requisición]],Control[[#This Row],[Fecha de entrega]]))</f>
        <v/>
      </c>
      <c r="Z201" s="21"/>
      <c r="AA201" s="13">
        <f>+_xlfn.ISOWEEKNUM(Control[[#This Row],[Fecha Requisición]])</f>
        <v>25</v>
      </c>
    </row>
    <row r="202" spans="1:27" hidden="1">
      <c r="A202" s="21" t="s">
        <v>214</v>
      </c>
      <c r="B202" s="21" t="s">
        <v>215</v>
      </c>
      <c r="C202" s="21" t="s">
        <v>216</v>
      </c>
      <c r="D202" s="21"/>
      <c r="E202" s="21">
        <v>27</v>
      </c>
      <c r="F202" s="21" t="s">
        <v>217</v>
      </c>
      <c r="G202" s="21" t="s">
        <v>218</v>
      </c>
      <c r="H202" s="21" t="s">
        <v>218</v>
      </c>
      <c r="I202" s="21"/>
      <c r="J202" s="21"/>
      <c r="K202" s="5"/>
      <c r="L202" s="5" t="s">
        <v>31</v>
      </c>
      <c r="M202" s="21"/>
      <c r="N202" s="21" t="s">
        <v>219</v>
      </c>
      <c r="O202" s="21" t="s">
        <v>101</v>
      </c>
      <c r="P202" s="21" t="s">
        <v>124</v>
      </c>
      <c r="Q202" s="21" t="s">
        <v>36</v>
      </c>
      <c r="R202" s="21"/>
      <c r="S202" s="21" t="s">
        <v>641</v>
      </c>
      <c r="V202" s="21" t="s">
        <v>641</v>
      </c>
      <c r="W2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2" s="9">
        <f>+DATE(YEAR(Control[[#This Row],[Fecha Requisición]]),MONTH(Control[[#This Row],[Fecha Requisición]]),1)</f>
        <v>46174</v>
      </c>
      <c r="Y202" s="14" t="str">
        <f>+IF(Control[[#This Row],[Fecha de entrega]]="","",NETWORKDAYS(Control[[#This Row],[Fecha Requisición]],Control[[#This Row],[Fecha de entrega]]))</f>
        <v/>
      </c>
      <c r="Z202" s="21"/>
      <c r="AA202" s="13">
        <f>+_xlfn.ISOWEEKNUM(Control[[#This Row],[Fecha Requisición]])</f>
        <v>24</v>
      </c>
    </row>
    <row r="203" spans="1:27" hidden="1">
      <c r="A203" s="21" t="s">
        <v>220</v>
      </c>
      <c r="B203" s="21" t="s">
        <v>221</v>
      </c>
      <c r="C203" s="21" t="s">
        <v>222</v>
      </c>
      <c r="D203" s="21"/>
      <c r="E203" s="21">
        <v>28</v>
      </c>
      <c r="F203" s="21" t="s">
        <v>223</v>
      </c>
      <c r="G203" s="21" t="s">
        <v>218</v>
      </c>
      <c r="H203" s="21" t="s">
        <v>218</v>
      </c>
      <c r="I203" s="21"/>
      <c r="J203" s="21"/>
      <c r="K203" s="5"/>
      <c r="L203" s="5" t="s">
        <v>31</v>
      </c>
      <c r="M203" s="21"/>
      <c r="N203" s="21" t="s">
        <v>158</v>
      </c>
      <c r="O203" s="21" t="s">
        <v>57</v>
      </c>
      <c r="P203" s="21" t="s">
        <v>124</v>
      </c>
      <c r="Q203" s="21" t="s">
        <v>36</v>
      </c>
      <c r="R203" s="21"/>
      <c r="S203" s="21" t="s">
        <v>641</v>
      </c>
      <c r="V203" s="21" t="s">
        <v>641</v>
      </c>
      <c r="W2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3" s="9">
        <f>+DATE(YEAR(Control[[#This Row],[Fecha Requisición]]),MONTH(Control[[#This Row],[Fecha Requisición]]),1)</f>
        <v>46174</v>
      </c>
      <c r="Y203" s="14" t="str">
        <f>+IF(Control[[#This Row],[Fecha de entrega]]="","",NETWORKDAYS(Control[[#This Row],[Fecha Requisición]],Control[[#This Row],[Fecha de entrega]]))</f>
        <v/>
      </c>
      <c r="Z203" s="21"/>
      <c r="AA203" s="13">
        <f>+_xlfn.ISOWEEKNUM(Control[[#This Row],[Fecha Requisición]])</f>
        <v>24</v>
      </c>
    </row>
    <row r="204" spans="1:27" hidden="1">
      <c r="A204" s="21" t="s">
        <v>224</v>
      </c>
      <c r="B204" s="21" t="s">
        <v>225</v>
      </c>
      <c r="C204" s="21" t="s">
        <v>226</v>
      </c>
      <c r="D204" s="21"/>
      <c r="E204" s="21">
        <v>29</v>
      </c>
      <c r="F204" s="21" t="s">
        <v>227</v>
      </c>
      <c r="G204" s="21" t="s">
        <v>212</v>
      </c>
      <c r="H204" s="21" t="s">
        <v>212</v>
      </c>
      <c r="I204" s="21"/>
      <c r="J204" s="21"/>
      <c r="K204" s="5"/>
      <c r="L204" s="5" t="s">
        <v>31</v>
      </c>
      <c r="M204" s="21"/>
      <c r="N204" s="21" t="s">
        <v>219</v>
      </c>
      <c r="O204" s="21" t="s">
        <v>101</v>
      </c>
      <c r="P204" s="21" t="s">
        <v>124</v>
      </c>
      <c r="Q204" s="21" t="s">
        <v>36</v>
      </c>
      <c r="R204" s="21"/>
      <c r="S204" s="21" t="s">
        <v>641</v>
      </c>
      <c r="V204" s="21" t="s">
        <v>641</v>
      </c>
      <c r="W2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4" s="9">
        <f>+DATE(YEAR(Control[[#This Row],[Fecha Requisición]]),MONTH(Control[[#This Row],[Fecha Requisición]]),1)</f>
        <v>46174</v>
      </c>
      <c r="Y204" s="14" t="str">
        <f>+IF(Control[[#This Row],[Fecha de entrega]]="","",NETWORKDAYS(Control[[#This Row],[Fecha Requisición]],Control[[#This Row],[Fecha de entrega]]))</f>
        <v/>
      </c>
      <c r="Z204" s="21"/>
      <c r="AA204" s="13">
        <f>+_xlfn.ISOWEEKNUM(Control[[#This Row],[Fecha Requisición]])</f>
        <v>25</v>
      </c>
    </row>
    <row r="205" spans="1:27" hidden="1">
      <c r="A205" s="21" t="s">
        <v>379</v>
      </c>
      <c r="B205" s="21" t="s">
        <v>380</v>
      </c>
      <c r="C205" s="21" t="s">
        <v>602</v>
      </c>
      <c r="D205" s="21"/>
      <c r="E205" s="21">
        <v>47</v>
      </c>
      <c r="F205" s="21" t="s">
        <v>381</v>
      </c>
      <c r="G205" s="21" t="s">
        <v>382</v>
      </c>
      <c r="H205" s="21" t="s">
        <v>382</v>
      </c>
      <c r="I205" s="21"/>
      <c r="J205" s="21"/>
      <c r="K205" s="5"/>
      <c r="L205" s="5" t="s">
        <v>55</v>
      </c>
      <c r="M205" s="21"/>
      <c r="N205" s="21" t="s">
        <v>383</v>
      </c>
      <c r="O205" s="21" t="s">
        <v>384</v>
      </c>
      <c r="P205" s="21" t="s">
        <v>58</v>
      </c>
      <c r="Q205" s="21" t="s">
        <v>36</v>
      </c>
      <c r="R205" s="21"/>
      <c r="S205" s="21" t="s">
        <v>641</v>
      </c>
      <c r="V205" s="21" t="s">
        <v>641</v>
      </c>
      <c r="W2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5" s="9">
        <f>+DATE(YEAR(Control[[#This Row],[Fecha Requisición]]),MONTH(Control[[#This Row],[Fecha Requisición]]),1)</f>
        <v>46204</v>
      </c>
      <c r="Y205" s="14" t="str">
        <f>+IF(Control[[#This Row],[Fecha de entrega]]="","",NETWORKDAYS(Control[[#This Row],[Fecha Requisición]],Control[[#This Row],[Fecha de entrega]]))</f>
        <v/>
      </c>
      <c r="Z205" s="21"/>
      <c r="AA205" s="13">
        <f>+_xlfn.ISOWEEKNUM(Control[[#This Row],[Fecha Requisición]])</f>
        <v>28</v>
      </c>
    </row>
    <row r="206" spans="1:27" hidden="1">
      <c r="A206" s="21" t="s">
        <v>385</v>
      </c>
      <c r="B206" s="21" t="s">
        <v>386</v>
      </c>
      <c r="C206" s="21" t="s">
        <v>603</v>
      </c>
      <c r="D206" s="21"/>
      <c r="E206" s="21">
        <v>48</v>
      </c>
      <c r="F206" s="21" t="s">
        <v>387</v>
      </c>
      <c r="G206" s="21" t="s">
        <v>382</v>
      </c>
      <c r="H206" s="21" t="s">
        <v>382</v>
      </c>
      <c r="I206" s="21"/>
      <c r="J206" s="21"/>
      <c r="K206" s="5"/>
      <c r="L206" s="5"/>
      <c r="M206" s="21"/>
      <c r="N206" s="21" t="s">
        <v>388</v>
      </c>
      <c r="O206" s="21" t="s">
        <v>176</v>
      </c>
      <c r="P206" s="21" t="s">
        <v>58</v>
      </c>
      <c r="Q206" s="21" t="s">
        <v>94</v>
      </c>
      <c r="R206" s="21"/>
      <c r="S206" s="21" t="s">
        <v>641</v>
      </c>
      <c r="V206" s="21" t="s">
        <v>641</v>
      </c>
      <c r="W2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6" s="9">
        <f>+DATE(YEAR(Control[[#This Row],[Fecha Requisición]]),MONTH(Control[[#This Row],[Fecha Requisición]]),1)</f>
        <v>46204</v>
      </c>
      <c r="Y206" s="14" t="str">
        <f>+IF(Control[[#This Row],[Fecha de entrega]]="","",NETWORKDAYS(Control[[#This Row],[Fecha Requisición]],Control[[#This Row],[Fecha de entrega]]))</f>
        <v/>
      </c>
      <c r="Z206" s="21"/>
      <c r="AA206" s="13">
        <f>+_xlfn.ISOWEEKNUM(Control[[#This Row],[Fecha Requisición]])</f>
        <v>28</v>
      </c>
    </row>
    <row r="207" spans="1:27" hidden="1">
      <c r="A207" s="21" t="s">
        <v>634</v>
      </c>
      <c r="B207" s="21" t="s">
        <v>635</v>
      </c>
      <c r="C207" s="21" t="s">
        <v>673</v>
      </c>
      <c r="D207" s="21"/>
      <c r="E207" s="21">
        <v>71</v>
      </c>
      <c r="F207" s="21" t="s">
        <v>636</v>
      </c>
      <c r="G207" s="21" t="s">
        <v>637</v>
      </c>
      <c r="H207" s="21" t="s">
        <v>637</v>
      </c>
      <c r="I207" s="21"/>
      <c r="J207" s="21"/>
      <c r="K207" s="5"/>
      <c r="L207" s="5" t="s">
        <v>31</v>
      </c>
      <c r="M207" s="21"/>
      <c r="N207" s="21" t="s">
        <v>307</v>
      </c>
      <c r="O207" s="21" t="s">
        <v>86</v>
      </c>
      <c r="P207" s="21" t="s">
        <v>124</v>
      </c>
      <c r="Q207" s="21" t="s">
        <v>36</v>
      </c>
      <c r="R207" s="21"/>
      <c r="S207" s="21" t="s">
        <v>723</v>
      </c>
      <c r="V207" s="21" t="s">
        <v>641</v>
      </c>
      <c r="W2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7" s="9">
        <f>+DATE(YEAR(Control[[#This Row],[Fecha Requisición]]),MONTH(Control[[#This Row],[Fecha Requisición]]),1)</f>
        <v>46204</v>
      </c>
      <c r="Y207" s="14" t="str">
        <f>+IF(Control[[#This Row],[Fecha de entrega]]="","",NETWORKDAYS(Control[[#This Row],[Fecha Requisición]],Control[[#This Row],[Fecha de entrega]]))</f>
        <v/>
      </c>
      <c r="Z207" s="21"/>
      <c r="AA207" s="13">
        <f>+_xlfn.ISOWEEKNUM(Control[[#This Row],[Fecha Requisición]])</f>
        <v>30</v>
      </c>
    </row>
    <row r="208" spans="1:27" hidden="1">
      <c r="A208" s="21" t="s">
        <v>638</v>
      </c>
      <c r="B208" s="21" t="s">
        <v>639</v>
      </c>
      <c r="C208" s="21" t="s">
        <v>674</v>
      </c>
      <c r="D208" s="21"/>
      <c r="E208" s="21">
        <v>72</v>
      </c>
      <c r="F208" s="21" t="s">
        <v>640</v>
      </c>
      <c r="G208" s="21" t="s">
        <v>637</v>
      </c>
      <c r="H208" s="21" t="s">
        <v>637</v>
      </c>
      <c r="I208" s="21"/>
      <c r="J208" s="21"/>
      <c r="K208" s="5"/>
      <c r="L208" s="5" t="s">
        <v>31</v>
      </c>
      <c r="M208" s="21"/>
      <c r="N208" s="21" t="s">
        <v>307</v>
      </c>
      <c r="O208" s="21" t="s">
        <v>86</v>
      </c>
      <c r="P208" s="21" t="s">
        <v>124</v>
      </c>
      <c r="Q208" s="21" t="s">
        <v>36</v>
      </c>
      <c r="R208" s="21"/>
      <c r="S208" s="21" t="s">
        <v>641</v>
      </c>
      <c r="V208" s="21" t="s">
        <v>641</v>
      </c>
      <c r="W2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8" s="9">
        <f>+DATE(YEAR(Control[[#This Row],[Fecha Requisición]]),MONTH(Control[[#This Row],[Fecha Requisición]]),1)</f>
        <v>46204</v>
      </c>
      <c r="Y208" s="14" t="str">
        <f>+IF(Control[[#This Row],[Fecha de entrega]]="","",NETWORKDAYS(Control[[#This Row],[Fecha Requisición]],Control[[#This Row],[Fecha de entrega]]))</f>
        <v/>
      </c>
      <c r="Z208" s="21"/>
      <c r="AA208" s="13">
        <f>+_xlfn.ISOWEEKNUM(Control[[#This Row],[Fecha Requisición]])</f>
        <v>30</v>
      </c>
    </row>
    <row r="209" spans="1:27">
      <c r="A209" s="21" t="s">
        <v>777</v>
      </c>
      <c r="B209" s="21" t="s">
        <v>778</v>
      </c>
      <c r="C209" s="21" t="s">
        <v>833</v>
      </c>
      <c r="D209" s="21"/>
      <c r="E209" s="21">
        <v>82</v>
      </c>
      <c r="F209" s="21" t="s">
        <v>779</v>
      </c>
      <c r="G209" s="21" t="s">
        <v>780</v>
      </c>
      <c r="H209" s="21" t="s">
        <v>780</v>
      </c>
      <c r="I209" s="21"/>
      <c r="J209" s="21"/>
      <c r="K209" s="5"/>
      <c r="L209" s="5"/>
      <c r="M209" s="21"/>
      <c r="N209" s="21"/>
      <c r="O209" s="21" t="s">
        <v>57</v>
      </c>
      <c r="P209" s="21" t="s">
        <v>35</v>
      </c>
      <c r="Q209" s="21" t="s">
        <v>94</v>
      </c>
      <c r="R209" s="21"/>
      <c r="S209" s="21" t="s">
        <v>514</v>
      </c>
      <c r="U209" s="2">
        <v>46239</v>
      </c>
      <c r="V209" s="21" t="s">
        <v>642</v>
      </c>
      <c r="W209" s="13" t="s">
        <v>440</v>
      </c>
      <c r="X209" s="9">
        <f>+DATE(YEAR(Control[[#This Row],[Fecha Requisición]]),MONTH(Control[[#This Row],[Fecha Requisición]]),1)</f>
        <v>46204</v>
      </c>
      <c r="Y209" s="14">
        <f>+IF(Control[[#This Row],[Fecha de entrega]]="","",NETWORKDAYS(Control[[#This Row],[Fecha Requisición]],Control[[#This Row],[Fecha de entrega]]))</f>
        <v>6</v>
      </c>
      <c r="Z209" s="21"/>
      <c r="AA209" s="13">
        <f>+_xlfn.ISOWEEKNUM(Control[[#This Row],[Fecha Requisición]])</f>
        <v>31</v>
      </c>
    </row>
    <row r="210" spans="1:27" hidden="1">
      <c r="A210" s="21" t="s">
        <v>814</v>
      </c>
      <c r="B210" s="21" t="s">
        <v>815</v>
      </c>
      <c r="C210" s="21" t="s">
        <v>841</v>
      </c>
      <c r="D210" s="21"/>
      <c r="E210" s="21">
        <v>93</v>
      </c>
      <c r="F210" s="21" t="s">
        <v>816</v>
      </c>
      <c r="G210" s="21" t="s">
        <v>771</v>
      </c>
      <c r="H210" s="21" t="s">
        <v>771</v>
      </c>
      <c r="I210" s="21"/>
      <c r="J210" s="21"/>
      <c r="K210" s="5"/>
      <c r="L210" s="5" t="s">
        <v>55</v>
      </c>
      <c r="M210" s="21"/>
      <c r="N210" s="21" t="s">
        <v>213</v>
      </c>
      <c r="O210" s="21" t="s">
        <v>197</v>
      </c>
      <c r="P210" s="21" t="s">
        <v>58</v>
      </c>
      <c r="Q210" s="21" t="s">
        <v>36</v>
      </c>
      <c r="R210" s="21"/>
      <c r="S210" s="21" t="s">
        <v>641</v>
      </c>
      <c r="V210" s="21" t="s">
        <v>641</v>
      </c>
      <c r="W2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10" s="9">
        <f>+DATE(YEAR(Control[[#This Row],[Fecha Requisición]]),MONTH(Control[[#This Row],[Fecha Requisición]]),1)</f>
        <v>46204</v>
      </c>
      <c r="Y210" s="14" t="str">
        <f>+IF(Control[[#This Row],[Fecha de entrega]]="","",NETWORKDAYS(Control[[#This Row],[Fecha Requisición]],Control[[#This Row],[Fecha de entrega]]))</f>
        <v/>
      </c>
      <c r="Z210" s="21"/>
      <c r="AA210" s="13">
        <f>+_xlfn.ISOWEEKNUM(Control[[#This Row],[Fecha Requisición]])</f>
        <v>31</v>
      </c>
    </row>
    <row r="211" spans="1:27" hidden="1">
      <c r="A211" s="21" t="s">
        <v>1032</v>
      </c>
      <c r="B211" s="21" t="s">
        <v>1033</v>
      </c>
      <c r="C211" s="21" t="s">
        <v>1034</v>
      </c>
      <c r="D211" s="21"/>
      <c r="E211" s="21">
        <v>120</v>
      </c>
      <c r="F211" s="21" t="s">
        <v>1035</v>
      </c>
      <c r="G211" s="21" t="s">
        <v>1036</v>
      </c>
      <c r="H211" s="21" t="s">
        <v>1036</v>
      </c>
      <c r="I211" s="21"/>
      <c r="J211" s="21"/>
      <c r="K211" s="5"/>
      <c r="L211" s="5" t="s">
        <v>31</v>
      </c>
      <c r="M211" s="21"/>
      <c r="N211" s="21" t="s">
        <v>909</v>
      </c>
      <c r="O211" s="21" t="s">
        <v>197</v>
      </c>
      <c r="P211" s="21" t="s">
        <v>273</v>
      </c>
      <c r="Q211" s="21" t="s">
        <v>59</v>
      </c>
      <c r="R211" s="21"/>
      <c r="S211" s="21" t="s">
        <v>641</v>
      </c>
      <c r="V211" s="21" t="s">
        <v>1140</v>
      </c>
      <c r="W2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1" s="9">
        <f>+DATE(YEAR(Control[[#This Row],[Fecha Requisición]]),MONTH(Control[[#This Row],[Fecha Requisición]]),1)</f>
        <v>46235</v>
      </c>
      <c r="Y211" s="14" t="str">
        <f>+IF(Control[[#This Row],[Fecha de entrega]]="","",NETWORKDAYS(Control[[#This Row],[Fecha Requisición]],Control[[#This Row],[Fecha de entrega]]))</f>
        <v/>
      </c>
      <c r="Z211" s="21"/>
      <c r="AA211" s="13">
        <f>+_xlfn.ISOWEEKNUM(Control[[#This Row],[Fecha Requisición]])</f>
        <v>34</v>
      </c>
    </row>
    <row r="212" spans="1:27" hidden="1">
      <c r="A212" s="21" t="s">
        <v>1050</v>
      </c>
      <c r="B212" s="21" t="s">
        <v>1051</v>
      </c>
      <c r="C212" s="21" t="s">
        <v>1052</v>
      </c>
      <c r="D212" s="21"/>
      <c r="E212" s="21">
        <v>123</v>
      </c>
      <c r="F212" s="21" t="s">
        <v>1053</v>
      </c>
      <c r="G212" s="21" t="s">
        <v>1049</v>
      </c>
      <c r="H212" s="21" t="s">
        <v>1049</v>
      </c>
      <c r="I212" s="21"/>
      <c r="J212" s="21"/>
      <c r="K212" s="5"/>
      <c r="L212" s="5" t="s">
        <v>55</v>
      </c>
      <c r="M212" s="21"/>
      <c r="N212" s="21" t="s">
        <v>93</v>
      </c>
      <c r="O212" s="21" t="s">
        <v>101</v>
      </c>
      <c r="P212" s="21" t="s">
        <v>58</v>
      </c>
      <c r="Q212" s="21" t="s">
        <v>94</v>
      </c>
      <c r="R212" s="21"/>
      <c r="S212" s="21" t="s">
        <v>641</v>
      </c>
      <c r="V212" s="21" t="s">
        <v>1084</v>
      </c>
      <c r="W2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2" s="9">
        <f>+DATE(YEAR(Control[[#This Row],[Fecha Requisición]]),MONTH(Control[[#This Row],[Fecha Requisición]]),1)</f>
        <v>46235</v>
      </c>
      <c r="Y212" s="14" t="str">
        <f>+IF(Control[[#This Row],[Fecha de entrega]]="","",NETWORKDAYS(Control[[#This Row],[Fecha Requisición]],Control[[#This Row],[Fecha de entrega]]))</f>
        <v/>
      </c>
      <c r="Z212" s="21"/>
      <c r="AA212" s="13">
        <f>+_xlfn.ISOWEEKNUM(Control[[#This Row],[Fecha Requisición]])</f>
        <v>35</v>
      </c>
    </row>
    <row r="213" spans="1:27" hidden="1">
      <c r="A213" s="21" t="s">
        <v>1054</v>
      </c>
      <c r="B213" s="21" t="s">
        <v>1055</v>
      </c>
      <c r="C213" s="21" t="s">
        <v>1056</v>
      </c>
      <c r="D213" s="21"/>
      <c r="E213" s="21">
        <v>124</v>
      </c>
      <c r="F213" s="21" t="s">
        <v>1057</v>
      </c>
      <c r="G213" s="21" t="s">
        <v>1049</v>
      </c>
      <c r="H213" s="21" t="s">
        <v>1049</v>
      </c>
      <c r="I213" s="21"/>
      <c r="J213" s="21"/>
      <c r="K213" s="5"/>
      <c r="L213" s="5"/>
      <c r="M213" s="21"/>
      <c r="N213" s="21"/>
      <c r="O213" s="21"/>
      <c r="P213" s="21"/>
      <c r="Q213" s="21"/>
      <c r="R213" s="21"/>
      <c r="S213" s="21" t="s">
        <v>514</v>
      </c>
      <c r="T213" s="2">
        <v>46262</v>
      </c>
      <c r="U213" s="2">
        <v>46267</v>
      </c>
      <c r="V213" s="21" t="s">
        <v>642</v>
      </c>
      <c r="W2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3" s="9">
        <f>+DATE(YEAR(Control[[#This Row],[Fecha Requisición]]),MONTH(Control[[#This Row],[Fecha Requisición]]),1)</f>
        <v>46235</v>
      </c>
      <c r="Y213" s="14">
        <f>+IF(Control[[#This Row],[Fecha de entrega]]="","",NETWORKDAYS(Control[[#This Row],[Fecha Requisición]],Control[[#This Row],[Fecha de entrega]]))</f>
        <v>8</v>
      </c>
      <c r="Z213" s="21"/>
      <c r="AA213" s="13">
        <f>+_xlfn.ISOWEEKNUM(Control[[#This Row],[Fecha Requisición]])</f>
        <v>35</v>
      </c>
    </row>
    <row r="214" spans="1:27" hidden="1">
      <c r="A214" s="21" t="s">
        <v>1070</v>
      </c>
      <c r="B214" s="21" t="s">
        <v>1071</v>
      </c>
      <c r="C214" s="21" t="s">
        <v>1072</v>
      </c>
      <c r="D214" s="21"/>
      <c r="E214" s="21">
        <v>127</v>
      </c>
      <c r="F214" s="21" t="s">
        <v>1073</v>
      </c>
      <c r="G214" s="21" t="s">
        <v>1074</v>
      </c>
      <c r="H214" s="21" t="s">
        <v>1074</v>
      </c>
      <c r="I214" s="21"/>
      <c r="J214" s="21"/>
      <c r="K214" s="5"/>
      <c r="L214" s="5" t="s">
        <v>31</v>
      </c>
      <c r="M214" s="21"/>
      <c r="N214" s="21" t="s">
        <v>975</v>
      </c>
      <c r="O214" s="21" t="s">
        <v>57</v>
      </c>
      <c r="P214" s="21" t="s">
        <v>124</v>
      </c>
      <c r="Q214" s="21" t="s">
        <v>36</v>
      </c>
      <c r="R214" s="21"/>
      <c r="S214" s="21" t="s">
        <v>641</v>
      </c>
      <c r="V214" s="21" t="s">
        <v>818</v>
      </c>
      <c r="W2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4" s="9">
        <f>+DATE(YEAR(Control[[#This Row],[Fecha Requisición]]),MONTH(Control[[#This Row],[Fecha Requisición]]),1)</f>
        <v>46235</v>
      </c>
      <c r="Y214" s="14" t="str">
        <f>+IF(Control[[#This Row],[Fecha de entrega]]="","",NETWORKDAYS(Control[[#This Row],[Fecha Requisición]],Control[[#This Row],[Fecha de entrega]]))</f>
        <v/>
      </c>
      <c r="Z214" s="21"/>
      <c r="AA214" s="13">
        <f>+_xlfn.ISOWEEKNUM(Control[[#This Row],[Fecha Requisición]])</f>
        <v>35</v>
      </c>
    </row>
    <row r="215" spans="1:27" hidden="1">
      <c r="A215" s="21" t="s">
        <v>1075</v>
      </c>
      <c r="B215" s="21" t="s">
        <v>1076</v>
      </c>
      <c r="C215" s="21" t="s">
        <v>1077</v>
      </c>
      <c r="D215" s="21"/>
      <c r="E215" s="21">
        <v>128</v>
      </c>
      <c r="F215" s="21" t="s">
        <v>1078</v>
      </c>
      <c r="G215" s="21" t="s">
        <v>1074</v>
      </c>
      <c r="H215" s="21" t="s">
        <v>1074</v>
      </c>
      <c r="I215" s="21"/>
      <c r="J215" s="21"/>
      <c r="K215" s="5"/>
      <c r="L215" s="5" t="s">
        <v>31</v>
      </c>
      <c r="M215" s="21"/>
      <c r="N215" s="21" t="s">
        <v>975</v>
      </c>
      <c r="O215" s="21" t="s">
        <v>101</v>
      </c>
      <c r="P215" s="21" t="s">
        <v>124</v>
      </c>
      <c r="Q215" s="21" t="s">
        <v>36</v>
      </c>
      <c r="R215" s="21"/>
      <c r="S215" s="21" t="s">
        <v>641</v>
      </c>
      <c r="V215" s="21" t="s">
        <v>818</v>
      </c>
      <c r="W2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5" s="9">
        <f>+DATE(YEAR(Control[[#This Row],[Fecha Requisición]]),MONTH(Control[[#This Row],[Fecha Requisición]]),1)</f>
        <v>46235</v>
      </c>
      <c r="Y215" s="14" t="str">
        <f>+IF(Control[[#This Row],[Fecha de entrega]]="","",NETWORKDAYS(Control[[#This Row],[Fecha Requisición]],Control[[#This Row],[Fecha de entrega]]))</f>
        <v/>
      </c>
      <c r="Z215" s="21"/>
      <c r="AA215" s="13">
        <f>+_xlfn.ISOWEEKNUM(Control[[#This Row],[Fecha Requisición]])</f>
        <v>35</v>
      </c>
    </row>
    <row r="216" spans="1:27" hidden="1">
      <c r="A216" s="21" t="s">
        <v>1079</v>
      </c>
      <c r="B216" s="21" t="s">
        <v>1080</v>
      </c>
      <c r="C216" s="21" t="s">
        <v>1081</v>
      </c>
      <c r="D216" s="21"/>
      <c r="E216" s="21">
        <v>129</v>
      </c>
      <c r="F216" s="21" t="s">
        <v>1082</v>
      </c>
      <c r="G216" s="21" t="s">
        <v>1074</v>
      </c>
      <c r="H216" s="21" t="s">
        <v>1074</v>
      </c>
      <c r="I216" s="21"/>
      <c r="J216" s="21"/>
      <c r="K216" s="5"/>
      <c r="L216" s="5" t="s">
        <v>31</v>
      </c>
      <c r="M216" s="21"/>
      <c r="N216" s="21" t="s">
        <v>975</v>
      </c>
      <c r="O216" s="21" t="s">
        <v>123</v>
      </c>
      <c r="P216" s="21" t="s">
        <v>124</v>
      </c>
      <c r="Q216" s="21" t="s">
        <v>36</v>
      </c>
      <c r="R216" s="21"/>
      <c r="S216" s="21" t="s">
        <v>641</v>
      </c>
      <c r="V216" s="21" t="s">
        <v>818</v>
      </c>
      <c r="W2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6" s="9">
        <f>+DATE(YEAR(Control[[#This Row],[Fecha Requisición]]),MONTH(Control[[#This Row],[Fecha Requisición]]),1)</f>
        <v>46235</v>
      </c>
      <c r="Y216" s="14" t="str">
        <f>+IF(Control[[#This Row],[Fecha de entrega]]="","",NETWORKDAYS(Control[[#This Row],[Fecha Requisición]],Control[[#This Row],[Fecha de entrega]]))</f>
        <v/>
      </c>
      <c r="Z216" s="21"/>
      <c r="AA216" s="13">
        <f>+_xlfn.ISOWEEKNUM(Control[[#This Row],[Fecha Requisición]])</f>
        <v>35</v>
      </c>
    </row>
    <row r="217" spans="1:27" hidden="1">
      <c r="A217" s="21" t="s">
        <v>1120</v>
      </c>
      <c r="B217" s="21" t="s">
        <v>1121</v>
      </c>
      <c r="C217" s="21" t="s">
        <v>1136</v>
      </c>
      <c r="D217" s="21"/>
      <c r="E217" s="21">
        <v>130</v>
      </c>
      <c r="F217" s="21" t="s">
        <v>1122</v>
      </c>
      <c r="G217" s="21" t="s">
        <v>1074</v>
      </c>
      <c r="H217" s="21" t="s">
        <v>1074</v>
      </c>
      <c r="I217" s="21"/>
      <c r="J217" s="21"/>
      <c r="K217" s="5"/>
      <c r="L217" s="5" t="s">
        <v>55</v>
      </c>
      <c r="M217" s="21"/>
      <c r="N217" s="21" t="s">
        <v>204</v>
      </c>
      <c r="O217" s="21" t="s">
        <v>101</v>
      </c>
      <c r="P217" s="21" t="s">
        <v>58</v>
      </c>
      <c r="Q217" s="21" t="s">
        <v>36</v>
      </c>
      <c r="R217" s="21"/>
      <c r="S217" s="21" t="s">
        <v>641</v>
      </c>
      <c r="V217" s="21" t="s">
        <v>818</v>
      </c>
      <c r="W2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7" s="9">
        <f>+DATE(YEAR(Control[[#This Row],[Fecha Requisición]]),MONTH(Control[[#This Row],[Fecha Requisición]]),1)</f>
        <v>46235</v>
      </c>
      <c r="Y217" s="14" t="str">
        <f>+IF(Control[[#This Row],[Fecha de entrega]]="","",NETWORKDAYS(Control[[#This Row],[Fecha Requisición]],Control[[#This Row],[Fecha de entrega]]))</f>
        <v/>
      </c>
      <c r="Z217" s="21"/>
      <c r="AA217" s="13">
        <f>+_xlfn.ISOWEEKNUM(Control[[#This Row],[Fecha Requisición]])</f>
        <v>35</v>
      </c>
    </row>
    <row r="218" spans="1:27" hidden="1">
      <c r="A218" s="21" t="s">
        <v>1123</v>
      </c>
      <c r="B218" s="21" t="s">
        <v>1124</v>
      </c>
      <c r="C218" s="21" t="s">
        <v>1137</v>
      </c>
      <c r="D218" s="21"/>
      <c r="E218" s="21">
        <v>131</v>
      </c>
      <c r="F218" s="21" t="s">
        <v>1125</v>
      </c>
      <c r="G218" s="21" t="s">
        <v>1074</v>
      </c>
      <c r="H218" s="21" t="s">
        <v>1074</v>
      </c>
      <c r="I218" s="21"/>
      <c r="J218" s="21"/>
      <c r="K218" s="5"/>
      <c r="L218" s="5" t="s">
        <v>55</v>
      </c>
      <c r="M218" s="21"/>
      <c r="N218" s="21" t="s">
        <v>204</v>
      </c>
      <c r="O218" s="21" t="s">
        <v>101</v>
      </c>
      <c r="P218" s="21" t="s">
        <v>58</v>
      </c>
      <c r="Q218" s="21" t="s">
        <v>36</v>
      </c>
      <c r="R218" s="21"/>
      <c r="S218" s="21" t="s">
        <v>641</v>
      </c>
      <c r="V218" s="21" t="s">
        <v>818</v>
      </c>
      <c r="W2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8" s="9">
        <f>+DATE(YEAR(Control[[#This Row],[Fecha Requisición]]),MONTH(Control[[#This Row],[Fecha Requisición]]),1)</f>
        <v>46235</v>
      </c>
      <c r="Y218" s="14" t="str">
        <f>+IF(Control[[#This Row],[Fecha de entrega]]="","",NETWORKDAYS(Control[[#This Row],[Fecha Requisición]],Control[[#This Row],[Fecha de entrega]]))</f>
        <v/>
      </c>
      <c r="Z218" s="21"/>
      <c r="AA218" s="13">
        <f>+_xlfn.ISOWEEKNUM(Control[[#This Row],[Fecha Requisición]])</f>
        <v>35</v>
      </c>
    </row>
    <row r="219" spans="1:27" hidden="1">
      <c r="A219" s="21" t="s">
        <v>1130</v>
      </c>
      <c r="B219" s="21" t="s">
        <v>1131</v>
      </c>
      <c r="C219" s="21" t="s">
        <v>1138</v>
      </c>
      <c r="D219" s="21"/>
      <c r="E219" s="21">
        <v>133</v>
      </c>
      <c r="F219" s="21" t="s">
        <v>1132</v>
      </c>
      <c r="G219" s="21" t="s">
        <v>1074</v>
      </c>
      <c r="H219" s="21" t="s">
        <v>1074</v>
      </c>
      <c r="I219" s="21"/>
      <c r="J219" s="21"/>
      <c r="K219" s="5"/>
      <c r="L219" s="5" t="s">
        <v>55</v>
      </c>
      <c r="M219" s="21"/>
      <c r="N219" s="21" t="s">
        <v>204</v>
      </c>
      <c r="O219" s="21" t="s">
        <v>57</v>
      </c>
      <c r="P219" s="21" t="s">
        <v>58</v>
      </c>
      <c r="Q219" s="21" t="s">
        <v>36</v>
      </c>
      <c r="R219" s="21"/>
      <c r="S219" s="21" t="s">
        <v>641</v>
      </c>
      <c r="V219" s="21" t="s">
        <v>641</v>
      </c>
      <c r="W2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19" s="9">
        <f>+DATE(YEAR(Control[[#This Row],[Fecha Requisición]]),MONTH(Control[[#This Row],[Fecha Requisición]]),1)</f>
        <v>46235</v>
      </c>
      <c r="Y219" s="14" t="str">
        <f>+IF(Control[[#This Row],[Fecha de entrega]]="","",NETWORKDAYS(Control[[#This Row],[Fecha Requisición]],Control[[#This Row],[Fecha de entrega]]))</f>
        <v/>
      </c>
      <c r="Z219" s="21"/>
      <c r="AA219" s="13">
        <f>+_xlfn.ISOWEEKNUM(Control[[#This Row],[Fecha Requisición]])</f>
        <v>35</v>
      </c>
    </row>
    <row r="220" spans="1:27" hidden="1">
      <c r="A220" s="21" t="s">
        <v>1133</v>
      </c>
      <c r="B220" s="21" t="s">
        <v>1134</v>
      </c>
      <c r="C220" s="21" t="s">
        <v>1139</v>
      </c>
      <c r="D220" s="21"/>
      <c r="E220" s="21">
        <v>134</v>
      </c>
      <c r="F220" s="21" t="s">
        <v>1135</v>
      </c>
      <c r="G220" s="21" t="s">
        <v>1074</v>
      </c>
      <c r="H220" s="21" t="s">
        <v>1074</v>
      </c>
      <c r="I220" s="21"/>
      <c r="J220" s="21"/>
      <c r="K220" s="5"/>
      <c r="L220" s="5" t="s">
        <v>55</v>
      </c>
      <c r="M220" s="21"/>
      <c r="N220" s="21" t="s">
        <v>204</v>
      </c>
      <c r="O220" s="21" t="s">
        <v>101</v>
      </c>
      <c r="P220" s="21" t="s">
        <v>58</v>
      </c>
      <c r="Q220" s="21" t="s">
        <v>36</v>
      </c>
      <c r="R220" s="21"/>
      <c r="S220" s="21" t="s">
        <v>641</v>
      </c>
      <c r="V220" s="21" t="s">
        <v>641</v>
      </c>
      <c r="W2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20" s="9">
        <f>+DATE(YEAR(Control[[#This Row],[Fecha Requisición]]),MONTH(Control[[#This Row],[Fecha Requisición]]),1)</f>
        <v>46235</v>
      </c>
      <c r="Y220" s="14" t="str">
        <f>+IF(Control[[#This Row],[Fecha de entrega]]="","",NETWORKDAYS(Control[[#This Row],[Fecha Requisición]],Control[[#This Row],[Fecha de entrega]]))</f>
        <v/>
      </c>
      <c r="Z220" s="21"/>
      <c r="AA220" s="13">
        <f>+_xlfn.ISOWEEKNUM(Control[[#This Row],[Fecha Requisición]])</f>
        <v>35</v>
      </c>
    </row>
    <row r="221" spans="1:27" hidden="1">
      <c r="A221" s="21" t="s">
        <v>1178</v>
      </c>
      <c r="B221" s="21" t="s">
        <v>1179</v>
      </c>
      <c r="C221" s="21" t="s">
        <v>1180</v>
      </c>
      <c r="D221" s="21"/>
      <c r="E221" s="21">
        <v>136</v>
      </c>
      <c r="F221" s="21" t="s">
        <v>1181</v>
      </c>
      <c r="G221" s="21" t="s">
        <v>1168</v>
      </c>
      <c r="H221" s="21" t="s">
        <v>1168</v>
      </c>
      <c r="I221" s="21"/>
      <c r="J221" s="21"/>
      <c r="K221" s="5"/>
      <c r="L221" s="5" t="s">
        <v>31</v>
      </c>
      <c r="M221" s="21"/>
      <c r="N221" s="21" t="s">
        <v>975</v>
      </c>
      <c r="O221" s="21" t="s">
        <v>57</v>
      </c>
      <c r="P221" s="21" t="s">
        <v>124</v>
      </c>
      <c r="Q221" s="21" t="s">
        <v>36</v>
      </c>
      <c r="R221" s="21"/>
      <c r="S221" s="21" t="s">
        <v>641</v>
      </c>
      <c r="V221" s="21" t="s">
        <v>641</v>
      </c>
      <c r="W2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21" s="9">
        <f>+DATE(YEAR(Control[[#This Row],[Fecha Requisición]]),MONTH(Control[[#This Row],[Fecha Requisición]]),1)</f>
        <v>46235</v>
      </c>
      <c r="Y221" s="14" t="str">
        <f>+IF(Control[[#This Row],[Fecha de entrega]]="","",NETWORKDAYS(Control[[#This Row],[Fecha Requisición]],Control[[#This Row],[Fecha de entrega]]))</f>
        <v/>
      </c>
      <c r="Z221" s="21"/>
      <c r="AA221" s="13">
        <f>+_xlfn.ISOWEEKNUM(Control[[#This Row],[Fecha Requisición]])</f>
        <v>35</v>
      </c>
    </row>
    <row r="222" spans="1:27" hidden="1">
      <c r="A222" s="21" t="s">
        <v>1194</v>
      </c>
      <c r="B222" s="21" t="s">
        <v>1195</v>
      </c>
      <c r="C222" s="21" t="s">
        <v>1196</v>
      </c>
      <c r="D222" s="21"/>
      <c r="E222" s="21">
        <v>138</v>
      </c>
      <c r="F222" s="21" t="s">
        <v>1197</v>
      </c>
      <c r="G222" s="21" t="s">
        <v>1176</v>
      </c>
      <c r="H222" s="21" t="s">
        <v>1176</v>
      </c>
      <c r="I222" s="21"/>
      <c r="J222" s="21"/>
      <c r="K222" s="5"/>
      <c r="L222" s="5" t="s">
        <v>55</v>
      </c>
      <c r="M222" s="21"/>
      <c r="N222" s="21" t="s">
        <v>903</v>
      </c>
      <c r="O222" s="21" t="s">
        <v>384</v>
      </c>
      <c r="P222" s="21" t="s">
        <v>58</v>
      </c>
      <c r="Q222" s="21" t="s">
        <v>36</v>
      </c>
      <c r="R222" s="21"/>
      <c r="S222" s="21" t="s">
        <v>517</v>
      </c>
      <c r="V222" s="21" t="s">
        <v>1184</v>
      </c>
      <c r="W2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2" s="9">
        <f>+DATE(YEAR(Control[[#This Row],[Fecha Requisición]]),MONTH(Control[[#This Row],[Fecha Requisición]]),1)</f>
        <v>46235</v>
      </c>
      <c r="Y222" s="14" t="str">
        <f>+IF(Control[[#This Row],[Fecha de entrega]]="","",NETWORKDAYS(Control[[#This Row],[Fecha Requisición]],Control[[#This Row],[Fecha de entrega]]))</f>
        <v/>
      </c>
      <c r="Z222" s="21"/>
      <c r="AA222" s="13">
        <f>+_xlfn.ISOWEEKNUM(Control[[#This Row],[Fecha Requisición]])</f>
        <v>35</v>
      </c>
    </row>
    <row r="223" spans="1:27" hidden="1">
      <c r="A223" s="21" t="s">
        <v>1198</v>
      </c>
      <c r="B223" s="21" t="s">
        <v>1199</v>
      </c>
      <c r="C223" s="21" t="s">
        <v>1200</v>
      </c>
      <c r="D223" s="21"/>
      <c r="E223" s="21">
        <v>139</v>
      </c>
      <c r="F223" s="21" t="s">
        <v>1201</v>
      </c>
      <c r="G223" s="21" t="s">
        <v>1176</v>
      </c>
      <c r="H223" s="21" t="s">
        <v>1176</v>
      </c>
      <c r="I223" s="21"/>
      <c r="J223" s="21"/>
      <c r="K223" s="5"/>
      <c r="L223" s="5" t="s">
        <v>31</v>
      </c>
      <c r="M223" s="21"/>
      <c r="N223" s="21" t="s">
        <v>975</v>
      </c>
      <c r="O223" s="21" t="s">
        <v>101</v>
      </c>
      <c r="P223" s="21" t="s">
        <v>124</v>
      </c>
      <c r="Q223" s="21" t="s">
        <v>36</v>
      </c>
      <c r="R223" s="21"/>
      <c r="S223" s="21" t="s">
        <v>641</v>
      </c>
      <c r="V223" s="21" t="s">
        <v>641</v>
      </c>
      <c r="W2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23" s="9">
        <f>+DATE(YEAR(Control[[#This Row],[Fecha Requisición]]),MONTH(Control[[#This Row],[Fecha Requisición]]),1)</f>
        <v>46235</v>
      </c>
      <c r="Y223" s="14" t="str">
        <f>+IF(Control[[#This Row],[Fecha de entrega]]="","",NETWORKDAYS(Control[[#This Row],[Fecha Requisición]],Control[[#This Row],[Fecha de entrega]]))</f>
        <v/>
      </c>
      <c r="Z223" s="21"/>
      <c r="AA223" s="13">
        <f>+_xlfn.ISOWEEKNUM(Control[[#This Row],[Fecha Requisición]])</f>
        <v>35</v>
      </c>
    </row>
    <row r="224" spans="1:27" hidden="1">
      <c r="A224" s="21" t="s">
        <v>1207</v>
      </c>
      <c r="B224" s="21" t="s">
        <v>1208</v>
      </c>
      <c r="C224" s="21" t="s">
        <v>1209</v>
      </c>
      <c r="D224" s="21"/>
      <c r="E224" s="21">
        <v>142</v>
      </c>
      <c r="F224" s="21" t="s">
        <v>1210</v>
      </c>
      <c r="G224" s="21" t="s">
        <v>1211</v>
      </c>
      <c r="H224" s="21" t="s">
        <v>1211</v>
      </c>
      <c r="I224" s="21"/>
      <c r="J224" s="21"/>
      <c r="K224" s="5"/>
      <c r="L224" s="5" t="s">
        <v>55</v>
      </c>
      <c r="M224" s="21"/>
      <c r="N224" s="21" t="s">
        <v>705</v>
      </c>
      <c r="O224" s="21" t="s">
        <v>101</v>
      </c>
      <c r="P224" s="21" t="s">
        <v>58</v>
      </c>
      <c r="Q224" s="21" t="s">
        <v>36</v>
      </c>
      <c r="R224" s="21"/>
      <c r="S224" s="21" t="s">
        <v>514</v>
      </c>
      <c r="T224" s="2">
        <v>46275</v>
      </c>
      <c r="U224" s="2">
        <v>46282</v>
      </c>
      <c r="V224" s="21" t="s">
        <v>1438</v>
      </c>
      <c r="W2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4" s="9">
        <f>+DATE(YEAR(Control[[#This Row],[Fecha Requisición]]),MONTH(Control[[#This Row],[Fecha Requisición]]),1)</f>
        <v>46266</v>
      </c>
      <c r="Y224" s="14">
        <f>+IF(Control[[#This Row],[Fecha de entrega]]="","",NETWORKDAYS(Control[[#This Row],[Fecha Requisición]],Control[[#This Row],[Fecha de entrega]]))</f>
        <v>12</v>
      </c>
      <c r="Z224" s="21"/>
      <c r="AA224" s="13">
        <f>+_xlfn.ISOWEEKNUM(Control[[#This Row],[Fecha Requisición]])</f>
        <v>36</v>
      </c>
    </row>
    <row r="225" spans="1:27" hidden="1">
      <c r="A225" s="21" t="s">
        <v>1263</v>
      </c>
      <c r="B225" s="21" t="s">
        <v>1264</v>
      </c>
      <c r="C225" s="21" t="s">
        <v>1265</v>
      </c>
      <c r="D225" s="21"/>
      <c r="E225" s="21">
        <v>150</v>
      </c>
      <c r="F225" s="21" t="s">
        <v>1266</v>
      </c>
      <c r="G225" s="21" t="s">
        <v>1254</v>
      </c>
      <c r="H225" s="21" t="s">
        <v>1254</v>
      </c>
      <c r="I225" s="21"/>
      <c r="J225" s="21"/>
      <c r="K225" s="5"/>
      <c r="L225" s="5"/>
      <c r="M225" s="21"/>
      <c r="N225" s="21"/>
      <c r="O225" s="21"/>
      <c r="P225" s="21"/>
      <c r="Q225" s="21"/>
      <c r="R225" s="21"/>
      <c r="S225" s="21" t="s">
        <v>517</v>
      </c>
      <c r="V225" s="21" t="s">
        <v>818</v>
      </c>
      <c r="W2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5" s="9">
        <f>+DATE(YEAR(Control[[#This Row],[Fecha Requisición]]),MONTH(Control[[#This Row],[Fecha Requisición]]),1)</f>
        <v>46266</v>
      </c>
      <c r="Y225" s="14" t="str">
        <f>+IF(Control[[#This Row],[Fecha de entrega]]="","",NETWORKDAYS(Control[[#This Row],[Fecha Requisición]],Control[[#This Row],[Fecha de entrega]]))</f>
        <v/>
      </c>
      <c r="Z225" s="21"/>
      <c r="AA225" s="13">
        <f>+_xlfn.ISOWEEKNUM(Control[[#This Row],[Fecha Requisición]])</f>
        <v>36</v>
      </c>
    </row>
    <row r="226" spans="1:27" hidden="1">
      <c r="A226" s="21" t="s">
        <v>1268</v>
      </c>
      <c r="B226" s="21" t="s">
        <v>1269</v>
      </c>
      <c r="C226" s="21" t="s">
        <v>1270</v>
      </c>
      <c r="D226" s="21"/>
      <c r="E226" s="21">
        <v>152</v>
      </c>
      <c r="F226" s="21" t="s">
        <v>1271</v>
      </c>
      <c r="G226" s="21" t="s">
        <v>1272</v>
      </c>
      <c r="H226" s="21" t="s">
        <v>1272</v>
      </c>
      <c r="I226" s="21"/>
      <c r="J226" s="21"/>
      <c r="K226" s="5"/>
      <c r="L226" s="5" t="s">
        <v>55</v>
      </c>
      <c r="M226" s="21"/>
      <c r="N226" s="21" t="s">
        <v>705</v>
      </c>
      <c r="O226" s="21" t="s">
        <v>57</v>
      </c>
      <c r="P226" s="21" t="s">
        <v>58</v>
      </c>
      <c r="Q226" s="21" t="s">
        <v>94</v>
      </c>
      <c r="R226" s="21"/>
      <c r="S226" s="21" t="s">
        <v>1322</v>
      </c>
      <c r="V226" s="21" t="s">
        <v>1374</v>
      </c>
      <c r="W2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6" s="9">
        <f>+DATE(YEAR(Control[[#This Row],[Fecha Requisición]]),MONTH(Control[[#This Row],[Fecha Requisición]]),1)</f>
        <v>46266</v>
      </c>
      <c r="Y226" s="14" t="str">
        <f>+IF(Control[[#This Row],[Fecha de entrega]]="","",NETWORKDAYS(Control[[#This Row],[Fecha Requisición]],Control[[#This Row],[Fecha de entrega]]))</f>
        <v/>
      </c>
      <c r="Z226" s="21"/>
      <c r="AA226" s="13">
        <f>+_xlfn.ISOWEEKNUM(Control[[#This Row],[Fecha Requisición]])</f>
        <v>37</v>
      </c>
    </row>
    <row r="227" spans="1:27" hidden="1">
      <c r="A227" s="21" t="s">
        <v>1273</v>
      </c>
      <c r="B227" s="21" t="s">
        <v>1274</v>
      </c>
      <c r="C227" s="21" t="s">
        <v>1275</v>
      </c>
      <c r="D227" s="21"/>
      <c r="E227" s="21">
        <v>153</v>
      </c>
      <c r="F227" s="21" t="s">
        <v>1276</v>
      </c>
      <c r="G227" s="21" t="s">
        <v>1272</v>
      </c>
      <c r="H227" s="21" t="s">
        <v>1272</v>
      </c>
      <c r="I227" s="21"/>
      <c r="J227" s="21"/>
      <c r="K227" s="5"/>
      <c r="L227" s="5" t="s">
        <v>31</v>
      </c>
      <c r="M227" s="21"/>
      <c r="N227" s="21" t="s">
        <v>705</v>
      </c>
      <c r="O227" s="21" t="s">
        <v>57</v>
      </c>
      <c r="P227" s="21" t="s">
        <v>58</v>
      </c>
      <c r="Q227" s="21" t="s">
        <v>94</v>
      </c>
      <c r="R227" s="21"/>
      <c r="S227" s="21" t="s">
        <v>1322</v>
      </c>
      <c r="V227" s="21" t="s">
        <v>1374</v>
      </c>
      <c r="W2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7" s="9">
        <f>+DATE(YEAR(Control[[#This Row],[Fecha Requisición]]),MONTH(Control[[#This Row],[Fecha Requisición]]),1)</f>
        <v>46266</v>
      </c>
      <c r="Y227" s="14" t="str">
        <f>+IF(Control[[#This Row],[Fecha de entrega]]="","",NETWORKDAYS(Control[[#This Row],[Fecha Requisición]],Control[[#This Row],[Fecha de entrega]]))</f>
        <v/>
      </c>
      <c r="Z227" s="21"/>
      <c r="AA227" s="13">
        <f>+_xlfn.ISOWEEKNUM(Control[[#This Row],[Fecha Requisición]])</f>
        <v>37</v>
      </c>
    </row>
    <row r="228" spans="1:27" hidden="1">
      <c r="A228" s="21" t="s">
        <v>1290</v>
      </c>
      <c r="B228" s="21" t="s">
        <v>1291</v>
      </c>
      <c r="C228" s="21" t="s">
        <v>1292</v>
      </c>
      <c r="D228" s="21"/>
      <c r="E228" s="21">
        <v>157</v>
      </c>
      <c r="F228" s="21" t="s">
        <v>1293</v>
      </c>
      <c r="G228" s="21" t="s">
        <v>1272</v>
      </c>
      <c r="H228" s="21" t="s">
        <v>1272</v>
      </c>
      <c r="I228" s="21"/>
      <c r="J228" s="21"/>
      <c r="K228" s="5"/>
      <c r="L228" s="5" t="s">
        <v>31</v>
      </c>
      <c r="M228" s="21"/>
      <c r="N228" s="21" t="s">
        <v>975</v>
      </c>
      <c r="O228" s="21" t="s">
        <v>57</v>
      </c>
      <c r="P228" s="21" t="s">
        <v>124</v>
      </c>
      <c r="Q228" s="21" t="s">
        <v>36</v>
      </c>
      <c r="R228" s="21"/>
      <c r="S228" s="21" t="s">
        <v>517</v>
      </c>
      <c r="V228" s="21" t="s">
        <v>1267</v>
      </c>
      <c r="W2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8" s="9">
        <f>+DATE(YEAR(Control[[#This Row],[Fecha Requisición]]),MONTH(Control[[#This Row],[Fecha Requisición]]),1)</f>
        <v>46266</v>
      </c>
      <c r="Y228" s="14" t="str">
        <f>+IF(Control[[#This Row],[Fecha de entrega]]="","",NETWORKDAYS(Control[[#This Row],[Fecha Requisición]],Control[[#This Row],[Fecha de entrega]]))</f>
        <v/>
      </c>
      <c r="Z228" s="21"/>
      <c r="AA228" s="13">
        <f>+_xlfn.ISOWEEKNUM(Control[[#This Row],[Fecha Requisición]])</f>
        <v>37</v>
      </c>
    </row>
    <row r="229" spans="1:27" hidden="1">
      <c r="A229" s="21" t="s">
        <v>1314</v>
      </c>
      <c r="B229" s="21" t="s">
        <v>1315</v>
      </c>
      <c r="C229" s="21" t="s">
        <v>1316</v>
      </c>
      <c r="D229" s="21"/>
      <c r="E229" s="21">
        <v>163</v>
      </c>
      <c r="F229" s="21" t="s">
        <v>1317</v>
      </c>
      <c r="G229" s="21" t="s">
        <v>1272</v>
      </c>
      <c r="H229" s="21" t="s">
        <v>1272</v>
      </c>
      <c r="I229" s="21"/>
      <c r="J229" s="21"/>
      <c r="K229" s="5"/>
      <c r="L229" s="5" t="s">
        <v>55</v>
      </c>
      <c r="M229" s="21"/>
      <c r="N229" s="21" t="s">
        <v>383</v>
      </c>
      <c r="O229" s="21" t="s">
        <v>384</v>
      </c>
      <c r="P229" s="21" t="s">
        <v>58</v>
      </c>
      <c r="Q229" s="21" t="s">
        <v>36</v>
      </c>
      <c r="R229" s="21"/>
      <c r="S229" s="21" t="s">
        <v>514</v>
      </c>
      <c r="V229" s="21" t="s">
        <v>1381</v>
      </c>
      <c r="W2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9" s="9">
        <f>+DATE(YEAR(Control[[#This Row],[Fecha Requisición]]),MONTH(Control[[#This Row],[Fecha Requisición]]),1)</f>
        <v>46266</v>
      </c>
      <c r="Y229" s="14" t="str">
        <f>+IF(Control[[#This Row],[Fecha de entrega]]="","",NETWORKDAYS(Control[[#This Row],[Fecha Requisición]],Control[[#This Row],[Fecha de entrega]]))</f>
        <v/>
      </c>
      <c r="Z229" s="21"/>
      <c r="AA229" s="13">
        <f>+_xlfn.ISOWEEKNUM(Control[[#This Row],[Fecha Requisición]])</f>
        <v>37</v>
      </c>
    </row>
    <row r="230" spans="1:27" hidden="1">
      <c r="A230" s="21" t="s">
        <v>1318</v>
      </c>
      <c r="B230" s="21" t="s">
        <v>1319</v>
      </c>
      <c r="C230" s="21" t="s">
        <v>1320</v>
      </c>
      <c r="D230" s="21"/>
      <c r="E230" s="21">
        <v>164</v>
      </c>
      <c r="F230" s="21" t="s">
        <v>1321</v>
      </c>
      <c r="G230" s="21" t="s">
        <v>1272</v>
      </c>
      <c r="H230" s="21" t="s">
        <v>1272</v>
      </c>
      <c r="I230" s="21"/>
      <c r="J230" s="21"/>
      <c r="K230" s="5"/>
      <c r="L230" s="5" t="s">
        <v>31</v>
      </c>
      <c r="M230" s="21"/>
      <c r="N230" s="21" t="s">
        <v>219</v>
      </c>
      <c r="O230" s="21" t="s">
        <v>384</v>
      </c>
      <c r="P230" s="21"/>
      <c r="Q230" s="21" t="s">
        <v>94</v>
      </c>
      <c r="R230" s="21"/>
      <c r="S230" s="21" t="s">
        <v>517</v>
      </c>
      <c r="V230" s="21" t="s">
        <v>1289</v>
      </c>
      <c r="W2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0" s="9">
        <f>+DATE(YEAR(Control[[#This Row],[Fecha Requisición]]),MONTH(Control[[#This Row],[Fecha Requisición]]),1)</f>
        <v>46266</v>
      </c>
      <c r="Y230" s="14" t="str">
        <f>+IF(Control[[#This Row],[Fecha de entrega]]="","",NETWORKDAYS(Control[[#This Row],[Fecha Requisición]],Control[[#This Row],[Fecha de entrega]]))</f>
        <v/>
      </c>
      <c r="Z230" s="21"/>
      <c r="AA230" s="13">
        <f>+_xlfn.ISOWEEKNUM(Control[[#This Row],[Fecha Requisición]])</f>
        <v>37</v>
      </c>
    </row>
    <row r="231" spans="1:27" hidden="1">
      <c r="A231" s="21" t="s">
        <v>1324</v>
      </c>
      <c r="B231" s="21" t="s">
        <v>1325</v>
      </c>
      <c r="C231" s="21" t="s">
        <v>1463</v>
      </c>
      <c r="D231" s="21"/>
      <c r="E231" s="21">
        <v>165</v>
      </c>
      <c r="F231" s="21" t="s">
        <v>1327</v>
      </c>
      <c r="G231" s="21" t="s">
        <v>1328</v>
      </c>
      <c r="H231" s="21" t="s">
        <v>1328</v>
      </c>
      <c r="I231" s="21"/>
      <c r="J231" s="21"/>
      <c r="K231" s="5"/>
      <c r="L231" s="5" t="s">
        <v>55</v>
      </c>
      <c r="M231" s="21"/>
      <c r="N231" s="21" t="s">
        <v>204</v>
      </c>
      <c r="O231" s="21" t="s">
        <v>86</v>
      </c>
      <c r="P231" s="21" t="s">
        <v>58</v>
      </c>
      <c r="Q231" s="21" t="s">
        <v>36</v>
      </c>
      <c r="R231" s="21"/>
      <c r="S231" s="21" t="s">
        <v>517</v>
      </c>
      <c r="V231" s="21" t="s">
        <v>1267</v>
      </c>
      <c r="W2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1" s="9">
        <f>+DATE(YEAR(Control[[#This Row],[Fecha Requisición]]),MONTH(Control[[#This Row],[Fecha Requisición]]),1)</f>
        <v>46266</v>
      </c>
      <c r="Y231" s="14" t="str">
        <f>+IF(Control[[#This Row],[Fecha de entrega]]="","",NETWORKDAYS(Control[[#This Row],[Fecha Requisición]],Control[[#This Row],[Fecha de entrega]]))</f>
        <v/>
      </c>
      <c r="Z231" s="21"/>
      <c r="AA231" s="13">
        <f>+_xlfn.ISOWEEKNUM(Control[[#This Row],[Fecha Requisición]])</f>
        <v>37</v>
      </c>
    </row>
    <row r="232" spans="1:27" hidden="1">
      <c r="A232" s="21" t="s">
        <v>1324</v>
      </c>
      <c r="B232" s="21" t="s">
        <v>1325</v>
      </c>
      <c r="C232" s="21" t="s">
        <v>1326</v>
      </c>
      <c r="D232" s="21"/>
      <c r="E232" s="21">
        <v>165</v>
      </c>
      <c r="F232" s="21" t="s">
        <v>1327</v>
      </c>
      <c r="G232" s="21" t="s">
        <v>1328</v>
      </c>
      <c r="H232" s="21" t="s">
        <v>1328</v>
      </c>
      <c r="I232" s="21"/>
      <c r="J232" s="21"/>
      <c r="K232" s="5"/>
      <c r="L232" s="5" t="s">
        <v>55</v>
      </c>
      <c r="M232" s="21"/>
      <c r="N232" s="21" t="s">
        <v>204</v>
      </c>
      <c r="O232" s="21" t="s">
        <v>86</v>
      </c>
      <c r="P232" s="21" t="s">
        <v>58</v>
      </c>
      <c r="Q232" s="21" t="s">
        <v>36</v>
      </c>
      <c r="R232" s="21"/>
      <c r="S232" s="21" t="s">
        <v>517</v>
      </c>
      <c r="V232" s="21" t="s">
        <v>1267</v>
      </c>
      <c r="W2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2" s="9">
        <f>+DATE(YEAR(Control[[#This Row],[Fecha Requisición]]),MONTH(Control[[#This Row],[Fecha Requisición]]),1)</f>
        <v>46266</v>
      </c>
      <c r="Y232" s="14" t="str">
        <f>+IF(Control[[#This Row],[Fecha de entrega]]="","",NETWORKDAYS(Control[[#This Row],[Fecha Requisición]],Control[[#This Row],[Fecha de entrega]]))</f>
        <v/>
      </c>
      <c r="Z232" s="21"/>
      <c r="AA232" s="13">
        <f>+_xlfn.ISOWEEKNUM(Control[[#This Row],[Fecha Requisición]])</f>
        <v>37</v>
      </c>
    </row>
    <row r="233" spans="1:27" hidden="1">
      <c r="A233" s="21" t="s">
        <v>1329</v>
      </c>
      <c r="B233" s="21" t="s">
        <v>1330</v>
      </c>
      <c r="C233" s="21" t="s">
        <v>1331</v>
      </c>
      <c r="D233" s="21"/>
      <c r="E233" s="21">
        <v>166</v>
      </c>
      <c r="F233" s="21" t="s">
        <v>1332</v>
      </c>
      <c r="G233" s="21" t="s">
        <v>1328</v>
      </c>
      <c r="H233" s="21" t="s">
        <v>1328</v>
      </c>
      <c r="I233" s="21"/>
      <c r="J233" s="21"/>
      <c r="K233" s="5"/>
      <c r="L233" s="5" t="s">
        <v>55</v>
      </c>
      <c r="M233" s="21"/>
      <c r="N233" s="21" t="s">
        <v>204</v>
      </c>
      <c r="O233" s="21" t="s">
        <v>86</v>
      </c>
      <c r="P233" s="21" t="s">
        <v>58</v>
      </c>
      <c r="Q233" s="21" t="s">
        <v>36</v>
      </c>
      <c r="R233" s="21"/>
      <c r="S233" s="21" t="s">
        <v>517</v>
      </c>
      <c r="V233" s="21" t="s">
        <v>1267</v>
      </c>
      <c r="W2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3" s="9">
        <f>+DATE(YEAR(Control[[#This Row],[Fecha Requisición]]),MONTH(Control[[#This Row],[Fecha Requisición]]),1)</f>
        <v>46266</v>
      </c>
      <c r="Y233" s="14" t="str">
        <f>+IF(Control[[#This Row],[Fecha de entrega]]="","",NETWORKDAYS(Control[[#This Row],[Fecha Requisición]],Control[[#This Row],[Fecha de entrega]]))</f>
        <v/>
      </c>
      <c r="Z233" s="21"/>
      <c r="AA233" s="13">
        <f>+_xlfn.ISOWEEKNUM(Control[[#This Row],[Fecha Requisición]])</f>
        <v>37</v>
      </c>
    </row>
    <row r="234" spans="1:27" hidden="1">
      <c r="A234" s="21" t="s">
        <v>1341</v>
      </c>
      <c r="B234" s="21" t="s">
        <v>1342</v>
      </c>
      <c r="C234" s="21" t="s">
        <v>1343</v>
      </c>
      <c r="D234" s="21"/>
      <c r="E234" s="21">
        <v>169</v>
      </c>
      <c r="F234" s="21" t="s">
        <v>1344</v>
      </c>
      <c r="G234" s="21" t="s">
        <v>1328</v>
      </c>
      <c r="H234" s="21" t="s">
        <v>1328</v>
      </c>
      <c r="I234" s="21"/>
      <c r="J234" s="21"/>
      <c r="K234" s="5"/>
      <c r="L234" s="5" t="s">
        <v>31</v>
      </c>
      <c r="M234" s="21"/>
      <c r="N234" s="21" t="s">
        <v>975</v>
      </c>
      <c r="O234" s="21" t="s">
        <v>86</v>
      </c>
      <c r="P234" s="21" t="s">
        <v>124</v>
      </c>
      <c r="Q234" s="21" t="s">
        <v>36</v>
      </c>
      <c r="R234" s="21"/>
      <c r="S234" s="21" t="s">
        <v>517</v>
      </c>
      <c r="V234" s="21" t="s">
        <v>1267</v>
      </c>
      <c r="W2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4" s="9">
        <f>+DATE(YEAR(Control[[#This Row],[Fecha Requisición]]),MONTH(Control[[#This Row],[Fecha Requisición]]),1)</f>
        <v>46266</v>
      </c>
      <c r="Y234" s="14" t="str">
        <f>+IF(Control[[#This Row],[Fecha de entrega]]="","",NETWORKDAYS(Control[[#This Row],[Fecha Requisición]],Control[[#This Row],[Fecha de entrega]]))</f>
        <v/>
      </c>
      <c r="Z234" s="21"/>
      <c r="AA234" s="13">
        <f>+_xlfn.ISOWEEKNUM(Control[[#This Row],[Fecha Requisición]])</f>
        <v>37</v>
      </c>
    </row>
    <row r="235" spans="1:27" hidden="1">
      <c r="A235" s="21" t="s">
        <v>1353</v>
      </c>
      <c r="B235" s="21" t="s">
        <v>1354</v>
      </c>
      <c r="C235" s="21" t="s">
        <v>1368</v>
      </c>
      <c r="D235" s="21"/>
      <c r="E235" s="21">
        <v>172</v>
      </c>
      <c r="F235" s="21" t="s">
        <v>1355</v>
      </c>
      <c r="G235" s="21" t="s">
        <v>1328</v>
      </c>
      <c r="H235" s="21" t="s">
        <v>1328</v>
      </c>
      <c r="I235" s="21"/>
      <c r="J235" s="21"/>
      <c r="K235" s="5"/>
      <c r="L235" s="5" t="s">
        <v>31</v>
      </c>
      <c r="M235" s="21"/>
      <c r="N235" s="21" t="s">
        <v>975</v>
      </c>
      <c r="O235" s="21" t="s">
        <v>101</v>
      </c>
      <c r="P235" s="21" t="s">
        <v>124</v>
      </c>
      <c r="Q235" s="21" t="s">
        <v>36</v>
      </c>
      <c r="R235" s="21"/>
      <c r="S235" s="21" t="s">
        <v>517</v>
      </c>
      <c r="V235" s="21" t="s">
        <v>1267</v>
      </c>
      <c r="W2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5" s="9">
        <f>+DATE(YEAR(Control[[#This Row],[Fecha Requisición]]),MONTH(Control[[#This Row],[Fecha Requisición]]),1)</f>
        <v>46266</v>
      </c>
      <c r="Y235" s="14" t="str">
        <f>+IF(Control[[#This Row],[Fecha de entrega]]="","",NETWORKDAYS(Control[[#This Row],[Fecha Requisición]],Control[[#This Row],[Fecha de entrega]]))</f>
        <v/>
      </c>
      <c r="Z235" s="21"/>
      <c r="AA235" s="13">
        <f>+_xlfn.ISOWEEKNUM(Control[[#This Row],[Fecha Requisición]])</f>
        <v>37</v>
      </c>
    </row>
    <row r="236" spans="1:27" hidden="1">
      <c r="A236" s="21" t="s">
        <v>1356</v>
      </c>
      <c r="B236" s="21" t="s">
        <v>1357</v>
      </c>
      <c r="C236" s="21" t="s">
        <v>1369</v>
      </c>
      <c r="D236" s="21"/>
      <c r="E236" s="21">
        <v>173</v>
      </c>
      <c r="F236" s="21" t="s">
        <v>1358</v>
      </c>
      <c r="G236" s="21" t="s">
        <v>1328</v>
      </c>
      <c r="H236" s="21" t="s">
        <v>1328</v>
      </c>
      <c r="I236" s="21"/>
      <c r="J236" s="21"/>
      <c r="K236" s="5"/>
      <c r="L236" s="5" t="s">
        <v>31</v>
      </c>
      <c r="M236" s="21"/>
      <c r="N236" s="21" t="s">
        <v>975</v>
      </c>
      <c r="O236" s="21" t="s">
        <v>57</v>
      </c>
      <c r="P236" s="21" t="s">
        <v>124</v>
      </c>
      <c r="Q236" s="21" t="s">
        <v>36</v>
      </c>
      <c r="R236" s="21"/>
      <c r="S236" s="21" t="s">
        <v>517</v>
      </c>
      <c r="V236" s="21" t="s">
        <v>1323</v>
      </c>
      <c r="W2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6" s="9">
        <f>+DATE(YEAR(Control[[#This Row],[Fecha Requisición]]),MONTH(Control[[#This Row],[Fecha Requisición]]),1)</f>
        <v>46266</v>
      </c>
      <c r="Y236" s="14" t="str">
        <f>+IF(Control[[#This Row],[Fecha de entrega]]="","",NETWORKDAYS(Control[[#This Row],[Fecha Requisición]],Control[[#This Row],[Fecha de entrega]]))</f>
        <v/>
      </c>
      <c r="Z236" s="21"/>
      <c r="AA236" s="13">
        <f>+_xlfn.ISOWEEKNUM(Control[[#This Row],[Fecha Requisición]])</f>
        <v>37</v>
      </c>
    </row>
    <row r="237" spans="1:27" hidden="1">
      <c r="A237" s="21" t="s">
        <v>1359</v>
      </c>
      <c r="B237" s="21" t="s">
        <v>1360</v>
      </c>
      <c r="C237" s="21" t="s">
        <v>1370</v>
      </c>
      <c r="D237" s="21"/>
      <c r="E237" s="21">
        <v>174</v>
      </c>
      <c r="F237" s="21" t="s">
        <v>1361</v>
      </c>
      <c r="G237" s="21" t="s">
        <v>1328</v>
      </c>
      <c r="H237" s="21" t="s">
        <v>1328</v>
      </c>
      <c r="I237" s="21"/>
      <c r="J237" s="21"/>
      <c r="K237" s="5"/>
      <c r="L237" s="5" t="s">
        <v>31</v>
      </c>
      <c r="M237" s="21"/>
      <c r="N237" s="21" t="s">
        <v>167</v>
      </c>
      <c r="O237" s="21" t="s">
        <v>197</v>
      </c>
      <c r="P237" s="21" t="s">
        <v>273</v>
      </c>
      <c r="Q237" s="21" t="s">
        <v>36</v>
      </c>
      <c r="R237" s="21"/>
      <c r="S237" s="21" t="s">
        <v>514</v>
      </c>
      <c r="V237" s="21" t="s">
        <v>1442</v>
      </c>
      <c r="W2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7" s="9">
        <f>+DATE(YEAR(Control[[#This Row],[Fecha Requisición]]),MONTH(Control[[#This Row],[Fecha Requisición]]),1)</f>
        <v>46266</v>
      </c>
      <c r="Y237" s="14" t="str">
        <f>+IF(Control[[#This Row],[Fecha de entrega]]="","",NETWORKDAYS(Control[[#This Row],[Fecha Requisición]],Control[[#This Row],[Fecha de entrega]]))</f>
        <v/>
      </c>
      <c r="Z237" s="21"/>
      <c r="AA237" s="13">
        <f>+_xlfn.ISOWEEKNUM(Control[[#This Row],[Fecha Requisición]])</f>
        <v>37</v>
      </c>
    </row>
    <row r="238" spans="1:27" hidden="1">
      <c r="A238" s="21" t="s">
        <v>1362</v>
      </c>
      <c r="B238" s="21" t="s">
        <v>1363</v>
      </c>
      <c r="C238" s="21" t="s">
        <v>1371</v>
      </c>
      <c r="D238" s="21"/>
      <c r="E238" s="21">
        <v>175</v>
      </c>
      <c r="F238" s="21" t="s">
        <v>1364</v>
      </c>
      <c r="G238" s="21" t="s">
        <v>1328</v>
      </c>
      <c r="H238" s="21" t="s">
        <v>1328</v>
      </c>
      <c r="I238" s="21"/>
      <c r="J238" s="21"/>
      <c r="K238" s="5"/>
      <c r="L238" s="5" t="s">
        <v>31</v>
      </c>
      <c r="M238" s="21"/>
      <c r="N238" s="21" t="s">
        <v>167</v>
      </c>
      <c r="O238" s="21" t="s">
        <v>197</v>
      </c>
      <c r="P238" s="21" t="s">
        <v>273</v>
      </c>
      <c r="Q238" s="21" t="s">
        <v>36</v>
      </c>
      <c r="R238" s="21"/>
      <c r="S238" s="21" t="s">
        <v>517</v>
      </c>
      <c r="V238" s="21" t="s">
        <v>1267</v>
      </c>
      <c r="W2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8" s="9">
        <f>+DATE(YEAR(Control[[#This Row],[Fecha Requisición]]),MONTH(Control[[#This Row],[Fecha Requisición]]),1)</f>
        <v>46266</v>
      </c>
      <c r="Y238" s="14" t="str">
        <f>+IF(Control[[#This Row],[Fecha de entrega]]="","",NETWORKDAYS(Control[[#This Row],[Fecha Requisición]],Control[[#This Row],[Fecha de entrega]]))</f>
        <v/>
      </c>
      <c r="Z238" s="21"/>
      <c r="AA238" s="13">
        <f>+_xlfn.ISOWEEKNUM(Control[[#This Row],[Fecha Requisición]])</f>
        <v>37</v>
      </c>
    </row>
    <row r="239" spans="1:27" hidden="1">
      <c r="A239" s="21" t="s">
        <v>1415</v>
      </c>
      <c r="B239" s="21" t="s">
        <v>1416</v>
      </c>
      <c r="C239" s="21" t="s">
        <v>1417</v>
      </c>
      <c r="D239" s="21"/>
      <c r="E239" s="21">
        <v>176</v>
      </c>
      <c r="F239" s="21" t="s">
        <v>1418</v>
      </c>
      <c r="G239" s="21" t="s">
        <v>1419</v>
      </c>
      <c r="H239" s="21" t="s">
        <v>1419</v>
      </c>
      <c r="I239" s="21"/>
      <c r="J239" s="21"/>
      <c r="K239" s="5"/>
      <c r="L239" s="5" t="s">
        <v>31</v>
      </c>
      <c r="M239" s="21"/>
      <c r="N239" s="21" t="s">
        <v>435</v>
      </c>
      <c r="O239" s="21"/>
      <c r="P239" s="21" t="s">
        <v>57</v>
      </c>
      <c r="Q239" s="21">
        <v>46274</v>
      </c>
      <c r="R239" s="21"/>
      <c r="S239" s="21" t="s">
        <v>517</v>
      </c>
      <c r="V239" s="21" t="s">
        <v>1267</v>
      </c>
      <c r="W2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9" s="9">
        <f>+DATE(YEAR(Control[[#This Row],[Fecha Requisición]]),MONTH(Control[[#This Row],[Fecha Requisición]]),1)</f>
        <v>46266</v>
      </c>
      <c r="Y239" s="14" t="str">
        <f>+IF(Control[[#This Row],[Fecha de entrega]]="","",NETWORKDAYS(Control[[#This Row],[Fecha Requisición]],Control[[#This Row],[Fecha de entrega]]))</f>
        <v/>
      </c>
      <c r="Z239" s="21"/>
      <c r="AA239" s="13">
        <f>+_xlfn.ISOWEEKNUM(Control[[#This Row],[Fecha Requisición]])</f>
        <v>37</v>
      </c>
    </row>
    <row r="240" spans="1:27" hidden="1">
      <c r="A240" s="21" t="s">
        <v>1415</v>
      </c>
      <c r="B240" s="21" t="s">
        <v>1416</v>
      </c>
      <c r="C240" s="21" t="s">
        <v>1417</v>
      </c>
      <c r="D240" s="21"/>
      <c r="E240" s="21">
        <v>176</v>
      </c>
      <c r="F240" s="21" t="s">
        <v>1418</v>
      </c>
      <c r="G240" s="21" t="s">
        <v>1419</v>
      </c>
      <c r="H240" s="21" t="s">
        <v>1419</v>
      </c>
      <c r="I240" s="21"/>
      <c r="J240" s="21"/>
      <c r="K240" s="5"/>
      <c r="L240" s="5" t="s">
        <v>31</v>
      </c>
      <c r="M240" s="21"/>
      <c r="N240" s="21" t="s">
        <v>435</v>
      </c>
      <c r="O240" s="21"/>
      <c r="P240" s="21" t="s">
        <v>35</v>
      </c>
      <c r="Q240" s="21" t="s">
        <v>59</v>
      </c>
      <c r="R240" s="21"/>
      <c r="S240" s="21" t="s">
        <v>517</v>
      </c>
      <c r="V240" s="21" t="s">
        <v>1267</v>
      </c>
      <c r="W2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0" s="9">
        <f>+DATE(YEAR(Control[[#This Row],[Fecha Requisición]]),MONTH(Control[[#This Row],[Fecha Requisición]]),1)</f>
        <v>46266</v>
      </c>
      <c r="Y240" s="14" t="str">
        <f>+IF(Control[[#This Row],[Fecha de entrega]]="","",NETWORKDAYS(Control[[#This Row],[Fecha Requisición]],Control[[#This Row],[Fecha de entrega]]))</f>
        <v/>
      </c>
      <c r="Z240" s="21"/>
      <c r="AA240" s="13">
        <f>+_xlfn.ISOWEEKNUM(Control[[#This Row],[Fecha Requisición]])</f>
        <v>37</v>
      </c>
    </row>
    <row r="241" spans="1:27" hidden="1">
      <c r="A241" s="21" t="s">
        <v>1420</v>
      </c>
      <c r="B241" s="21" t="s">
        <v>1421</v>
      </c>
      <c r="C241" s="21" t="s">
        <v>1422</v>
      </c>
      <c r="D241" s="21"/>
      <c r="E241" s="21">
        <v>177</v>
      </c>
      <c r="F241" s="21" t="s">
        <v>1423</v>
      </c>
      <c r="G241" s="21" t="s">
        <v>1419</v>
      </c>
      <c r="H241" s="21" t="s">
        <v>1419</v>
      </c>
      <c r="I241" s="21"/>
      <c r="J241" s="21"/>
      <c r="K241" s="5"/>
      <c r="L241" s="5" t="s">
        <v>31</v>
      </c>
      <c r="M241" s="21"/>
      <c r="N241" s="21" t="s">
        <v>219</v>
      </c>
      <c r="O241" s="21" t="s">
        <v>176</v>
      </c>
      <c r="P241" s="21" t="s">
        <v>463</v>
      </c>
      <c r="Q241" s="21" t="s">
        <v>94</v>
      </c>
      <c r="R241" s="21"/>
      <c r="S241" s="21" t="s">
        <v>517</v>
      </c>
      <c r="V241" s="21" t="s">
        <v>1267</v>
      </c>
      <c r="W2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1" s="9">
        <f>+DATE(YEAR(Control[[#This Row],[Fecha Requisición]]),MONTH(Control[[#This Row],[Fecha Requisición]]),1)</f>
        <v>46266</v>
      </c>
      <c r="Y241" s="14" t="str">
        <f>+IF(Control[[#This Row],[Fecha de entrega]]="","",NETWORKDAYS(Control[[#This Row],[Fecha Requisición]],Control[[#This Row],[Fecha de entrega]]))</f>
        <v/>
      </c>
      <c r="Z241" s="21"/>
      <c r="AA241" s="13">
        <f>+_xlfn.ISOWEEKNUM(Control[[#This Row],[Fecha Requisición]])</f>
        <v>37</v>
      </c>
    </row>
    <row r="242" spans="1:27" hidden="1">
      <c r="A242" s="21" t="s">
        <v>1424</v>
      </c>
      <c r="B242" s="21" t="s">
        <v>1425</v>
      </c>
      <c r="C242" s="21" t="s">
        <v>1426</v>
      </c>
      <c r="D242" s="21"/>
      <c r="E242" s="21">
        <v>178</v>
      </c>
      <c r="F242" s="21" t="s">
        <v>1427</v>
      </c>
      <c r="G242" s="21" t="s">
        <v>1419</v>
      </c>
      <c r="H242" s="21" t="s">
        <v>1419</v>
      </c>
      <c r="I242" s="21"/>
      <c r="J242" s="21"/>
      <c r="K242" s="5"/>
      <c r="L242" s="5" t="s">
        <v>55</v>
      </c>
      <c r="M242" s="21"/>
      <c r="N242" s="21" t="s">
        <v>705</v>
      </c>
      <c r="O242" s="21" t="s">
        <v>101</v>
      </c>
      <c r="P242" s="21" t="s">
        <v>58</v>
      </c>
      <c r="Q242" s="21" t="s">
        <v>59</v>
      </c>
      <c r="R242" s="21"/>
      <c r="S242" s="21" t="s">
        <v>772</v>
      </c>
      <c r="V242" s="21" t="s">
        <v>1323</v>
      </c>
      <c r="W2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2" s="9">
        <f>+DATE(YEAR(Control[[#This Row],[Fecha Requisición]]),MONTH(Control[[#This Row],[Fecha Requisición]]),1)</f>
        <v>46266</v>
      </c>
      <c r="Y242" s="14" t="str">
        <f>+IF(Control[[#This Row],[Fecha de entrega]]="","",NETWORKDAYS(Control[[#This Row],[Fecha Requisición]],Control[[#This Row],[Fecha de entrega]]))</f>
        <v/>
      </c>
      <c r="Z242" s="21"/>
      <c r="AA242" s="13">
        <f>+_xlfn.ISOWEEKNUM(Control[[#This Row],[Fecha Requisición]])</f>
        <v>37</v>
      </c>
    </row>
    <row r="243" spans="1:27" hidden="1">
      <c r="A243" s="21" t="s">
        <v>1428</v>
      </c>
      <c r="B243" s="21" t="s">
        <v>1429</v>
      </c>
      <c r="C243" s="21" t="s">
        <v>1430</v>
      </c>
      <c r="D243" s="21"/>
      <c r="E243" s="21">
        <v>179</v>
      </c>
      <c r="F243" s="21" t="s">
        <v>1431</v>
      </c>
      <c r="G243" s="21" t="s">
        <v>1432</v>
      </c>
      <c r="H243" s="21" t="s">
        <v>1432</v>
      </c>
      <c r="I243" s="21"/>
      <c r="J243" s="21"/>
      <c r="K243" s="5"/>
      <c r="L243" s="5" t="s">
        <v>31</v>
      </c>
      <c r="M243" s="21"/>
      <c r="N243" s="21" t="s">
        <v>765</v>
      </c>
      <c r="O243" s="21" t="s">
        <v>57</v>
      </c>
      <c r="P243" s="21" t="s">
        <v>35</v>
      </c>
      <c r="Q243" s="21" t="s">
        <v>94</v>
      </c>
      <c r="R243" s="21"/>
      <c r="S243" s="21" t="s">
        <v>517</v>
      </c>
      <c r="U243" s="2">
        <v>46279</v>
      </c>
      <c r="V243" s="21" t="s">
        <v>1443</v>
      </c>
      <c r="W2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3" s="9">
        <f>+DATE(YEAR(Control[[#This Row],[Fecha Requisición]]),MONTH(Control[[#This Row],[Fecha Requisición]]),1)</f>
        <v>46266</v>
      </c>
      <c r="Y243" s="14">
        <f>+IF(Control[[#This Row],[Fecha de entrega]]="","",NETWORKDAYS(Control[[#This Row],[Fecha Requisición]],Control[[#This Row],[Fecha de entrega]]))</f>
        <v>1</v>
      </c>
      <c r="Z243" s="21"/>
      <c r="AA243" s="13">
        <f>+_xlfn.ISOWEEKNUM(Control[[#This Row],[Fecha Requisición]])</f>
        <v>38</v>
      </c>
    </row>
    <row r="244" spans="1:27" hidden="1">
      <c r="A244" s="21" t="s">
        <v>1433</v>
      </c>
      <c r="B244" s="21" t="s">
        <v>1434</v>
      </c>
      <c r="C244" s="21" t="s">
        <v>1435</v>
      </c>
      <c r="D244" s="21"/>
      <c r="E244" s="21">
        <v>180</v>
      </c>
      <c r="F244" s="21" t="s">
        <v>1436</v>
      </c>
      <c r="G244" s="21" t="s">
        <v>1432</v>
      </c>
      <c r="H244" s="21" t="s">
        <v>1432</v>
      </c>
      <c r="I244" s="21"/>
      <c r="J244" s="21"/>
      <c r="K244" s="5"/>
      <c r="L244" s="5" t="s">
        <v>31</v>
      </c>
      <c r="M244" s="21"/>
      <c r="N244" s="21" t="s">
        <v>219</v>
      </c>
      <c r="O244" s="21" t="s">
        <v>176</v>
      </c>
      <c r="P244" s="21" t="s">
        <v>124</v>
      </c>
      <c r="Q244" s="21" t="s">
        <v>94</v>
      </c>
      <c r="R244" s="21"/>
      <c r="S244" s="21" t="s">
        <v>772</v>
      </c>
      <c r="V244" s="21" t="s">
        <v>1267</v>
      </c>
      <c r="W2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4" s="9">
        <f>+DATE(YEAR(Control[[#This Row],[Fecha Requisición]]),MONTH(Control[[#This Row],[Fecha Requisición]]),1)</f>
        <v>46266</v>
      </c>
      <c r="Y244" s="14" t="str">
        <f>+IF(Control[[#This Row],[Fecha de entrega]]="","",NETWORKDAYS(Control[[#This Row],[Fecha Requisición]],Control[[#This Row],[Fecha de entrega]]))</f>
        <v/>
      </c>
      <c r="Z244" s="21"/>
      <c r="AA244" s="13">
        <f>+_xlfn.ISOWEEKNUM(Control[[#This Row],[Fecha Requisición]])</f>
        <v>38</v>
      </c>
    </row>
    <row r="245" spans="1:27" hidden="1">
      <c r="A245" s="21" t="s">
        <v>1464</v>
      </c>
      <c r="B245" s="21" t="s">
        <v>1465</v>
      </c>
      <c r="C245" s="21" t="s">
        <v>1466</v>
      </c>
      <c r="D245" s="21"/>
      <c r="E245" s="21">
        <v>181</v>
      </c>
      <c r="F245" s="21" t="s">
        <v>1467</v>
      </c>
      <c r="G245" s="21" t="s">
        <v>1432</v>
      </c>
      <c r="H245" s="21" t="s">
        <v>1432</v>
      </c>
      <c r="I245" s="21"/>
      <c r="J245" s="21"/>
      <c r="K245" s="5"/>
      <c r="L245" s="5" t="s">
        <v>55</v>
      </c>
      <c r="M245" s="21"/>
      <c r="N245" s="21" t="s">
        <v>1468</v>
      </c>
      <c r="O245" s="21" t="s">
        <v>176</v>
      </c>
      <c r="P245" s="21" t="s">
        <v>58</v>
      </c>
      <c r="Q245" s="21" t="s">
        <v>94</v>
      </c>
      <c r="R245" s="21"/>
      <c r="S245" s="21" t="s">
        <v>772</v>
      </c>
      <c r="V245" s="21" t="s">
        <v>1323</v>
      </c>
      <c r="W2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5" s="9">
        <f>+DATE(YEAR(Control[[#This Row],[Fecha Requisición]]),MONTH(Control[[#This Row],[Fecha Requisición]]),1)</f>
        <v>46266</v>
      </c>
      <c r="Y245" s="14" t="str">
        <f>+IF(Control[[#This Row],[Fecha de entrega]]="","",NETWORKDAYS(Control[[#This Row],[Fecha Requisición]],Control[[#This Row],[Fecha de entrega]]))</f>
        <v/>
      </c>
      <c r="Z245" s="21"/>
      <c r="AA245" s="13">
        <f>+_xlfn.ISOWEEKNUM(Control[[#This Row],[Fecha Requisición]])</f>
        <v>38</v>
      </c>
    </row>
    <row r="246" spans="1:27" hidden="1">
      <c r="A246" s="21" t="s">
        <v>1469</v>
      </c>
      <c r="B246" s="21" t="s">
        <v>1470</v>
      </c>
      <c r="C246" s="21" t="s">
        <v>1471</v>
      </c>
      <c r="D246" s="21"/>
      <c r="E246" s="21">
        <v>182</v>
      </c>
      <c r="F246" s="21" t="s">
        <v>1472</v>
      </c>
      <c r="G246" s="21" t="s">
        <v>1432</v>
      </c>
      <c r="H246" s="21" t="s">
        <v>1432</v>
      </c>
      <c r="I246" s="21"/>
      <c r="J246" s="21"/>
      <c r="K246" s="5"/>
      <c r="L246" s="5" t="s">
        <v>31</v>
      </c>
      <c r="M246" s="21"/>
      <c r="N246" s="21" t="s">
        <v>204</v>
      </c>
      <c r="O246" s="21" t="s">
        <v>86</v>
      </c>
      <c r="P246" s="21" t="s">
        <v>58</v>
      </c>
      <c r="Q246" s="21" t="s">
        <v>36</v>
      </c>
      <c r="R246" s="21"/>
      <c r="S246" s="21"/>
      <c r="V246" s="21"/>
      <c r="W2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6" s="9">
        <f>+DATE(YEAR(Control[[#This Row],[Fecha Requisición]]),MONTH(Control[[#This Row],[Fecha Requisición]]),1)</f>
        <v>46266</v>
      </c>
      <c r="Y246" s="14" t="str">
        <f>+IF(Control[[#This Row],[Fecha de entrega]]="","",NETWORKDAYS(Control[[#This Row],[Fecha Requisición]],Control[[#This Row],[Fecha de entrega]]))</f>
        <v/>
      </c>
      <c r="Z246" s="21"/>
      <c r="AA246" s="13">
        <f>+_xlfn.ISOWEEKNUM(Control[[#This Row],[Fecha Requisición]])</f>
        <v>38</v>
      </c>
    </row>
    <row r="247" spans="1:27" hidden="1">
      <c r="A247" s="21" t="s">
        <v>1473</v>
      </c>
      <c r="B247" s="21" t="s">
        <v>1474</v>
      </c>
      <c r="C247" s="21" t="s">
        <v>1475</v>
      </c>
      <c r="D247" s="21"/>
      <c r="E247" s="21">
        <v>183</v>
      </c>
      <c r="F247" s="21" t="s">
        <v>1476</v>
      </c>
      <c r="G247" s="21" t="s">
        <v>1432</v>
      </c>
      <c r="H247" s="21" t="s">
        <v>1432</v>
      </c>
      <c r="I247" s="21"/>
      <c r="J247" s="21"/>
      <c r="K247" s="5"/>
      <c r="L247" s="5" t="s">
        <v>55</v>
      </c>
      <c r="M247" s="21"/>
      <c r="N247" s="21" t="s">
        <v>204</v>
      </c>
      <c r="O247" s="21" t="s">
        <v>86</v>
      </c>
      <c r="P247" s="21" t="s">
        <v>58</v>
      </c>
      <c r="Q247" s="21" t="s">
        <v>36</v>
      </c>
      <c r="R247" s="21"/>
      <c r="S247" s="21"/>
      <c r="V247" s="21"/>
      <c r="W2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7" s="9">
        <f>+DATE(YEAR(Control[[#This Row],[Fecha Requisición]]),MONTH(Control[[#This Row],[Fecha Requisición]]),1)</f>
        <v>46266</v>
      </c>
      <c r="Y247" s="14" t="str">
        <f>+IF(Control[[#This Row],[Fecha de entrega]]="","",NETWORKDAYS(Control[[#This Row],[Fecha Requisición]],Control[[#This Row],[Fecha de entrega]]))</f>
        <v/>
      </c>
      <c r="Z247" s="21"/>
      <c r="AA247" s="13">
        <f>+_xlfn.ISOWEEKNUM(Control[[#This Row],[Fecha Requisición]])</f>
        <v>38</v>
      </c>
    </row>
    <row r="248" spans="1:27" hidden="1">
      <c r="A248" s="21" t="s">
        <v>804</v>
      </c>
      <c r="B248" s="21" t="s">
        <v>805</v>
      </c>
      <c r="C248" s="21"/>
      <c r="D248" s="21"/>
      <c r="E248" s="21">
        <v>90</v>
      </c>
      <c r="F248" s="21" t="s">
        <v>806</v>
      </c>
      <c r="G248" s="21" t="s">
        <v>807</v>
      </c>
      <c r="H248" s="21"/>
      <c r="I248" s="21"/>
      <c r="J248" s="21"/>
      <c r="K248" s="5"/>
      <c r="L248" s="5" t="s">
        <v>31</v>
      </c>
      <c r="M248" s="21"/>
      <c r="N248" s="21" t="s">
        <v>307</v>
      </c>
      <c r="O248" s="21" t="s">
        <v>57</v>
      </c>
      <c r="P248" s="21" t="s">
        <v>124</v>
      </c>
      <c r="Q248" s="21" t="s">
        <v>36</v>
      </c>
      <c r="R248" s="21"/>
      <c r="S248" s="21" t="s">
        <v>514</v>
      </c>
      <c r="U248" s="2">
        <v>46237</v>
      </c>
      <c r="V248" s="21" t="s">
        <v>819</v>
      </c>
      <c r="W2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248" s="9">
        <f>+DATE(YEAR(Control[[#This Row],[Fecha Requisición]]),MONTH(Control[[#This Row],[Fecha Requisición]]),1)</f>
        <v>46204</v>
      </c>
      <c r="Y248" s="14">
        <f>+IF(Control[[#This Row],[Fecha de entrega]]="","",NETWORKDAYS(Control[[#This Row],[Fecha Requisición]],Control[[#This Row],[Fecha de entrega]]))</f>
        <v>22</v>
      </c>
      <c r="Z248" s="21"/>
      <c r="AA248" s="13">
        <f>+_xlfn.ISOWEEKNUM(Control[[#This Row],[Fecha Requisición]])</f>
        <v>27</v>
      </c>
    </row>
    <row r="249" spans="1:27" hidden="1">
      <c r="A249" s="21" t="s">
        <v>808</v>
      </c>
      <c r="B249" s="21" t="s">
        <v>809</v>
      </c>
      <c r="C249" s="21"/>
      <c r="D249" s="21"/>
      <c r="E249" s="21">
        <v>91</v>
      </c>
      <c r="F249" s="21" t="s">
        <v>810</v>
      </c>
      <c r="G249" s="21" t="s">
        <v>807</v>
      </c>
      <c r="H249" s="21"/>
      <c r="I249" s="21"/>
      <c r="J249" s="21"/>
      <c r="K249" s="5"/>
      <c r="L249" s="5" t="s">
        <v>31</v>
      </c>
      <c r="M249" s="21"/>
      <c r="N249" s="21" t="s">
        <v>307</v>
      </c>
      <c r="O249" s="21" t="s">
        <v>57</v>
      </c>
      <c r="P249" s="21" t="s">
        <v>124</v>
      </c>
      <c r="Q249" s="21" t="s">
        <v>36</v>
      </c>
      <c r="R249" s="21"/>
      <c r="S249" s="21" t="s">
        <v>514</v>
      </c>
      <c r="U249" s="2">
        <v>46237</v>
      </c>
      <c r="V249" s="21" t="s">
        <v>819</v>
      </c>
      <c r="W2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249" s="9">
        <f>+DATE(YEAR(Control[[#This Row],[Fecha Requisición]]),MONTH(Control[[#This Row],[Fecha Requisición]]),1)</f>
        <v>46204</v>
      </c>
      <c r="Y249" s="14">
        <f>+IF(Control[[#This Row],[Fecha de entrega]]="","",NETWORKDAYS(Control[[#This Row],[Fecha Requisición]],Control[[#This Row],[Fecha de entrega]]))</f>
        <v>22</v>
      </c>
      <c r="Z249" s="21"/>
      <c r="AA249" s="13">
        <f>+_xlfn.ISOWEEKNUM(Control[[#This Row],[Fecha Requisición]])</f>
        <v>27</v>
      </c>
    </row>
    <row r="250" spans="1:27">
      <c r="Z250" s="2"/>
    </row>
    <row r="251" spans="1:27">
      <c r="Z251" s="2"/>
    </row>
    <row r="252" spans="1:27">
      <c r="Z252" s="2"/>
    </row>
    <row r="257" spans="3:4">
      <c r="C257" s="29">
        <f>604800/64</f>
        <v>9450</v>
      </c>
    </row>
    <row r="265" spans="3:4">
      <c r="C265" s="21"/>
      <c r="D265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82"/>
  <sheetViews>
    <sheetView topLeftCell="A141" zoomScale="90" zoomScaleNormal="90" workbookViewId="0">
      <selection activeCell="A182" sqref="A182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7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7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7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7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2" t="s">
        <v>1437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7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7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9" t="s">
        <v>1085</v>
      </c>
      <c r="F88" s="30" t="s">
        <v>1182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7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5" t="s">
        <v>1030</v>
      </c>
      <c r="F98" s="30" t="s">
        <v>1372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1031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4" t="s">
        <v>641</v>
      </c>
      <c r="C104" s="26" t="s">
        <v>516</v>
      </c>
      <c r="D104" s="33">
        <v>46248</v>
      </c>
      <c r="E104" s="27" t="s">
        <v>641</v>
      </c>
      <c r="F104" s="31" t="s">
        <v>1212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7" t="s">
        <v>641</v>
      </c>
      <c r="F109" s="24" t="s">
        <v>1373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1086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1086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1086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1086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1087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7" t="s">
        <v>723</v>
      </c>
      <c r="F121" s="24" t="s">
        <v>1140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1083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7" t="s">
        <v>723</v>
      </c>
      <c r="F124" s="24" t="s">
        <v>1084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1141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7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7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7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7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7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1183</v>
      </c>
      <c r="G133" s="22"/>
    </row>
    <row r="134" spans="1:7">
      <c r="A134" s="32">
        <v>133</v>
      </c>
      <c r="B134" s="24" t="s">
        <v>641</v>
      </c>
      <c r="C134" s="26" t="s">
        <v>516</v>
      </c>
      <c r="D134" s="26" t="s">
        <v>641</v>
      </c>
      <c r="E134" s="27" t="s">
        <v>723</v>
      </c>
      <c r="F134" s="24" t="s">
        <v>641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7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7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1142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 t="s">
        <v>772</v>
      </c>
      <c r="E139" s="25" t="s">
        <v>517</v>
      </c>
      <c r="F139" s="21" t="s">
        <v>1184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7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3">
        <v>46273</v>
      </c>
      <c r="E141" s="9">
        <v>46279</v>
      </c>
      <c r="F141" s="34" t="s">
        <v>1378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1213</v>
      </c>
      <c r="G142" s="22"/>
    </row>
    <row r="143" spans="1:7">
      <c r="A143" s="22">
        <v>142</v>
      </c>
      <c r="B143" s="30" t="s">
        <v>514</v>
      </c>
      <c r="C143" s="22" t="s">
        <v>516</v>
      </c>
      <c r="D143" s="23">
        <v>46275</v>
      </c>
      <c r="E143" s="9">
        <v>46282</v>
      </c>
      <c r="F143" s="34" t="s">
        <v>1438</v>
      </c>
      <c r="G143" s="22"/>
    </row>
    <row r="144" spans="1:7">
      <c r="A144" s="22">
        <v>143</v>
      </c>
      <c r="B144" s="30" t="s">
        <v>514</v>
      </c>
      <c r="C144" s="22" t="s">
        <v>515</v>
      </c>
      <c r="D144" s="22" t="s">
        <v>517</v>
      </c>
      <c r="E144" s="25" t="s">
        <v>517</v>
      </c>
      <c r="F144" s="30" t="s">
        <v>1365</v>
      </c>
      <c r="G144" s="22"/>
    </row>
    <row r="145" spans="1:7">
      <c r="A145" s="22">
        <v>144</v>
      </c>
      <c r="B145" s="21" t="s">
        <v>514</v>
      </c>
      <c r="C145" s="22" t="s">
        <v>515</v>
      </c>
      <c r="D145" s="22" t="s">
        <v>518</v>
      </c>
      <c r="E145" s="25" t="s">
        <v>517</v>
      </c>
      <c r="F145" s="21" t="s">
        <v>1231</v>
      </c>
      <c r="G145" s="22"/>
    </row>
    <row r="146" spans="1:7">
      <c r="A146" s="22">
        <v>145</v>
      </c>
      <c r="B146" s="21" t="s">
        <v>514</v>
      </c>
      <c r="C146" s="22" t="s">
        <v>515</v>
      </c>
      <c r="D146" s="22" t="s">
        <v>518</v>
      </c>
      <c r="E146" s="25" t="s">
        <v>517</v>
      </c>
      <c r="F146" s="21" t="s">
        <v>1232</v>
      </c>
      <c r="G146" s="22"/>
    </row>
    <row r="147" spans="1:7">
      <c r="A147" s="22">
        <v>146</v>
      </c>
      <c r="B147" s="21" t="s">
        <v>514</v>
      </c>
      <c r="C147" s="22" t="s">
        <v>515</v>
      </c>
      <c r="D147" s="22" t="s">
        <v>517</v>
      </c>
      <c r="E147" s="25" t="s">
        <v>517</v>
      </c>
      <c r="F147" s="21" t="s">
        <v>1233</v>
      </c>
      <c r="G147" s="22"/>
    </row>
    <row r="148" spans="1:7">
      <c r="A148" s="22">
        <v>147</v>
      </c>
      <c r="B148" s="30" t="s">
        <v>514</v>
      </c>
      <c r="C148" s="22" t="s">
        <v>515</v>
      </c>
      <c r="D148" s="22" t="s">
        <v>517</v>
      </c>
      <c r="E148" s="25" t="s">
        <v>517</v>
      </c>
      <c r="F148" s="30" t="s">
        <v>1439</v>
      </c>
      <c r="G148" s="22"/>
    </row>
    <row r="149" spans="1:7">
      <c r="A149" s="22">
        <v>148</v>
      </c>
      <c r="B149" s="21" t="s">
        <v>514</v>
      </c>
      <c r="C149" s="22" t="s">
        <v>515</v>
      </c>
      <c r="D149" s="22" t="s">
        <v>518</v>
      </c>
      <c r="E149" s="9">
        <v>46276</v>
      </c>
      <c r="F149" s="21" t="s">
        <v>1378</v>
      </c>
      <c r="G149" s="22"/>
    </row>
    <row r="150" spans="1:7">
      <c r="A150" s="22">
        <v>149</v>
      </c>
      <c r="B150" s="21" t="s">
        <v>514</v>
      </c>
      <c r="C150" s="22" t="s">
        <v>515</v>
      </c>
      <c r="D150" s="22" t="s">
        <v>517</v>
      </c>
      <c r="E150" s="25" t="s">
        <v>517</v>
      </c>
      <c r="F150" s="21" t="s">
        <v>1439</v>
      </c>
      <c r="G150" s="22"/>
    </row>
    <row r="151" spans="1:7">
      <c r="A151" s="22">
        <v>150</v>
      </c>
      <c r="B151" s="21" t="s">
        <v>517</v>
      </c>
      <c r="C151" s="22" t="s">
        <v>516</v>
      </c>
      <c r="D151" s="22" t="s">
        <v>517</v>
      </c>
      <c r="E151" s="25" t="s">
        <v>517</v>
      </c>
      <c r="F151" s="21" t="s">
        <v>818</v>
      </c>
      <c r="G151" s="22"/>
    </row>
    <row r="152" spans="1:7">
      <c r="A152" s="22">
        <v>151</v>
      </c>
      <c r="B152" s="21" t="s">
        <v>517</v>
      </c>
      <c r="C152" s="22" t="s">
        <v>516</v>
      </c>
      <c r="D152" s="22" t="s">
        <v>517</v>
      </c>
      <c r="E152" s="25" t="s">
        <v>517</v>
      </c>
      <c r="F152" s="21" t="s">
        <v>818</v>
      </c>
      <c r="G152" s="22"/>
    </row>
    <row r="153" spans="1:7">
      <c r="A153" s="22">
        <v>152</v>
      </c>
      <c r="B153" s="30" t="s">
        <v>1322</v>
      </c>
      <c r="C153" s="22" t="s">
        <v>516</v>
      </c>
      <c r="D153" s="22" t="s">
        <v>517</v>
      </c>
      <c r="E153" s="25" t="s">
        <v>517</v>
      </c>
      <c r="F153" s="21" t="s">
        <v>1374</v>
      </c>
      <c r="G153" s="22"/>
    </row>
    <row r="154" spans="1:7">
      <c r="A154" s="22">
        <v>153</v>
      </c>
      <c r="B154" s="30" t="s">
        <v>1322</v>
      </c>
      <c r="C154" s="22" t="s">
        <v>515</v>
      </c>
      <c r="D154" s="22" t="s">
        <v>517</v>
      </c>
      <c r="E154" s="25" t="s">
        <v>772</v>
      </c>
      <c r="F154" s="21" t="s">
        <v>1374</v>
      </c>
      <c r="G154" s="22"/>
    </row>
    <row r="155" spans="1:7">
      <c r="A155" s="22">
        <v>154</v>
      </c>
      <c r="B155" s="30" t="s">
        <v>514</v>
      </c>
      <c r="C155" s="22" t="s">
        <v>515</v>
      </c>
      <c r="D155" s="22" t="s">
        <v>772</v>
      </c>
      <c r="E155" s="25" t="s">
        <v>772</v>
      </c>
      <c r="F155" s="21" t="s">
        <v>1375</v>
      </c>
      <c r="G155" s="22"/>
    </row>
    <row r="156" spans="1:7">
      <c r="A156" s="22">
        <v>155</v>
      </c>
      <c r="B156" s="30" t="s">
        <v>514</v>
      </c>
      <c r="C156" s="22" t="s">
        <v>515</v>
      </c>
      <c r="D156" s="23">
        <v>46276</v>
      </c>
      <c r="E156" s="25" t="s">
        <v>772</v>
      </c>
      <c r="F156" s="30" t="s">
        <v>1376</v>
      </c>
      <c r="G156" s="22"/>
    </row>
    <row r="157" spans="1:7">
      <c r="A157" s="22">
        <v>156</v>
      </c>
      <c r="B157" s="30" t="s">
        <v>514</v>
      </c>
      <c r="C157" s="22" t="s">
        <v>515</v>
      </c>
      <c r="D157" s="23">
        <v>46276</v>
      </c>
      <c r="E157" s="25" t="s">
        <v>517</v>
      </c>
      <c r="F157" s="30" t="s">
        <v>1377</v>
      </c>
      <c r="G157" s="22"/>
    </row>
    <row r="158" spans="1:7">
      <c r="A158" s="22">
        <v>157</v>
      </c>
      <c r="B158" s="21" t="s">
        <v>517</v>
      </c>
      <c r="C158" s="22" t="s">
        <v>515</v>
      </c>
      <c r="D158" s="22" t="s">
        <v>517</v>
      </c>
      <c r="E158" s="25" t="s">
        <v>517</v>
      </c>
      <c r="F158" s="21" t="s">
        <v>1267</v>
      </c>
      <c r="G158" s="22"/>
    </row>
    <row r="159" spans="1:7">
      <c r="A159" s="22">
        <v>158</v>
      </c>
      <c r="B159" s="21" t="s">
        <v>514</v>
      </c>
      <c r="C159" s="22" t="s">
        <v>516</v>
      </c>
      <c r="D159" s="22" t="s">
        <v>518</v>
      </c>
      <c r="E159" s="9">
        <v>46276</v>
      </c>
      <c r="F159" s="21" t="s">
        <v>1378</v>
      </c>
      <c r="G159" s="22"/>
    </row>
    <row r="160" spans="1:7">
      <c r="A160" s="22">
        <v>159</v>
      </c>
      <c r="B160" s="21" t="s">
        <v>514</v>
      </c>
      <c r="C160" s="22" t="s">
        <v>516</v>
      </c>
      <c r="D160" s="22" t="s">
        <v>518</v>
      </c>
      <c r="E160" s="9">
        <v>46276</v>
      </c>
      <c r="F160" s="21" t="s">
        <v>1379</v>
      </c>
      <c r="G160" s="22"/>
    </row>
    <row r="161" spans="1:7">
      <c r="A161" s="22">
        <v>160</v>
      </c>
      <c r="B161" s="30" t="s">
        <v>514</v>
      </c>
      <c r="C161" s="22" t="s">
        <v>515</v>
      </c>
      <c r="D161" s="22" t="s">
        <v>518</v>
      </c>
      <c r="E161" s="25" t="s">
        <v>517</v>
      </c>
      <c r="F161" s="21" t="s">
        <v>1380</v>
      </c>
      <c r="G161" s="22"/>
    </row>
    <row r="162" spans="1:7">
      <c r="A162" s="22">
        <v>161</v>
      </c>
      <c r="B162" s="30" t="s">
        <v>514</v>
      </c>
      <c r="C162" s="22" t="s">
        <v>515</v>
      </c>
      <c r="D162" s="22" t="s">
        <v>518</v>
      </c>
      <c r="E162" s="9">
        <v>46279</v>
      </c>
      <c r="F162" s="21" t="s">
        <v>1378</v>
      </c>
      <c r="G162" s="22"/>
    </row>
    <row r="163" spans="1:7">
      <c r="A163" s="22">
        <v>162</v>
      </c>
      <c r="B163" s="30" t="s">
        <v>514</v>
      </c>
      <c r="C163" s="22" t="s">
        <v>516</v>
      </c>
      <c r="D163" s="22" t="s">
        <v>517</v>
      </c>
      <c r="E163" s="25" t="s">
        <v>517</v>
      </c>
      <c r="F163" s="21" t="s">
        <v>1381</v>
      </c>
      <c r="G163" s="22"/>
    </row>
    <row r="164" spans="1:7">
      <c r="A164" s="22">
        <v>163</v>
      </c>
      <c r="B164" s="30" t="s">
        <v>514</v>
      </c>
      <c r="C164" s="22" t="s">
        <v>516</v>
      </c>
      <c r="D164" s="22" t="s">
        <v>517</v>
      </c>
      <c r="E164" s="25" t="s">
        <v>517</v>
      </c>
      <c r="F164" s="21" t="s">
        <v>1381</v>
      </c>
      <c r="G164" s="22"/>
    </row>
    <row r="165" spans="1:7">
      <c r="A165" s="22">
        <v>164</v>
      </c>
      <c r="B165" s="21" t="s">
        <v>517</v>
      </c>
      <c r="C165" s="22" t="s">
        <v>515</v>
      </c>
      <c r="D165" s="22" t="s">
        <v>517</v>
      </c>
      <c r="E165" s="25" t="s">
        <v>517</v>
      </c>
      <c r="F165" s="21" t="s">
        <v>1289</v>
      </c>
      <c r="G165" s="22"/>
    </row>
    <row r="166" spans="1:7">
      <c r="A166" s="22">
        <v>165</v>
      </c>
      <c r="B166" s="21" t="s">
        <v>517</v>
      </c>
      <c r="C166" s="22" t="s">
        <v>515</v>
      </c>
      <c r="D166" s="22" t="s">
        <v>517</v>
      </c>
      <c r="E166" s="22" t="s">
        <v>772</v>
      </c>
      <c r="F166" s="21" t="s">
        <v>1267</v>
      </c>
      <c r="G166" s="22"/>
    </row>
    <row r="167" spans="1:7">
      <c r="A167" s="22">
        <v>166</v>
      </c>
      <c r="B167" s="21" t="s">
        <v>517</v>
      </c>
      <c r="C167" s="22" t="s">
        <v>516</v>
      </c>
      <c r="D167" s="22" t="s">
        <v>517</v>
      </c>
      <c r="E167" s="22" t="s">
        <v>772</v>
      </c>
      <c r="F167" s="21" t="s">
        <v>1267</v>
      </c>
      <c r="G167" s="22"/>
    </row>
    <row r="168" spans="1:7">
      <c r="A168" s="22">
        <v>167</v>
      </c>
      <c r="B168" s="21" t="s">
        <v>514</v>
      </c>
      <c r="C168" s="22" t="s">
        <v>515</v>
      </c>
      <c r="D168" s="22" t="s">
        <v>517</v>
      </c>
      <c r="E168" s="22" t="s">
        <v>772</v>
      </c>
      <c r="F168" s="21" t="s">
        <v>1439</v>
      </c>
      <c r="G168" s="22"/>
    </row>
    <row r="169" spans="1:7">
      <c r="A169" s="22">
        <v>168</v>
      </c>
      <c r="B169" s="21" t="s">
        <v>514</v>
      </c>
      <c r="C169" s="22" t="s">
        <v>516</v>
      </c>
      <c r="D169" s="22" t="s">
        <v>517</v>
      </c>
      <c r="E169" s="22" t="s">
        <v>772</v>
      </c>
      <c r="F169" s="21" t="s">
        <v>1439</v>
      </c>
      <c r="G169" s="22"/>
    </row>
    <row r="170" spans="1:7">
      <c r="A170" s="22">
        <v>169</v>
      </c>
      <c r="B170" s="21" t="s">
        <v>517</v>
      </c>
      <c r="C170" s="22" t="s">
        <v>515</v>
      </c>
      <c r="D170" s="22" t="s">
        <v>517</v>
      </c>
      <c r="E170" s="22" t="s">
        <v>772</v>
      </c>
      <c r="F170" s="21" t="s">
        <v>1267</v>
      </c>
      <c r="G170" s="22"/>
    </row>
    <row r="171" spans="1:7">
      <c r="A171" s="22">
        <v>170</v>
      </c>
      <c r="B171" s="21" t="s">
        <v>514</v>
      </c>
      <c r="C171" s="22" t="s">
        <v>515</v>
      </c>
      <c r="D171" s="22" t="s">
        <v>518</v>
      </c>
      <c r="E171" s="22" t="s">
        <v>772</v>
      </c>
      <c r="F171" s="21" t="s">
        <v>1440</v>
      </c>
      <c r="G171" s="22"/>
    </row>
    <row r="172" spans="1:7">
      <c r="A172" s="22">
        <v>171</v>
      </c>
      <c r="B172" s="21" t="s">
        <v>514</v>
      </c>
      <c r="C172" s="22" t="s">
        <v>515</v>
      </c>
      <c r="D172" s="22" t="s">
        <v>517</v>
      </c>
      <c r="E172" s="22" t="s">
        <v>772</v>
      </c>
      <c r="F172" s="21" t="s">
        <v>1441</v>
      </c>
      <c r="G172" s="22"/>
    </row>
    <row r="173" spans="1:7">
      <c r="A173" s="22">
        <v>172</v>
      </c>
      <c r="B173" s="21" t="s">
        <v>517</v>
      </c>
      <c r="C173" s="22" t="s">
        <v>515</v>
      </c>
      <c r="D173" s="22" t="s">
        <v>517</v>
      </c>
      <c r="E173" s="22" t="s">
        <v>772</v>
      </c>
      <c r="F173" s="21" t="s">
        <v>1267</v>
      </c>
      <c r="G173" s="22"/>
    </row>
    <row r="174" spans="1:7">
      <c r="A174" s="22">
        <v>173</v>
      </c>
      <c r="B174" s="21" t="s">
        <v>517</v>
      </c>
      <c r="C174" s="22" t="s">
        <v>515</v>
      </c>
      <c r="D174" s="22" t="s">
        <v>517</v>
      </c>
      <c r="E174" s="22" t="s">
        <v>772</v>
      </c>
      <c r="F174" s="21" t="s">
        <v>1323</v>
      </c>
      <c r="G174" s="22"/>
    </row>
    <row r="175" spans="1:7">
      <c r="A175" s="22">
        <v>174</v>
      </c>
      <c r="B175" s="21" t="s">
        <v>514</v>
      </c>
      <c r="C175" s="22" t="s">
        <v>515</v>
      </c>
      <c r="D175" s="22" t="s">
        <v>517</v>
      </c>
      <c r="E175" s="22" t="s">
        <v>772</v>
      </c>
      <c r="F175" s="21" t="s">
        <v>1442</v>
      </c>
      <c r="G175" s="22"/>
    </row>
    <row r="176" spans="1:7">
      <c r="A176" s="22">
        <v>175</v>
      </c>
      <c r="B176" s="21" t="s">
        <v>517</v>
      </c>
      <c r="C176" s="22" t="s">
        <v>515</v>
      </c>
      <c r="D176" s="22" t="s">
        <v>517</v>
      </c>
      <c r="E176" s="22" t="s">
        <v>772</v>
      </c>
      <c r="F176" s="21" t="s">
        <v>1267</v>
      </c>
      <c r="G176" s="22"/>
    </row>
    <row r="177" spans="1:7">
      <c r="A177" s="22">
        <v>176</v>
      </c>
      <c r="B177" s="21" t="s">
        <v>517</v>
      </c>
      <c r="C177" s="22" t="s">
        <v>515</v>
      </c>
      <c r="D177" s="22" t="s">
        <v>517</v>
      </c>
      <c r="E177" s="22" t="s">
        <v>517</v>
      </c>
      <c r="F177" s="21" t="s">
        <v>1267</v>
      </c>
      <c r="G177" s="22"/>
    </row>
    <row r="178" spans="1:7">
      <c r="A178" s="22">
        <v>177</v>
      </c>
      <c r="B178" s="17" t="s">
        <v>517</v>
      </c>
      <c r="C178" s="22" t="s">
        <v>515</v>
      </c>
      <c r="D178" s="22" t="s">
        <v>517</v>
      </c>
      <c r="E178" s="22" t="s">
        <v>517</v>
      </c>
      <c r="F178" s="17" t="s">
        <v>1267</v>
      </c>
      <c r="G178" s="22"/>
    </row>
    <row r="179" spans="1:7">
      <c r="A179" s="22">
        <v>178</v>
      </c>
      <c r="B179" s="17" t="s">
        <v>772</v>
      </c>
      <c r="C179" s="22" t="s">
        <v>516</v>
      </c>
      <c r="D179" s="22" t="s">
        <v>517</v>
      </c>
      <c r="E179" s="22" t="s">
        <v>772</v>
      </c>
      <c r="F179" s="17" t="s">
        <v>1323</v>
      </c>
      <c r="G179" s="22"/>
    </row>
    <row r="180" spans="1:7">
      <c r="A180" s="22">
        <v>179</v>
      </c>
      <c r="B180" s="17" t="s">
        <v>517</v>
      </c>
      <c r="C180" s="22" t="s">
        <v>515</v>
      </c>
      <c r="D180" s="22" t="s">
        <v>518</v>
      </c>
      <c r="E180" s="23">
        <v>46279</v>
      </c>
      <c r="F180" s="17" t="s">
        <v>1443</v>
      </c>
      <c r="G180" s="22"/>
    </row>
    <row r="181" spans="1:7">
      <c r="A181" s="22">
        <v>180</v>
      </c>
      <c r="B181" s="17" t="s">
        <v>772</v>
      </c>
      <c r="C181" s="22" t="s">
        <v>515</v>
      </c>
      <c r="D181" s="22" t="s">
        <v>772</v>
      </c>
      <c r="E181" s="22" t="s">
        <v>772</v>
      </c>
      <c r="F181" s="17" t="s">
        <v>1267</v>
      </c>
      <c r="G181" s="22"/>
    </row>
    <row r="182" spans="1:7">
      <c r="A182" s="22">
        <v>181</v>
      </c>
      <c r="B182" s="17" t="s">
        <v>772</v>
      </c>
      <c r="C182" s="22" t="s">
        <v>516</v>
      </c>
      <c r="D182" s="22" t="s">
        <v>517</v>
      </c>
      <c r="E182" s="22" t="s">
        <v>517</v>
      </c>
      <c r="F182" s="17" t="s">
        <v>1323</v>
      </c>
      <c r="G182" s="22"/>
    </row>
  </sheetData>
  <conditionalFormatting sqref="B2:B182 C27:E29 C48:E48 C72:E73 C94:E94 C109:E109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2026-09-15T15:51:14Z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