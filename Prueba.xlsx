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4559EC22-14BE-4B9C-98AD-FFD8FE49CCB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<sst xmlns="http://schemas.openxmlformats.org/spreadsheetml/2006/main" count="3090" uniqueCount="953">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</sst>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51" tableType="queryTable" totalsRowShown="0" headerRowDxfId="22">
  <autoFilter ref="A1:AA151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1" dataCellStyle="Moneda [0]"/>
    <tableColumn id="5" xr3:uid="{E65A88A5-24CE-4A80-9F7D-8FCEFFDDBC10}" uniqueName="5" name="Empresa solicitante" queryTableFieldId="42" dataDxfId="2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19"/>
    <tableColumn id="31" xr3:uid="{C3500460-C4F6-4AB4-B89B-8B9CA9A8E046}" uniqueName="31" name="Fecha de entrega" queryTableFieldId="64" dataDxfId="18"/>
    <tableColumn id="27" xr3:uid="{F40F4A80-1B77-4557-9BE7-9B79092A2C5A}" uniqueName="27" name="Comentario" queryTableFieldId="57"/>
    <tableColumn id="6" xr3:uid="{A141DB03-FB77-4FCC-95E0-DEDE9DBFE217}" uniqueName="6" name="Estado" queryTableFieldId="6" dataDxfId="17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6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9" dataDxfId="8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7"/>
    <tableColumn id="2" xr3:uid="{9FA8BFE5-861C-4596-A02E-A670F1BDB608}" name="Estado" dataDxfId="6"/>
    <tableColumn id="3" xr3:uid="{E58581DB-8B04-4C13-8B4F-27FC5E1AE281}" name="Empresa" dataDxfId="5"/>
    <tableColumn id="6" xr3:uid="{DAADF8D0-34FE-479B-9430-88C5F34DBAE2}" name="fecha pago " dataDxfId="4"/>
    <tableColumn id="7" xr3:uid="{7D80F5CD-A672-43F9-903B-537A4B66EACC}" name="fecha entrega" dataDxfId="3"/>
    <tableColumn id="5" xr3:uid="{16163A18-549A-4B29-B76F-2E153A8FC4F4}" name="Comentario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7"/>
  <sheetViews>
    <sheetView tabSelected="1" topLeftCell="S116" zoomScaleNormal="100" workbookViewId="0">
      <selection activeCell="W139" sqref="W13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922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923</v>
      </c>
      <c r="N111" t="s">
        <v>196</v>
      </c>
      <c r="O111" t="s">
        <v>197</v>
      </c>
      <c r="P111" t="s">
        <v>58</v>
      </c>
      <c r="Q111" t="s">
        <v>36</v>
      </c>
      <c r="R111" t="s">
        <v>924</v>
      </c>
      <c r="S111" t="s">
        <v>517</v>
      </c>
      <c r="V111" t="s">
        <v>821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1" s="9">
        <f>+DATE(YEAR(Control[[#This Row],[Fecha Requisición]]),MONTH(Control[[#This Row],[Fecha Requisición]]),1)</f>
        <v>46235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925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923</v>
      </c>
      <c r="N112" t="s">
        <v>196</v>
      </c>
      <c r="O112" t="s">
        <v>197</v>
      </c>
      <c r="P112" t="s">
        <v>124</v>
      </c>
      <c r="Q112" t="s">
        <v>36</v>
      </c>
      <c r="R112" t="s">
        <v>926</v>
      </c>
      <c r="S112" t="s">
        <v>517</v>
      </c>
      <c r="V112" t="s">
        <v>821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927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923</v>
      </c>
      <c r="N113" t="s">
        <v>196</v>
      </c>
      <c r="O113" t="s">
        <v>197</v>
      </c>
      <c r="P113" t="s">
        <v>273</v>
      </c>
      <c r="Q113" t="s">
        <v>36</v>
      </c>
      <c r="R113" t="s">
        <v>928</v>
      </c>
      <c r="S113" t="s">
        <v>517</v>
      </c>
      <c r="V113" t="s">
        <v>821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929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923</v>
      </c>
      <c r="N114" t="s">
        <v>196</v>
      </c>
      <c r="O114" t="s">
        <v>197</v>
      </c>
      <c r="P114" t="s">
        <v>75</v>
      </c>
      <c r="Q114" t="s">
        <v>36</v>
      </c>
      <c r="R114" t="s">
        <v>930</v>
      </c>
      <c r="S114" t="s">
        <v>517</v>
      </c>
      <c r="V114" t="s">
        <v>821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46235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V116" s="16" t="s">
        <v>877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V117" s="16" t="s">
        <v>877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46569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883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884</v>
      </c>
      <c r="S119" s="16" t="s">
        <v>514</v>
      </c>
      <c r="V119" s="16" t="s">
        <v>878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9" s="9">
        <f>+DATE(YEAR(Control[[#This Row],[Fecha Requisición]]),MONTH(Control[[#This Row],[Fecha Requisición]]),1)</f>
        <v>46235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879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885</v>
      </c>
      <c r="D121" s="16" t="s">
        <v>886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887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888</v>
      </c>
      <c r="S121" s="16" t="s">
        <v>514</v>
      </c>
      <c r="V121" s="16" t="s">
        <v>878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900</v>
      </c>
      <c r="D122" s="16" t="s">
        <v>931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932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933</v>
      </c>
      <c r="S122" s="16" t="s">
        <v>517</v>
      </c>
      <c r="V122" s="16" t="s">
        <v>776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2" s="9">
        <f>+DATE(YEAR(Control[[#This Row],[Fecha Requisición]]),MONTH(Control[[#This Row],[Fecha Requisición]]),1)</f>
        <v>46235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900</v>
      </c>
      <c r="D123" s="16" t="s">
        <v>934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935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936</v>
      </c>
      <c r="S123" s="16" t="s">
        <v>517</v>
      </c>
      <c r="V123" s="16" t="s">
        <v>776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3" s="9">
        <f>+DATE(YEAR(Control[[#This Row],[Fecha Requisición]]),MONTH(Control[[#This Row],[Fecha Requisición]]),1)</f>
        <v>46235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900</v>
      </c>
      <c r="D124" s="16" t="s">
        <v>937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938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939</v>
      </c>
      <c r="S124" s="16" t="s">
        <v>517</v>
      </c>
      <c r="V124" s="16" t="s">
        <v>776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4" s="9">
        <f>+DATE(YEAR(Control[[#This Row],[Fecha Requisición]]),MONTH(Control[[#This Row],[Fecha Requisición]]),1)</f>
        <v>46235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900</v>
      </c>
      <c r="D125" s="16" t="s">
        <v>940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941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942</v>
      </c>
      <c r="S125" s="16" t="s">
        <v>517</v>
      </c>
      <c r="V125" s="16" t="s">
        <v>776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46235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32</v>
      </c>
    </row>
    <row r="126" spans="1:27">
      <c r="A126" s="16" t="s">
        <v>889</v>
      </c>
      <c r="B126" s="16" t="s">
        <v>890</v>
      </c>
      <c r="C126" s="16" t="s">
        <v>899</v>
      </c>
      <c r="D126" s="16" t="s">
        <v>891</v>
      </c>
      <c r="E126" s="16">
        <v>100</v>
      </c>
      <c r="F126" s="16" t="s">
        <v>892</v>
      </c>
      <c r="G126" s="16" t="s">
        <v>893</v>
      </c>
      <c r="H126" s="16" t="s">
        <v>893</v>
      </c>
      <c r="I126" s="16" t="s">
        <v>893</v>
      </c>
      <c r="J126" s="16" t="s">
        <v>30</v>
      </c>
      <c r="K126" s="5">
        <v>536000</v>
      </c>
      <c r="L126" s="5" t="s">
        <v>55</v>
      </c>
      <c r="M126" s="16" t="s">
        <v>894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895</v>
      </c>
      <c r="S126" s="16" t="s">
        <v>514</v>
      </c>
      <c r="V126" s="16" t="s">
        <v>880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46235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32</v>
      </c>
    </row>
    <row r="127" spans="1:27">
      <c r="A127" s="16" t="s">
        <v>896</v>
      </c>
      <c r="B127" s="16" t="s">
        <v>897</v>
      </c>
      <c r="C127" s="16" t="s">
        <v>901</v>
      </c>
      <c r="D127" s="16" t="s">
        <v>943</v>
      </c>
      <c r="E127" s="16">
        <v>101</v>
      </c>
      <c r="F127" s="16" t="s">
        <v>898</v>
      </c>
      <c r="G127" s="16" t="s">
        <v>893</v>
      </c>
      <c r="H127" s="16" t="s">
        <v>893</v>
      </c>
      <c r="I127" s="16" t="s">
        <v>893</v>
      </c>
      <c r="J127" s="16" t="s">
        <v>30</v>
      </c>
      <c r="K127" s="5"/>
      <c r="L127" s="5" t="s">
        <v>31</v>
      </c>
      <c r="M127" s="16" t="s">
        <v>944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945</v>
      </c>
      <c r="S127" s="16" t="s">
        <v>517</v>
      </c>
      <c r="V127" s="16" t="s">
        <v>776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7" s="9">
        <f>+DATE(YEAR(Control[[#This Row],[Fecha Requisición]]),MONTH(Control[[#This Row],[Fecha Requisición]]),1)</f>
        <v>46235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32</v>
      </c>
    </row>
    <row r="128" spans="1:27">
      <c r="A128" s="16" t="s">
        <v>199</v>
      </c>
      <c r="B128" s="16" t="s">
        <v>200</v>
      </c>
      <c r="C128" s="16" t="s">
        <v>201</v>
      </c>
      <c r="D128" s="16"/>
      <c r="E128" s="16">
        <v>18</v>
      </c>
      <c r="F128" s="16" t="s">
        <v>202</v>
      </c>
      <c r="G128" s="16" t="s">
        <v>203</v>
      </c>
      <c r="H128" s="16" t="s">
        <v>203</v>
      </c>
      <c r="I128" s="16"/>
      <c r="J128" s="16"/>
      <c r="K128" s="5"/>
      <c r="L128" s="5" t="s">
        <v>55</v>
      </c>
      <c r="M128" s="16"/>
      <c r="N128" s="16" t="s">
        <v>204</v>
      </c>
      <c r="O128" s="16" t="s">
        <v>86</v>
      </c>
      <c r="P128" s="16" t="s">
        <v>58</v>
      </c>
      <c r="Q128" s="16" t="s">
        <v>36</v>
      </c>
      <c r="R128" s="16"/>
      <c r="S128" s="16" t="s">
        <v>642</v>
      </c>
      <c r="V128" s="16" t="s">
        <v>642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8" s="9">
        <f>+DATE(YEAR(Control[[#This Row],[Fecha Requisición]]),MONTH(Control[[#This Row],[Fecha Requisición]]),1)</f>
        <v>46174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23</v>
      </c>
    </row>
    <row r="129" spans="1:27">
      <c r="A129" s="16" t="s">
        <v>205</v>
      </c>
      <c r="B129" s="16" t="s">
        <v>206</v>
      </c>
      <c r="C129" s="16" t="s">
        <v>717</v>
      </c>
      <c r="D129" s="16"/>
      <c r="E129" s="16">
        <v>21</v>
      </c>
      <c r="F129" s="16" t="s">
        <v>207</v>
      </c>
      <c r="G129" s="16" t="s">
        <v>195</v>
      </c>
      <c r="H129" s="16" t="s">
        <v>195</v>
      </c>
      <c r="I129" s="16"/>
      <c r="J129" s="16"/>
      <c r="K129" s="5"/>
      <c r="L129" s="5" t="s">
        <v>31</v>
      </c>
      <c r="M129" s="16"/>
      <c r="N129" s="16" t="s">
        <v>167</v>
      </c>
      <c r="O129" s="16" t="s">
        <v>86</v>
      </c>
      <c r="P129" s="16" t="s">
        <v>35</v>
      </c>
      <c r="Q129" s="16" t="s">
        <v>36</v>
      </c>
      <c r="R129" s="16"/>
      <c r="S129" s="16" t="s">
        <v>642</v>
      </c>
      <c r="V129" s="16" t="s">
        <v>642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9" s="9">
        <f>+DATE(YEAR(Control[[#This Row],[Fecha Requisición]]),MONTH(Control[[#This Row],[Fecha Requisición]]),1)</f>
        <v>46174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23</v>
      </c>
    </row>
    <row r="130" spans="1:27">
      <c r="A130" s="16" t="s">
        <v>208</v>
      </c>
      <c r="B130" s="16" t="s">
        <v>209</v>
      </c>
      <c r="C130" s="16" t="s">
        <v>210</v>
      </c>
      <c r="D130" s="16"/>
      <c r="E130" s="16">
        <v>26</v>
      </c>
      <c r="F130" s="16" t="s">
        <v>211</v>
      </c>
      <c r="G130" s="16" t="s">
        <v>212</v>
      </c>
      <c r="H130" s="16" t="s">
        <v>212</v>
      </c>
      <c r="I130" s="16"/>
      <c r="J130" s="16"/>
      <c r="K130" s="5"/>
      <c r="L130" s="5" t="s">
        <v>31</v>
      </c>
      <c r="M130" s="16"/>
      <c r="N130" s="16" t="s">
        <v>213</v>
      </c>
      <c r="O130" s="16" t="s">
        <v>101</v>
      </c>
      <c r="P130" s="16" t="s">
        <v>124</v>
      </c>
      <c r="Q130" s="16" t="s">
        <v>36</v>
      </c>
      <c r="R130" s="16"/>
      <c r="S130" s="16" t="s">
        <v>642</v>
      </c>
      <c r="V130" s="16" t="s">
        <v>642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0" s="9">
        <f>+DATE(YEAR(Control[[#This Row],[Fecha Requisición]]),MONTH(Control[[#This Row],[Fecha Requisición]]),1)</f>
        <v>46174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25</v>
      </c>
    </row>
    <row r="131" spans="1:27">
      <c r="A131" s="16" t="s">
        <v>214</v>
      </c>
      <c r="B131" s="16" t="s">
        <v>215</v>
      </c>
      <c r="C131" s="16" t="s">
        <v>216</v>
      </c>
      <c r="D131" s="16"/>
      <c r="E131" s="16">
        <v>27</v>
      </c>
      <c r="F131" s="16" t="s">
        <v>217</v>
      </c>
      <c r="G131" s="16" t="s">
        <v>218</v>
      </c>
      <c r="H131" s="16" t="s">
        <v>218</v>
      </c>
      <c r="I131" s="16"/>
      <c r="J131" s="16"/>
      <c r="K131" s="5"/>
      <c r="L131" s="5" t="s">
        <v>31</v>
      </c>
      <c r="M131" s="16"/>
      <c r="N131" s="16" t="s">
        <v>219</v>
      </c>
      <c r="O131" s="16" t="s">
        <v>101</v>
      </c>
      <c r="P131" s="16" t="s">
        <v>124</v>
      </c>
      <c r="Q131" s="16" t="s">
        <v>36</v>
      </c>
      <c r="R131" s="16"/>
      <c r="S131" s="16" t="s">
        <v>642</v>
      </c>
      <c r="V131" s="16" t="s">
        <v>642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1" s="9">
        <f>+DATE(YEAR(Control[[#This Row],[Fecha Requisición]]),MONTH(Control[[#This Row],[Fecha Requisición]]),1)</f>
        <v>46174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24</v>
      </c>
    </row>
    <row r="132" spans="1:27">
      <c r="A132" s="16" t="s">
        <v>220</v>
      </c>
      <c r="B132" s="16" t="s">
        <v>221</v>
      </c>
      <c r="C132" s="16" t="s">
        <v>222</v>
      </c>
      <c r="D132" s="16"/>
      <c r="E132" s="16">
        <v>28</v>
      </c>
      <c r="F132" s="16" t="s">
        <v>223</v>
      </c>
      <c r="G132" s="16" t="s">
        <v>218</v>
      </c>
      <c r="H132" s="16" t="s">
        <v>218</v>
      </c>
      <c r="I132" s="16"/>
      <c r="J132" s="16"/>
      <c r="K132" s="5"/>
      <c r="L132" s="5" t="s">
        <v>31</v>
      </c>
      <c r="M132" s="16"/>
      <c r="N132" s="16" t="s">
        <v>158</v>
      </c>
      <c r="O132" s="16" t="s">
        <v>57</v>
      </c>
      <c r="P132" s="16" t="s">
        <v>124</v>
      </c>
      <c r="Q132" s="16" t="s">
        <v>36</v>
      </c>
      <c r="R132" s="16"/>
      <c r="S132" s="16" t="s">
        <v>642</v>
      </c>
      <c r="V132" s="16" t="s">
        <v>642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2" s="9">
        <f>+DATE(YEAR(Control[[#This Row],[Fecha Requisición]]),MONTH(Control[[#This Row],[Fecha Requisición]]),1)</f>
        <v>46174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24</v>
      </c>
    </row>
    <row r="133" spans="1:27">
      <c r="A133" s="16" t="s">
        <v>224</v>
      </c>
      <c r="B133" s="16" t="s">
        <v>225</v>
      </c>
      <c r="C133" s="16" t="s">
        <v>226</v>
      </c>
      <c r="D133" s="16"/>
      <c r="E133" s="16">
        <v>29</v>
      </c>
      <c r="F133" s="16" t="s">
        <v>227</v>
      </c>
      <c r="G133" s="16" t="s">
        <v>212</v>
      </c>
      <c r="H133" s="16" t="s">
        <v>212</v>
      </c>
      <c r="I133" s="16"/>
      <c r="J133" s="16"/>
      <c r="K133" s="5"/>
      <c r="L133" s="5" t="s">
        <v>31</v>
      </c>
      <c r="M133" s="16"/>
      <c r="N133" s="16" t="s">
        <v>219</v>
      </c>
      <c r="O133" s="16" t="s">
        <v>101</v>
      </c>
      <c r="P133" s="16" t="s">
        <v>124</v>
      </c>
      <c r="Q133" s="16" t="s">
        <v>36</v>
      </c>
      <c r="R133" s="16"/>
      <c r="S133" s="16" t="s">
        <v>642</v>
      </c>
      <c r="V133" s="16" t="s">
        <v>642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3" s="9">
        <f>+DATE(YEAR(Control[[#This Row],[Fecha Requisición]]),MONTH(Control[[#This Row],[Fecha Requisición]]),1)</f>
        <v>46174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25</v>
      </c>
    </row>
    <row r="134" spans="1:27">
      <c r="A134" s="16" t="s">
        <v>379</v>
      </c>
      <c r="B134" s="16" t="s">
        <v>380</v>
      </c>
      <c r="C134" s="16" t="s">
        <v>602</v>
      </c>
      <c r="D134" s="16"/>
      <c r="E134" s="16">
        <v>47</v>
      </c>
      <c r="F134" s="16" t="s">
        <v>381</v>
      </c>
      <c r="G134" s="16" t="s">
        <v>382</v>
      </c>
      <c r="H134" s="16" t="s">
        <v>382</v>
      </c>
      <c r="I134" s="16"/>
      <c r="J134" s="16"/>
      <c r="K134" s="5"/>
      <c r="L134" s="5" t="s">
        <v>55</v>
      </c>
      <c r="M134" s="16"/>
      <c r="N134" s="16" t="s">
        <v>383</v>
      </c>
      <c r="O134" s="16" t="s">
        <v>384</v>
      </c>
      <c r="P134" s="16" t="s">
        <v>58</v>
      </c>
      <c r="Q134" s="16" t="s">
        <v>36</v>
      </c>
      <c r="R134" s="16"/>
      <c r="S134" s="16" t="s">
        <v>642</v>
      </c>
      <c r="V134" s="16" t="s">
        <v>642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4" s="9">
        <f>+DATE(YEAR(Control[[#This Row],[Fecha Requisición]]),MONTH(Control[[#This Row],[Fecha Requisición]]),1)</f>
        <v>46204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28</v>
      </c>
    </row>
    <row r="135" spans="1:27">
      <c r="A135" s="16" t="s">
        <v>385</v>
      </c>
      <c r="B135" s="16" t="s">
        <v>386</v>
      </c>
      <c r="C135" s="16" t="s">
        <v>603</v>
      </c>
      <c r="D135" s="16"/>
      <c r="E135" s="16">
        <v>48</v>
      </c>
      <c r="F135" s="16" t="s">
        <v>387</v>
      </c>
      <c r="G135" s="16" t="s">
        <v>382</v>
      </c>
      <c r="H135" s="16" t="s">
        <v>382</v>
      </c>
      <c r="I135" s="16"/>
      <c r="J135" s="16"/>
      <c r="K135" s="5"/>
      <c r="L135" s="5"/>
      <c r="M135" s="16"/>
      <c r="N135" s="16" t="s">
        <v>388</v>
      </c>
      <c r="O135" s="16" t="s">
        <v>176</v>
      </c>
      <c r="P135" s="16" t="s">
        <v>58</v>
      </c>
      <c r="Q135" s="16" t="s">
        <v>94</v>
      </c>
      <c r="R135" s="16"/>
      <c r="S135" s="16" t="s">
        <v>642</v>
      </c>
      <c r="V135" s="16" t="s">
        <v>642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5" s="9">
        <f>+DATE(YEAR(Control[[#This Row],[Fecha Requisición]]),MONTH(Control[[#This Row],[Fecha Requisición]]),1)</f>
        <v>46204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28</v>
      </c>
    </row>
    <row r="136" spans="1:27">
      <c r="A136" s="16" t="s">
        <v>635</v>
      </c>
      <c r="B136" s="16" t="s">
        <v>636</v>
      </c>
      <c r="C136" s="16" t="s">
        <v>674</v>
      </c>
      <c r="D136" s="16"/>
      <c r="E136" s="16">
        <v>71</v>
      </c>
      <c r="F136" s="16" t="s">
        <v>637</v>
      </c>
      <c r="G136" s="16" t="s">
        <v>638</v>
      </c>
      <c r="H136" s="16" t="s">
        <v>638</v>
      </c>
      <c r="I136" s="16"/>
      <c r="J136" s="16"/>
      <c r="K136" s="5"/>
      <c r="L136" s="5" t="s">
        <v>31</v>
      </c>
      <c r="M136" s="16"/>
      <c r="N136" s="16" t="s">
        <v>307</v>
      </c>
      <c r="O136" s="16" t="s">
        <v>86</v>
      </c>
      <c r="P136" s="16" t="s">
        <v>124</v>
      </c>
      <c r="Q136" s="16" t="s">
        <v>36</v>
      </c>
      <c r="R136" s="16"/>
      <c r="S136" s="16" t="s">
        <v>725</v>
      </c>
      <c r="V136" s="16" t="s">
        <v>642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6" s="9">
        <f>+DATE(YEAR(Control[[#This Row],[Fecha Requisición]]),MONTH(Control[[#This Row],[Fecha Requisición]]),1)</f>
        <v>46204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30</v>
      </c>
    </row>
    <row r="137" spans="1:27">
      <c r="A137" s="16" t="s">
        <v>639</v>
      </c>
      <c r="B137" s="16" t="s">
        <v>640</v>
      </c>
      <c r="C137" s="16" t="s">
        <v>675</v>
      </c>
      <c r="D137" s="16"/>
      <c r="E137" s="16">
        <v>72</v>
      </c>
      <c r="F137" s="16" t="s">
        <v>641</v>
      </c>
      <c r="G137" s="16" t="s">
        <v>638</v>
      </c>
      <c r="H137" s="16" t="s">
        <v>638</v>
      </c>
      <c r="I137" s="16"/>
      <c r="J137" s="16"/>
      <c r="K137" s="5"/>
      <c r="L137" s="5" t="s">
        <v>31</v>
      </c>
      <c r="M137" s="16"/>
      <c r="N137" s="16" t="s">
        <v>307</v>
      </c>
      <c r="O137" s="16" t="s">
        <v>86</v>
      </c>
      <c r="P137" s="16" t="s">
        <v>124</v>
      </c>
      <c r="Q137" s="16" t="s">
        <v>36</v>
      </c>
      <c r="R137" s="16"/>
      <c r="S137" s="16" t="s">
        <v>642</v>
      </c>
      <c r="V137" s="16" t="s">
        <v>642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30</v>
      </c>
    </row>
    <row r="138" spans="1:27">
      <c r="A138" s="16" t="s">
        <v>756</v>
      </c>
      <c r="B138" s="16" t="s">
        <v>757</v>
      </c>
      <c r="C138" s="16" t="s">
        <v>758</v>
      </c>
      <c r="D138" s="16"/>
      <c r="E138" s="16">
        <v>79</v>
      </c>
      <c r="F138" s="16" t="s">
        <v>759</v>
      </c>
      <c r="G138" s="16" t="s">
        <v>749</v>
      </c>
      <c r="H138" s="16" t="s">
        <v>749</v>
      </c>
      <c r="I138" s="16"/>
      <c r="J138" s="16"/>
      <c r="K138" s="5"/>
      <c r="L138" s="5" t="s">
        <v>55</v>
      </c>
      <c r="M138" s="16"/>
      <c r="N138" s="16" t="s">
        <v>706</v>
      </c>
      <c r="O138" s="16" t="s">
        <v>101</v>
      </c>
      <c r="P138" s="16" t="s">
        <v>58</v>
      </c>
      <c r="Q138" s="16" t="s">
        <v>36</v>
      </c>
      <c r="R138" s="16"/>
      <c r="S138" s="16" t="s">
        <v>514</v>
      </c>
      <c r="V138" s="16" t="s">
        <v>820</v>
      </c>
      <c r="W138" s="14" t="s">
        <v>440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31</v>
      </c>
    </row>
    <row r="139" spans="1:27">
      <c r="A139" s="16" t="s">
        <v>780</v>
      </c>
      <c r="B139" s="16" t="s">
        <v>781</v>
      </c>
      <c r="C139" s="16" t="s">
        <v>837</v>
      </c>
      <c r="D139" s="16"/>
      <c r="E139" s="16">
        <v>82</v>
      </c>
      <c r="F139" s="16" t="s">
        <v>782</v>
      </c>
      <c r="G139" s="16" t="s">
        <v>783</v>
      </c>
      <c r="H139" s="16" t="s">
        <v>783</v>
      </c>
      <c r="I139" s="16"/>
      <c r="J139" s="16"/>
      <c r="K139" s="5"/>
      <c r="L139" s="5"/>
      <c r="M139" s="16"/>
      <c r="N139" s="16"/>
      <c r="O139" s="16" t="s">
        <v>57</v>
      </c>
      <c r="P139" s="16" t="s">
        <v>35</v>
      </c>
      <c r="Q139" s="16" t="s">
        <v>94</v>
      </c>
      <c r="R139" s="16"/>
      <c r="S139" s="16" t="s">
        <v>514</v>
      </c>
      <c r="V139" s="16" t="s">
        <v>643</v>
      </c>
      <c r="W139" s="14" t="s">
        <v>440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>
      <c r="A140" s="16" t="s">
        <v>797</v>
      </c>
      <c r="B140" s="16" t="s">
        <v>798</v>
      </c>
      <c r="C140" s="16" t="s">
        <v>842</v>
      </c>
      <c r="D140" s="16"/>
      <c r="E140" s="16">
        <v>87</v>
      </c>
      <c r="F140" s="16" t="s">
        <v>799</v>
      </c>
      <c r="G140" s="16" t="s">
        <v>787</v>
      </c>
      <c r="H140" s="16" t="s">
        <v>787</v>
      </c>
      <c r="I140" s="16"/>
      <c r="J140" s="16"/>
      <c r="K140" s="5"/>
      <c r="L140" s="5" t="s">
        <v>31</v>
      </c>
      <c r="M140" s="16"/>
      <c r="N140" s="16" t="s">
        <v>196</v>
      </c>
      <c r="O140" s="16" t="s">
        <v>34</v>
      </c>
      <c r="P140" s="16" t="s">
        <v>800</v>
      </c>
      <c r="Q140" s="16" t="s">
        <v>36</v>
      </c>
      <c r="R140" s="16"/>
      <c r="S140" s="16" t="s">
        <v>517</v>
      </c>
      <c r="V140" s="16" t="s">
        <v>821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32</v>
      </c>
    </row>
    <row r="141" spans="1:27">
      <c r="A141" s="16" t="s">
        <v>801</v>
      </c>
      <c r="B141" s="16" t="s">
        <v>802</v>
      </c>
      <c r="C141" s="16" t="s">
        <v>843</v>
      </c>
      <c r="D141" s="16"/>
      <c r="E141" s="16">
        <v>88</v>
      </c>
      <c r="F141" s="16" t="s">
        <v>803</v>
      </c>
      <c r="G141" s="16" t="s">
        <v>787</v>
      </c>
      <c r="H141" s="16" t="s">
        <v>787</v>
      </c>
      <c r="I141" s="16"/>
      <c r="J141" s="16"/>
      <c r="K141" s="5"/>
      <c r="L141" s="5" t="s">
        <v>31</v>
      </c>
      <c r="M141" s="16"/>
      <c r="N141" s="16" t="s">
        <v>196</v>
      </c>
      <c r="O141" s="16" t="s">
        <v>197</v>
      </c>
      <c r="P141" s="16" t="s">
        <v>463</v>
      </c>
      <c r="Q141" s="16" t="s">
        <v>36</v>
      </c>
      <c r="R141" s="16"/>
      <c r="S141" s="16" t="s">
        <v>517</v>
      </c>
      <c r="V141" s="16" t="s">
        <v>821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>
      <c r="A142" s="16" t="s">
        <v>807</v>
      </c>
      <c r="B142" s="16" t="s">
        <v>808</v>
      </c>
      <c r="C142" s="16"/>
      <c r="D142" s="16"/>
      <c r="E142" s="16">
        <v>90</v>
      </c>
      <c r="F142" s="16" t="s">
        <v>809</v>
      </c>
      <c r="G142" s="16" t="s">
        <v>810</v>
      </c>
      <c r="H142" s="16"/>
      <c r="I142" s="16"/>
      <c r="J142" s="16"/>
      <c r="K142" s="5"/>
      <c r="L142" s="5" t="s">
        <v>31</v>
      </c>
      <c r="M142" s="16"/>
      <c r="N142" s="16" t="s">
        <v>307</v>
      </c>
      <c r="O142" s="16" t="s">
        <v>57</v>
      </c>
      <c r="P142" s="16" t="s">
        <v>124</v>
      </c>
      <c r="Q142" s="16" t="s">
        <v>36</v>
      </c>
      <c r="R142" s="16"/>
      <c r="S142" s="16" t="s">
        <v>514</v>
      </c>
      <c r="V142" s="16" t="s">
        <v>823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2" s="9">
        <f>+DATE(YEAR(Control[[#This Row],[Fecha Requisición]]),MONTH(Control[[#This Row],[Fecha Requisición]]),1)</f>
        <v>46204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27</v>
      </c>
    </row>
    <row r="143" spans="1:27">
      <c r="A143" s="16" t="s">
        <v>811</v>
      </c>
      <c r="B143" s="16" t="s">
        <v>812</v>
      </c>
      <c r="C143" s="16"/>
      <c r="D143" s="16"/>
      <c r="E143" s="16">
        <v>91</v>
      </c>
      <c r="F143" s="16" t="s">
        <v>813</v>
      </c>
      <c r="G143" s="16" t="s">
        <v>810</v>
      </c>
      <c r="H143" s="16"/>
      <c r="I143" s="16"/>
      <c r="J143" s="16"/>
      <c r="K143" s="5"/>
      <c r="L143" s="5" t="s">
        <v>31</v>
      </c>
      <c r="M143" s="16"/>
      <c r="N143" s="16" t="s">
        <v>307</v>
      </c>
      <c r="O143" s="16" t="s">
        <v>57</v>
      </c>
      <c r="P143" s="16" t="s">
        <v>124</v>
      </c>
      <c r="Q143" s="16" t="s">
        <v>36</v>
      </c>
      <c r="R143" s="16"/>
      <c r="S143" s="16" t="s">
        <v>514</v>
      </c>
      <c r="V143" s="16" t="s">
        <v>823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3" s="9">
        <f>+DATE(YEAR(Control[[#This Row],[Fecha Requisición]]),MONTH(Control[[#This Row],[Fecha Requisición]]),1)</f>
        <v>46204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27</v>
      </c>
    </row>
    <row r="144" spans="1:27">
      <c r="A144" s="16" t="s">
        <v>817</v>
      </c>
      <c r="B144" s="16" t="s">
        <v>818</v>
      </c>
      <c r="C144" s="16" t="s">
        <v>845</v>
      </c>
      <c r="D144" s="16"/>
      <c r="E144" s="16">
        <v>93</v>
      </c>
      <c r="F144" s="16" t="s">
        <v>819</v>
      </c>
      <c r="G144" s="16" t="s">
        <v>773</v>
      </c>
      <c r="H144" s="16" t="s">
        <v>773</v>
      </c>
      <c r="I144" s="16"/>
      <c r="J144" s="16"/>
      <c r="K144" s="5"/>
      <c r="L144" s="5" t="s">
        <v>55</v>
      </c>
      <c r="M144" s="16"/>
      <c r="N144" s="16" t="s">
        <v>213</v>
      </c>
      <c r="O144" s="16" t="s">
        <v>197</v>
      </c>
      <c r="P144" s="16" t="s">
        <v>58</v>
      </c>
      <c r="Q144" s="16" t="s">
        <v>36</v>
      </c>
      <c r="R144" s="16"/>
      <c r="S144" s="16" t="s">
        <v>517</v>
      </c>
      <c r="V144" s="16" t="s">
        <v>821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4" s="9">
        <f>+DATE(YEAR(Control[[#This Row],[Fecha Requisición]]),MONTH(Control[[#This Row],[Fecha Requisición]]),1)</f>
        <v>46204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31</v>
      </c>
    </row>
    <row r="145" spans="1:27">
      <c r="A145" s="16" t="s">
        <v>861</v>
      </c>
      <c r="B145" s="16" t="s">
        <v>862</v>
      </c>
      <c r="C145" s="16" t="s">
        <v>875</v>
      </c>
      <c r="D145" s="16"/>
      <c r="E145" s="16">
        <v>97</v>
      </c>
      <c r="F145" s="16" t="s">
        <v>863</v>
      </c>
      <c r="G145" s="16" t="s">
        <v>864</v>
      </c>
      <c r="H145" s="16" t="s">
        <v>864</v>
      </c>
      <c r="I145" s="16"/>
      <c r="J145" s="16"/>
      <c r="K145" s="5"/>
      <c r="L145" s="5" t="s">
        <v>31</v>
      </c>
      <c r="M145" s="16"/>
      <c r="N145" s="16" t="s">
        <v>865</v>
      </c>
      <c r="O145" s="16" t="s">
        <v>197</v>
      </c>
      <c r="P145" s="16" t="s">
        <v>124</v>
      </c>
      <c r="Q145" s="16" t="s">
        <v>59</v>
      </c>
      <c r="R145" s="16"/>
      <c r="S145" s="16" t="s">
        <v>517</v>
      </c>
      <c r="V145" s="16" t="s">
        <v>822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5" s="9">
        <f>+DATE(YEAR(Control[[#This Row],[Fecha Requisición]]),MONTH(Control[[#This Row],[Fecha Requisición]]),1)</f>
        <v>46204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27</v>
      </c>
    </row>
    <row r="146" spans="1:27">
      <c r="A146" s="16" t="s">
        <v>902</v>
      </c>
      <c r="B146" s="16" t="s">
        <v>903</v>
      </c>
      <c r="C146" s="16" t="s">
        <v>904</v>
      </c>
      <c r="D146" s="16"/>
      <c r="E146" s="16">
        <v>102</v>
      </c>
      <c r="F146" s="16" t="s">
        <v>905</v>
      </c>
      <c r="G146" s="16" t="s">
        <v>906</v>
      </c>
      <c r="H146" s="16" t="s">
        <v>906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870</v>
      </c>
      <c r="P146" s="16"/>
      <c r="Q146" s="16" t="s">
        <v>36</v>
      </c>
      <c r="R146" s="16"/>
      <c r="S146" s="16"/>
      <c r="V146" s="16"/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6" s="9">
        <f>+DATE(YEAR(Control[[#This Row],[Fecha Requisición]]),MONTH(Control[[#This Row],[Fecha Requisición]]),1)</f>
        <v>46235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32</v>
      </c>
    </row>
    <row r="147" spans="1:27">
      <c r="A147" s="16" t="s">
        <v>907</v>
      </c>
      <c r="B147" s="16" t="s">
        <v>908</v>
      </c>
      <c r="C147" s="16" t="s">
        <v>909</v>
      </c>
      <c r="D147" s="16"/>
      <c r="E147" s="16">
        <v>103</v>
      </c>
      <c r="F147" s="16" t="s">
        <v>910</v>
      </c>
      <c r="G147" s="16" t="s">
        <v>906</v>
      </c>
      <c r="H147" s="16" t="s">
        <v>906</v>
      </c>
      <c r="I147" s="16"/>
      <c r="J147" s="16"/>
      <c r="K147" s="5"/>
      <c r="L147" s="5" t="s">
        <v>55</v>
      </c>
      <c r="M147" s="16"/>
      <c r="N147" s="16" t="s">
        <v>911</v>
      </c>
      <c r="O147" s="16" t="s">
        <v>384</v>
      </c>
      <c r="P147" s="16" t="s">
        <v>58</v>
      </c>
      <c r="Q147" s="16" t="s">
        <v>36</v>
      </c>
      <c r="R147" s="16"/>
      <c r="S147" s="16"/>
      <c r="V147" s="16"/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7" s="9">
        <f>+DATE(YEAR(Control[[#This Row],[Fecha Requisición]]),MONTH(Control[[#This Row],[Fecha Requisición]]),1)</f>
        <v>46235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32</v>
      </c>
    </row>
    <row r="148" spans="1:27">
      <c r="A148" s="16" t="s">
        <v>912</v>
      </c>
      <c r="B148" s="16" t="s">
        <v>913</v>
      </c>
      <c r="C148" s="16" t="s">
        <v>914</v>
      </c>
      <c r="D148" s="16"/>
      <c r="E148" s="16">
        <v>104</v>
      </c>
      <c r="F148" s="16" t="s">
        <v>915</v>
      </c>
      <c r="G148" s="16" t="s">
        <v>916</v>
      </c>
      <c r="H148" s="16" t="s">
        <v>916</v>
      </c>
      <c r="I148" s="16"/>
      <c r="J148" s="16"/>
      <c r="K148" s="5"/>
      <c r="L148" s="5" t="s">
        <v>31</v>
      </c>
      <c r="M148" s="16"/>
      <c r="N148" s="16" t="s">
        <v>917</v>
      </c>
      <c r="O148" s="16" t="s">
        <v>34</v>
      </c>
      <c r="P148" s="16" t="s">
        <v>273</v>
      </c>
      <c r="Q148" s="16" t="s">
        <v>36</v>
      </c>
      <c r="R148" s="16"/>
      <c r="S148" s="16"/>
      <c r="V148" s="16"/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8" s="9">
        <f>+DATE(YEAR(Control[[#This Row],[Fecha Requisición]]),MONTH(Control[[#This Row],[Fecha Requisición]]),1)</f>
        <v>46235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33</v>
      </c>
    </row>
    <row r="149" spans="1:27">
      <c r="A149" s="16" t="s">
        <v>918</v>
      </c>
      <c r="B149" s="16" t="s">
        <v>919</v>
      </c>
      <c r="C149" s="16" t="s">
        <v>920</v>
      </c>
      <c r="D149" s="16"/>
      <c r="E149" s="16">
        <v>105</v>
      </c>
      <c r="F149" s="16" t="s">
        <v>921</v>
      </c>
      <c r="G149" s="16" t="s">
        <v>916</v>
      </c>
      <c r="H149" s="16" t="s">
        <v>916</v>
      </c>
      <c r="I149" s="16"/>
      <c r="J149" s="16"/>
      <c r="K149" s="5"/>
      <c r="L149" s="5" t="s">
        <v>55</v>
      </c>
      <c r="M149" s="16"/>
      <c r="N149" s="16" t="s">
        <v>911</v>
      </c>
      <c r="O149" s="16" t="s">
        <v>384</v>
      </c>
      <c r="P149" s="16" t="s">
        <v>58</v>
      </c>
      <c r="Q149" s="16" t="s">
        <v>36</v>
      </c>
      <c r="R149" s="16"/>
      <c r="S149" s="16"/>
      <c r="V149" s="16"/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9" s="9">
        <f>+DATE(YEAR(Control[[#This Row],[Fecha Requisición]]),MONTH(Control[[#This Row],[Fecha Requisición]]),1)</f>
        <v>46235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33</v>
      </c>
    </row>
    <row r="150" spans="1:27">
      <c r="A150" s="16" t="s">
        <v>946</v>
      </c>
      <c r="B150" s="16" t="s">
        <v>947</v>
      </c>
      <c r="C150" s="16"/>
      <c r="D150" s="16"/>
      <c r="E150" s="16">
        <v>106</v>
      </c>
      <c r="F150" s="16" t="s">
        <v>948</v>
      </c>
      <c r="G150" s="16" t="s">
        <v>949</v>
      </c>
      <c r="H150" s="16"/>
      <c r="I150" s="16"/>
      <c r="J150" s="16"/>
      <c r="K150" s="5"/>
      <c r="L150" s="5" t="s">
        <v>31</v>
      </c>
      <c r="M150" s="16"/>
      <c r="N150" s="16" t="s">
        <v>204</v>
      </c>
      <c r="O150" s="16" t="s">
        <v>57</v>
      </c>
      <c r="P150" s="16" t="s">
        <v>58</v>
      </c>
      <c r="Q150" s="16" t="s">
        <v>36</v>
      </c>
      <c r="R150" s="16"/>
      <c r="S150" s="16"/>
      <c r="V150" s="16"/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0" s="9">
        <f>+DATE(YEAR(Control[[#This Row],[Fecha Requisición]]),MONTH(Control[[#This Row],[Fecha Requisición]]),1)</f>
        <v>46235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33</v>
      </c>
    </row>
    <row r="151" spans="1:27">
      <c r="A151" s="16" t="s">
        <v>950</v>
      </c>
      <c r="B151" s="16" t="s">
        <v>951</v>
      </c>
      <c r="C151" s="16"/>
      <c r="D151" s="16"/>
      <c r="E151" s="16">
        <v>107</v>
      </c>
      <c r="F151" s="16" t="s">
        <v>952</v>
      </c>
      <c r="G151" s="16" t="s">
        <v>949</v>
      </c>
      <c r="H151" s="16"/>
      <c r="I151" s="16"/>
      <c r="J151" s="16"/>
      <c r="K151" s="5"/>
      <c r="L151" s="5" t="s">
        <v>55</v>
      </c>
      <c r="M151" s="16"/>
      <c r="N151" s="16" t="s">
        <v>204</v>
      </c>
      <c r="O151" s="16" t="s">
        <v>57</v>
      </c>
      <c r="P151" s="16" t="s">
        <v>58</v>
      </c>
      <c r="Q151" s="16" t="s">
        <v>36</v>
      </c>
      <c r="R151" s="16"/>
      <c r="S151" s="16"/>
      <c r="V151" s="16"/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1" s="9">
        <f>+DATE(YEAR(Control[[#This Row],[Fecha Requisición]]),MONTH(Control[[#This Row],[Fecha Requisición]]),1)</f>
        <v>46235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33</v>
      </c>
    </row>
    <row r="152" spans="1:27">
      <c r="Z152" s="2"/>
    </row>
    <row r="153" spans="1:27">
      <c r="Z153" s="2"/>
    </row>
    <row r="154" spans="1:27">
      <c r="Z154" s="2"/>
    </row>
    <row r="166" spans="3:4" ht="15.75" thickBot="1"/>
    <row r="167" spans="3:4" ht="15.75" thickBot="1">
      <c r="C167" s="13" t="s">
        <v>616</v>
      </c>
      <c r="D167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13" priority="1" operator="equal">
      <formula>"gestionado"</formula>
    </cfRule>
    <cfRule type="cellIs" dxfId="12" priority="2" operator="equal">
      <formula>"procesado"</formula>
    </cfRule>
    <cfRule type="cellIs" dxfId="11" priority="3" operator="equal">
      <formula>"pendiente"</formula>
    </cfRule>
    <cfRule type="cellIs" dxfId="1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2026-08-13T13:38:37Z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