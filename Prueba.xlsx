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475" documentId="14_{AE653B76-C03B-46FC-A71B-20AE6B13DC40}" xr6:coauthVersionLast="47" xr6:coauthVersionMax="47" xr10:uidLastSave="{7D85337B-FBD9-4F50-BBB7-2AA5F27A3DA9}"/>
  <bookViews>
    <workbookView xWindow="28680" yWindow="-120" windowWidth="29040" windowHeight="15720" xr2:uid="{00000000-000D-0000-FFFF-FFFF00000000}"/>
  </bookViews>
  <sheets>
    <sheet name="Tabla Control" sheetId="3" r:id="rId1"/>
    <sheet name="Tablero" sheetId="11" r:id="rId2"/>
    <sheet name="Fechas" sheetId="17" r:id="rId3"/>
    <sheet name="ppt" sheetId="16" r:id="rId4"/>
    <sheet name="Graficos" sheetId="8" r:id="rId5"/>
    <sheet name="Hoja2" sheetId="13" r:id="rId6"/>
    <sheet name="Hoja1" sheetId="12" r:id="rId7"/>
    <sheet name="Anterior" sheetId="5" state="hidden" r:id="rId8"/>
  </sheets>
  <externalReferences>
    <externalReference r:id="rId9"/>
  </externalReferences>
  <definedNames>
    <definedName name="_xlcn.WorksheetConnection_Prueba.xlsxControl1" hidden="1">Control[]</definedName>
    <definedName name="DatosExternos_1" localSheetId="4" hidden="1">Graficos!$D$74:$F$106</definedName>
    <definedName name="DatosExternos_1" localSheetId="6" hidden="1">Hoja1!$A$1:$F$451</definedName>
    <definedName name="DatosExternos_1" localSheetId="0" hidden="1">'Tabla Control'!$A$1:$Q$78</definedName>
  </definedNames>
  <calcPr calcId="191029"/>
  <pivotCaches>
    <pivotCache cacheId="26" r:id="rId10"/>
    <pivotCache cacheId="27" r:id="rId11"/>
    <pivotCache cacheId="28" r:id="rId12"/>
    <pivotCache cacheId="29" r:id="rId13"/>
    <pivotCache cacheId="30" r:id="rId14"/>
    <pivotCache cacheId="31" r:id="rId15"/>
    <pivotCache cacheId="32" r:id="rId16"/>
    <pivotCache cacheId="33" r:id="rId17"/>
    <pivotCache cacheId="34" r:id="rId18"/>
    <pivotCache cacheId="35" r:id="rId19"/>
    <pivotCache cacheId="36" r:id="rId20"/>
    <pivotCache cacheId="37" r:id="rId21"/>
    <pivotCache cacheId="38" r:id="rId22"/>
    <pivotCache cacheId="39" r:id="rId23"/>
    <pivotCache cacheId="40" r:id="rId24"/>
    <pivotCache cacheId="41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E127" i="16"/>
  <c r="E115" i="16" l="1"/>
  <c r="C95" i="16"/>
  <c r="E61" i="16"/>
  <c r="D61" i="16"/>
  <c r="B61" i="16"/>
  <c r="F31" i="16"/>
  <c r="D15" i="16"/>
  <c r="C105" i="8" l="1"/>
  <c r="B95" i="8"/>
  <c r="C101" i="8"/>
  <c r="C100" i="8"/>
  <c r="C98" i="8"/>
  <c r="C97" i="8"/>
  <c r="C96" i="8"/>
  <c r="C95" i="8"/>
  <c r="B9" i="11"/>
  <c r="B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8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8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19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0" xr16:uid="{46B9A22A-0E7A-4E30-B7AB-4E84A87551FF}" keepAlive="1" name="Consulta - Monto Pendiente" description="Conexión a la consulta 'Monto Pendiente' en el libro." type="5" refreshedVersion="8" background="1" saveData="1">
    <dbPr connection="Provider=Microsoft.Mashup.OleDb.1;Data Source=$Workbook$;Location=Monto Pendiente;Extended Properties=&quot;&quot;" command="SELECT * FROM [Monto Pendiente]"/>
  </connection>
  <connection id="21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2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3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4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5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6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7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8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29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0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1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2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3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4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5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6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7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8" xr16:uid="{15645BAD-C2F0-46F7-9CB5-091AEBD2D9A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9" xr16:uid="{93C39892-5093-4E09-A3A2-C5A07B64B1A5}" name="WorksheetConnection_Prueba.xlsx!Control" type="102" refreshedVersion="8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<sst xmlns="http://schemas.openxmlformats.org/spreadsheetml/2006/main" count="2909" uniqueCount="699">
  <si>
    <t>Cantidad de requisiciones</t>
  </si>
  <si>
    <t>Cantidad de OC</t>
  </si>
  <si>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</si>
  <si>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</si>
  <si>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</si>
  <si>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</si>
  <si>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</si>
  <si>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</si>
  <si>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</si>
  <si>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</si>
  <si>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</si>
  <si>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</si>
  <si>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</si>
  <si>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</si>
  <si>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</si>
  <si>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</si>
  <si>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</si>
  <si>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</si>
  <si>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</si>
  <si>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</si>
  <si>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</si>
  <si>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</si>
  <si>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</si>
  <si>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</si>
  <si>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</si>
  <si>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</si>
  <si>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</si>
  <si>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</si>
  <si>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</si>
  <si>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</si>
  <si>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</si>
  <si>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</si>
  <si>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</si>
  <si>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</si>
  <si>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</si>
  <si>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</si>
  <si>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</si>
  <si>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</si>
  <si>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</si>
  <si>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</si>
  <si>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</si>
  <si>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</si>
  <si>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</si>
  <si>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</si>
  <si>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</si>
  <si>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</si>
  <si>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</si>
  <si>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</si>
  <si>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</si>
  <si>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</si>
  <si>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</si>
  <si>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</si>
  <si>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</si>
  <si>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</si>
  <si>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</si>
  <si>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</si>
  <si>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</si>
  <si>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</si>
  <si>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</si>
  <si>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</si>
  <si>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</si>
  <si>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</si>
  <si>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</si>
  <si>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</si>
  <si>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</si>
  <si>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</si>
  <si>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</si>
  <si>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</si>
  <si>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</si>
  <si>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</si>
  <si>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</si>
  <si>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</si>
  <si>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</si>
  <si>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</si>
  <si>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</si>
  <si>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</si>
  <si>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</si>
  <si>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</si>
  <si>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</si>
  <si>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</si>
  <si>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</si>
  <si>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</si>
  <si>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</si>
  <si>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</si>
  <si>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</si>
  <si>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</si>
  <si>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</si>
  <si>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</si>
  <si>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</si>
  <si>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</si>
  <si>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</si>
  <si>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</si>
  <si>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</si>
  <si>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</si>
  <si>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</si>
  <si>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</si>
  <si>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</si>
  <si>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</si>
  <si>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</si>
  <si>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</si>
  <si>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</si>
  <si>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</si>
  <si>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</si>
  <si>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</si>
  <si>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</si>
  <si>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</si>
  <si>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</si>
  <si>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</si>
  <si>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</si>
  <si>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</si>
  <si>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</si>
  <si>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</si>
  <si>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</si>
  <si>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</si>
  <si>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</si>
  <si>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</si>
  <si>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</si>
  <si>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</si>
  <si>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</si>
  <si>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</si>
  <si>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</si>
  <si>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</si>
  <si>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</si>
  <si>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</si>
  <si>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</si>
  <si>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</si>
  <si>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</si>
  <si>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</si>
  <si>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</si>
  <si>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</si>
  <si>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</si>
  <si>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</si>
  <si>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</si>
  <si>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</si>
  <si>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</si>
  <si>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</si>
  <si>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</si>
  <si>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</si>
  <si>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</si>
  <si>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</si>
  <si>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</si>
  <si>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</si>
  <si>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</si>
  <si>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</si>
  <si>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</si>
  <si>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</si>
  <si>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</si>
  <si>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</si>
  <si>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</si>
  <si>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</si>
  <si>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</si>
  <si>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</si>
  <si>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</si>
  <si>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</si>
  <si>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</si>
  <si>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</si>
  <si>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</t>
  </si>
  <si>
    <t>Jorge Retamal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</si>
  <si>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</si>
  <si>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</si>
  <si>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</si>
  <si>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</si>
  <si>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</si>
  <si>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</si>
  <si>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</si>
  <si>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</si>
  <si>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</si>
  <si>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</si>
  <si>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</si>
  <si>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</si>
  <si>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</si>
  <si>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</si>
  <si>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</si>
  <si>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</si>
  <si>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</si>
  <si>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</si>
  <si>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</si>
  <si>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</si>
  <si>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</si>
  <si>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</si>
  <si>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</si>
  <si>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</si>
  <si>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</si>
  <si>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</si>
  <si>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</si>
  <si>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</si>
  <si>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</si>
  <si>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</si>
  <si>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</si>
  <si>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</si>
  <si>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</si>
  <si>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</si>
  <si>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</si>
  <si>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</si>
  <si>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</si>
  <si>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</si>
  <si>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</si>
  <si>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</si>
  <si>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</si>
  <si>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</si>
  <si>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</si>
  <si>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</si>
  <si>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019_02062026</t>
  </si>
  <si>
    <t>019_02062026_SAE INGECAF.xlsx</t>
  </si>
  <si>
    <t>019_02062026_SAE INGECAF_cotizacion.xlsx</t>
  </si>
  <si>
    <t>019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</si>
  <si>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</si>
  <si>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</si>
  <si>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</si>
  <si>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</si>
  <si>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</si>
  <si>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</si>
  <si>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</si>
  <si>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</si>
  <si>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</si>
  <si>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</si>
  <si>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</si>
  <si>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</si>
  <si>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</si>
  <si>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021_03062026</t>
  </si>
  <si>
    <t>021_03062026_Prevencion riesgos_Colchagua cardenal caro.xlsx</t>
  </si>
  <si>
    <t>021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</si>
  <si>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</si>
  <si>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</si>
  <si>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</si>
  <si>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</si>
  <si>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</si>
  <si>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</si>
  <si>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</si>
  <si>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</si>
  <si>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</si>
  <si>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</si>
  <si>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</si>
  <si>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</t>
  </si>
  <si>
    <t>024_08062026</t>
  </si>
  <si>
    <t>024_08062026_control perdida_Arica iquique.xlsx</t>
  </si>
  <si>
    <t>024_08062026_control perdida_Arica iquique_cotizacion.xlsx</t>
  </si>
  <si>
    <t>024</t>
  </si>
  <si>
    <t>01 Arica-Iquique</t>
  </si>
  <si>
    <t>025_11062026</t>
  </si>
  <si>
    <t>025_11062026_Control de perdida_Rancagua.xlsx</t>
  </si>
  <si>
    <t>025_11062026_Control de perdida_Rancagua_cotizacion.xlsx</t>
  </si>
  <si>
    <t>025</t>
  </si>
  <si>
    <t>11-06-2026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</si>
  <si>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</si>
  <si>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</si>
  <si>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</si>
  <si>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</si>
  <si>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</si>
  <si>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</si>
  <si>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</si>
  <si>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</si>
  <si>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</t>
  </si>
  <si>
    <t>12-06-2026</t>
  </si>
  <si>
    <t>Rodolfo Fuentes</t>
  </si>
  <si>
    <t>028_12062026</t>
  </si>
  <si>
    <t>028_12062026_CYM_Maule Norte.xlsx</t>
  </si>
  <si>
    <t>028</t>
  </si>
  <si>
    <t>029_15062026</t>
  </si>
  <si>
    <t>029_15062026_Sae_Maule Norte.xlsx</t>
  </si>
  <si>
    <t>029</t>
  </si>
  <si>
    <t>Etiquetas de fila</t>
  </si>
  <si>
    <t>Cuenta de Nro de Orden</t>
  </si>
  <si>
    <t>Recuento de OC</t>
  </si>
  <si>
    <t>Recuento de Estado</t>
  </si>
  <si>
    <t>Etiquetas de columna</t>
  </si>
  <si>
    <t>may</t>
  </si>
  <si>
    <t>Falta cotizacion</t>
  </si>
  <si>
    <t>Falta OC</t>
  </si>
  <si>
    <t>Proceso OC completo</t>
  </si>
  <si>
    <t>Total general</t>
  </si>
  <si>
    <t>01-may</t>
  </si>
  <si>
    <t>Recuento de Requisiciones</t>
  </si>
  <si>
    <t>jun</t>
  </si>
  <si>
    <t>Cuenta de Estado</t>
  </si>
  <si>
    <t>Recuento distinto de Requisiciones</t>
  </si>
  <si>
    <t>Nro solicitud</t>
  </si>
  <si>
    <t>Monto Cotizacion</t>
  </si>
  <si>
    <t>Monto OC</t>
  </si>
  <si>
    <t>Monto Faltante</t>
  </si>
  <si>
    <t>Suma de Monto Cotizacion</t>
  </si>
  <si>
    <t>Datos OC</t>
  </si>
  <si>
    <t>Detalle orden</t>
  </si>
  <si>
    <t>Cantidad</t>
  </si>
  <si>
    <t>Valor unitario</t>
  </si>
  <si>
    <t>X.Data.Column7</t>
  </si>
  <si>
    <t>LLave OC</t>
  </si>
  <si>
    <t>Nombre Empresa:</t>
  </si>
  <si>
    <t xml:space="preserve">Rut: </t>
  </si>
  <si>
    <t>76756768-5</t>
  </si>
  <si>
    <t>Fono:</t>
  </si>
  <si>
    <t>9 8122 9474</t>
  </si>
  <si>
    <t>Cond.de pago:</t>
  </si>
  <si>
    <t>Nombre Contacto:</t>
  </si>
  <si>
    <t xml:space="preserve">Nelson </t>
  </si>
  <si>
    <t>Producto</t>
  </si>
  <si>
    <t xml:space="preserve">Descripción </t>
  </si>
  <si>
    <t>Valor Neto</t>
  </si>
  <si>
    <t>CHAL GEOL IGNIF PW W6205 talla s</t>
  </si>
  <si>
    <t>Traje de agua goma con cinta tallas</t>
  </si>
  <si>
    <t>Pantalón Cargo Ignífugo BZ31 talla s</t>
  </si>
  <si>
    <t>Pantalón Cargo Ignífugo BZ31 talla m</t>
  </si>
  <si>
    <t>Polera Piqué Ignífuga FR32 Portwest talla s</t>
  </si>
  <si>
    <t>CHAQUETA IGNIF PW W5563/FR55, Azul, S</t>
  </si>
  <si>
    <t>CHAQUETA IGNIF PW W5563/FR55, Azul, M</t>
  </si>
  <si>
    <t>76013474-0</t>
  </si>
  <si>
    <t>Dirección:</t>
  </si>
  <si>
    <t xml:space="preserve">Solange </t>
  </si>
  <si>
    <t>Kit Casco Dieléctrico Elvex Visor con Mentonera Básico</t>
  </si>
  <si>
    <t>myeferreterialimitada</t>
  </si>
  <si>
    <t>77027704-3</t>
  </si>
  <si>
    <t>set destornilladores</t>
  </si>
  <si>
    <t>comercial siglo xxi</t>
  </si>
  <si>
    <t>78.770.630-4</t>
  </si>
  <si>
    <t>Detector Voltaje 12-1000v Ingco Vd10003</t>
  </si>
  <si>
    <t>SAN MARTIN 0711, TEMUCO, CAUTÍN, IX REGION DE LA ARAUCANIA</t>
  </si>
  <si>
    <t>Patricia Alarcon</t>
  </si>
  <si>
    <t>Botín de seguridad Maxwork - Sport Vartta talla 43</t>
  </si>
  <si>
    <t xml:space="preserve">metro de leña </t>
  </si>
  <si>
    <t>CHALECO REFLECTANTE VIAL AMARILLO</t>
  </si>
  <si>
    <t>BARBIQUEJOS DE PLASTICO</t>
  </si>
  <si>
    <t>ANTIPARRAS CLARAS</t>
  </si>
  <si>
    <t>ANTIPARRAS OSCURAS</t>
  </si>
  <si>
    <t>MercadoLibre Chile LTDA</t>
  </si>
  <si>
    <t>77.398.220-1</t>
  </si>
  <si>
    <t>Amperimetro tenaza baja tensión unit 202</t>
  </si>
  <si>
    <t>Geologo ignifugo naranjo con reflectantes Talla XXXL</t>
  </si>
  <si>
    <t>Pantalon ignifugo con reflectantes talla XXXL</t>
  </si>
  <si>
    <t>Pantalon ignifugo con reflectantes talla M</t>
  </si>
  <si>
    <t>Polera Piqué Ignífuga FR32 Portwest Talla XXXL</t>
  </si>
  <si>
    <t>Polera Piqué Ignífuga FR32 Portwest Talla M</t>
  </si>
  <si>
    <t>Secador Manos Automático Sensor Infrarrojo Inteligente Color Blanco</t>
  </si>
  <si>
    <t>96.792.430-K</t>
  </si>
  <si>
    <t>Agregar a proveedores</t>
  </si>
  <si>
    <t>juego de Comedor Tubo 4 Sillas Mesa Rectangular 70x76x110 cm Wengue</t>
  </si>
  <si>
    <t>76066706-4</t>
  </si>
  <si>
    <t>Linterna de casco</t>
  </si>
  <si>
    <t>$5.100</t>
  </si>
  <si>
    <t>Cartuchera porta herramientas de cuero</t>
  </si>
  <si>
    <t>$12.933</t>
  </si>
  <si>
    <t>Alicate punta 8” 1000V</t>
  </si>
  <si>
    <t>Llave francesa 10" 1000V</t>
  </si>
  <si>
    <t xml:space="preserve">ARNES 4 ARG DIELEC TOP FAJA/PIER/ESP T/L-XL    </t>
  </si>
  <si>
    <t>ESTROBO LINIERO DIELEC</t>
  </si>
  <si>
    <t>Amortiguador de impacto dieléctrico</t>
  </si>
  <si>
    <t>Guantes clase 0 talla 9,5</t>
  </si>
  <si>
    <t>Bolso para guantes BT</t>
  </si>
  <si>
    <t>Bolso porta equipaje (SPDC)</t>
  </si>
  <si>
    <t xml:space="preserve">Ferrelectrica </t>
  </si>
  <si>
    <t>77019294-3</t>
  </si>
  <si>
    <t xml:space="preserve">Alicate universal 8” </t>
  </si>
  <si>
    <t>$8.518</t>
  </si>
  <si>
    <t>Alicate cortante 8”</t>
  </si>
  <si>
    <t>$6.513</t>
  </si>
  <si>
    <t xml:space="preserve">Alicate punta 8” </t>
  </si>
  <si>
    <t>$6.105</t>
  </si>
  <si>
    <t xml:space="preserve">Llave francesa 10" </t>
  </si>
  <si>
    <t>$18.829</t>
  </si>
  <si>
    <t>MORRAL LONA CUERO 15X35 CMS. C/BANDOLERA VERDE DIELECTRICO</t>
  </si>
  <si>
    <t>CARTUCHERA ELECTRICISTA CUERO DIELECTRICA</t>
  </si>
  <si>
    <t>77.019.294-3</t>
  </si>
  <si>
    <t xml:space="preserve">Edmari </t>
  </si>
  <si>
    <t>Alicate universal 8” 1000V</t>
  </si>
  <si>
    <t>Alicate cortante 8” 1000V</t>
  </si>
  <si>
    <t>013_CYM_Maule Norte_Mercado libre_15_OC.xlsx</t>
  </si>
  <si>
    <t>linterna casco pack 5</t>
  </si>
  <si>
    <t xml:space="preserve">foco busca caminos </t>
  </si>
  <si>
    <t>99510910-7</t>
  </si>
  <si>
    <t>Jorge Becerra</t>
  </si>
  <si>
    <t>M-Parka termica Imp Iron-x Naranja/Azul</t>
  </si>
  <si>
    <t>M-Micropolar 300GR Iron-x azul</t>
  </si>
  <si>
    <t>M-Traje verde Pu 0.50mm Iron-x C/Ref</t>
  </si>
  <si>
    <t>M-Bota de Pvc Bata Workmaster Pta/Acero</t>
  </si>
  <si>
    <t>96.556.940-5</t>
  </si>
  <si>
    <t>Film aluza embalaje</t>
  </si>
  <si>
    <t>Pack 100 Micas Termolaminadora Plastificadora Carta</t>
  </si>
  <si>
    <t>Scotch grande embalaje 48 mm</t>
  </si>
  <si>
    <t>Accoclips Para Carpetas</t>
  </si>
  <si>
    <t>Bolsa basura chica 50x55</t>
  </si>
  <si>
    <t>Bolsa basura Grande 110x130</t>
  </si>
  <si>
    <t>Cinta masking 24 mm x 40 m</t>
  </si>
  <si>
    <t>Cloro</t>
  </si>
  <si>
    <t>Destacador amarillo</t>
  </si>
  <si>
    <t>Esponja p/lavar loza</t>
  </si>
  <si>
    <t/>
  </si>
  <si>
    <t>Guante aseo S</t>
  </si>
  <si>
    <t>Lapiz pasta Azul</t>
  </si>
  <si>
    <t>Lapiz pasta Rojo</t>
  </si>
  <si>
    <t>Paño microfibra piso</t>
  </si>
  <si>
    <t>Plumon permanente Rojo</t>
  </si>
  <si>
    <t>Tabla apoyo tipo carpeta</t>
  </si>
  <si>
    <t>Resma papel</t>
  </si>
  <si>
    <t xml:space="preserve">Cartonero </t>
  </si>
  <si>
    <t>Corrector lapiz</t>
  </si>
  <si>
    <t>Desinfectante aerosol baño</t>
  </si>
  <si>
    <t>Desinfectante aerosol baño Igenix</t>
  </si>
  <si>
    <t>Destacador Naranjo</t>
  </si>
  <si>
    <t>Destacador verde</t>
  </si>
  <si>
    <t>Endulzante Stevia</t>
  </si>
  <si>
    <t>Gatillo atomizador para botella</t>
  </si>
  <si>
    <t>goma borrar</t>
  </si>
  <si>
    <t>Insecticida aeresol</t>
  </si>
  <si>
    <t>Limpia vidrio</t>
  </si>
  <si>
    <t>Lustramueble</t>
  </si>
  <si>
    <t>Nova industrial</t>
  </si>
  <si>
    <t>Pack disco adhesivo inodoro para estanque</t>
  </si>
  <si>
    <t>Plumon permanente Negro</t>
  </si>
  <si>
    <t>lapiz mina</t>
  </si>
  <si>
    <t>Saca corchete</t>
  </si>
  <si>
    <t>Sal</t>
  </si>
  <si>
    <t>Separador archivador</t>
  </si>
  <si>
    <t>Tijera</t>
  </si>
  <si>
    <t>Comercial Pcelectric</t>
  </si>
  <si>
    <t>77712750-0</t>
  </si>
  <si>
    <t>San Fernando 1089, 8060056 San Bernardo, Región Metropolitana</t>
  </si>
  <si>
    <t>Joselyn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</si>
  <si>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</si>
  <si>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>Notebook HP 14-em0017la AMD Ryzen 5 8GB RAM 512GB SSD 14" Windows 11 Home</t>
  </si>
  <si>
    <t>Moto G35 5g 4+256gb Verde</t>
  </si>
  <si>
    <t>76226875-2</t>
  </si>
  <si>
    <t>Referencia:</t>
  </si>
  <si>
    <t>30 dias</t>
  </si>
  <si>
    <t>Daniel Garrido</t>
  </si>
  <si>
    <t>Manguilla Dieléctrica Bicolor
Clase 0 Semi curva Novax</t>
  </si>
  <si>
    <t>Guante Dieléctrico Bicolor Clase 0 Novax Talla 9.5</t>
  </si>
  <si>
    <t>Guante protector cuero rojo</t>
  </si>
  <si>
    <t>Kupfer Hermanos S.A.</t>
  </si>
  <si>
    <t>90.844.000-5</t>
  </si>
  <si>
    <t>9 9626 5709</t>
  </si>
  <si>
    <t xml:space="preserve">Cristian beldaño </t>
  </si>
  <si>
    <t>ESLINGA TUBULAR 2 TON X 1MT.</t>
  </si>
  <si>
    <t>Kit Antiderrame 20 Lts Hidrocarburos</t>
  </si>
  <si>
    <t>sonda óptica  KMK116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</si>
  <si>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</si>
  <si>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</si>
  <si>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</si>
  <si>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</si>
  <si>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</si>
  <si>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</si>
  <si>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</si>
  <si>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</si>
  <si>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</si>
  <si>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</si>
  <si>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</si>
  <si>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</si>
  <si>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</si>
  <si>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</si>
  <si>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</si>
  <si>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</si>
  <si>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</si>
  <si>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</si>
  <si>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</si>
  <si>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</si>
  <si>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</si>
  <si>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</si>
  <si>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</si>
  <si>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</si>
  <si>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</si>
  <si>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</si>
  <si>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</si>
  <si>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</si>
  <si>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</si>
  <si>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</si>
  <si>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</si>
  <si>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</si>
  <si>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</si>
  <si>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</si>
  <si>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</si>
  <si>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</si>
  <si>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</si>
  <si>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</si>
  <si>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</si>
  <si>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</si>
  <si>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</si>
  <si>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</si>
  <si>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</si>
  <si>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</si>
  <si>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</si>
  <si>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</si>
  <si>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</si>
  <si>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</si>
  <si>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</si>
  <si>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</si>
  <si>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</si>
  <si>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</si>
  <si>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</si>
  <si>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</si>
  <si>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</si>
  <si>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</si>
  <si>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</si>
  <si>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</si>
  <si>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</si>
  <si>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</si>
  <si>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</si>
  <si>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</si>
  <si>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</si>
  <si>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</si>
  <si>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</si>
  <si>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</si>
  <si>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</si>
  <si>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</si>
  <si>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Falta entrega</t>
  </si>
  <si>
    <t>019_02062026_SAE INGECAF_Macaya_08_OC.xlsx</t>
  </si>
  <si>
    <t>Estrobo dielectrico</t>
  </si>
  <si>
    <t>Comulsa</t>
  </si>
  <si>
    <t>031_16062026_CYM_INGECAF_Villarrica_Comulsa_12_OC.xlsx</t>
  </si>
  <si>
    <t>94458000-K</t>
  </si>
  <si>
    <t>9 6917 7902</t>
  </si>
  <si>
    <t>Cat N° VTT-1/7 Pértiga Telescopica 7 Tramos 9,16mt Marca
TEREX RITZ</t>
  </si>
  <si>
    <t>032_18062026_Prevencion_INGECAF_Temuco_Max service_09_OC.xlsx</t>
  </si>
  <si>
    <t>Rollo cinta de peligro ms 12x300 mts</t>
  </si>
  <si>
    <t>C:\Users\rcayuleo\OneDrive - Transformadores Tusan SA\Archivos de Claudia Muñoz Farias EXT - Proceso de compras\03 Ordenes de Compra\019_02062026_SAE INGECAF_Macaya_08_OC.xlsx</t>
  </si>
  <si>
    <t>031_16062026</t>
  </si>
  <si>
    <t>031_16062026_CYM_INGECAF_Villarrica.xlsx</t>
  </si>
  <si>
    <t>031</t>
  </si>
  <si>
    <t>16-06-2026</t>
  </si>
  <si>
    <t>COMULSA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</si>
  <si>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</si>
  <si>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</si>
  <si>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</si>
  <si>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</si>
  <si>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</si>
  <si>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</si>
  <si>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</si>
  <si>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</si>
  <si>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027_12062026_Sae_Maule Norte_cotizacion.xlsx</t>
  </si>
  <si>
    <t>028_12062026_CYM_Maule Norte_cotizacion.xlsx</t>
  </si>
  <si>
    <t>029_15062026_Sae_Maule Norte_cotizacion.xlsx</t>
  </si>
  <si>
    <t>030_15062026</t>
  </si>
  <si>
    <t>030_15062026_CYM_INGECAF_Villarrica.xlsx</t>
  </si>
  <si>
    <t>030</t>
  </si>
  <si>
    <t>023_03062026_Prevencion riesgos_Araucania_apoyo activo_Casa del liniero_27_OC.xlsx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</si>
  <si>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</si>
  <si>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</si>
  <si>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</si>
  <si>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024_08062026_control perdida_Arica iquique_Max servcice_29_OC.xlsx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</si>
  <si>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</si>
  <si>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</si>
  <si>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</si>
  <si>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</si>
  <si>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</si>
  <si>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</si>
  <si>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025_11062026_Control de perdida_Rancagua_Max service_26_OC.xlsx</t>
  </si>
  <si>
    <t>C:\Users\rcayuleo\OneDrive - Transformadores Tusan SA\Archivos de Claudia Muñoz Farias EXT - Proceso de compras\03 Ordenes de Compra\025_11062026_Control de perdida_Rancagua_Max service_26_OC.xlsx</t>
  </si>
  <si>
    <t>033_17062026</t>
  </si>
  <si>
    <t>033_17062026_Control perdida_Rancagua.xlsx</t>
  </si>
  <si>
    <t>033_17062026_Control perdida_Rancagua_cotizacion.xlsx</t>
  </si>
  <si>
    <t>033</t>
  </si>
  <si>
    <t>17-06-2026</t>
  </si>
  <si>
    <t xml:space="preserve">Carlos Radatt </t>
  </si>
  <si>
    <t>034_19062026</t>
  </si>
  <si>
    <t>034_19062026_SAE_Maule Norte.xlsx</t>
  </si>
  <si>
    <t>034_19062026_SAE_Maule Norte_cotizacion.xlsx</t>
  </si>
  <si>
    <t>034</t>
  </si>
  <si>
    <t>19-06-2026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</si>
  <si>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</si>
  <si>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</si>
  <si>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</si>
  <si>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</si>
  <si>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</si>
  <si>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</si>
  <si>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</si>
  <si>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</si>
  <si>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</t>
  </si>
  <si>
    <t>Amortiguador doble Impacto dieléctrico</t>
  </si>
  <si>
    <t>Adriana Gonzales</t>
  </si>
  <si>
    <t>Geologo ignifugo con reflectantes talla L</t>
  </si>
  <si>
    <t>Pantalon ignifugo con reflectantes talla 44</t>
  </si>
  <si>
    <t>Pantalon ignifugo con reflectantes talla 46</t>
  </si>
  <si>
    <t>Polera pique ignifuga talla L</t>
  </si>
  <si>
    <t>Guantes cabritilla</t>
  </si>
  <si>
    <t>Lentes claros</t>
  </si>
  <si>
    <t xml:space="preserve">Protecto solar </t>
  </si>
  <si>
    <t>Legionario ignifugos</t>
  </si>
  <si>
    <t>Lentes oscuros</t>
  </si>
  <si>
    <t>calzado de seguridad botin maxwork lottus café 42</t>
  </si>
  <si>
    <t>Set Destornilladores Electricos Aislado 6pcs Ingco Hkisd0608</t>
  </si>
  <si>
    <t>76242907-1</t>
  </si>
  <si>
    <t>Kit-2 Deltaplus Protección para Arco Eléctrico 14CAL/CM2</t>
  </si>
  <si>
    <t>Chaqueta Ignifuga Antiacido Antiestatico W9091 Portwest Talla S</t>
  </si>
  <si>
    <t>Chaqueta Ignifuga Antiacido Antiestatico W9091 Portwest Talla M</t>
  </si>
  <si>
    <t>Chaqueta Ignifuga Antiacido Antiestatico W9091 Portwest Talla L</t>
  </si>
  <si>
    <t>Chaqueta Ignifuga Antiacido Antiestatico W9091 Portwest Talla XXXL</t>
  </si>
  <si>
    <t>96556940-5</t>
  </si>
  <si>
    <t>Papel Higiénico Tecnopapel Económico Hoja Simple 6 Rollos</t>
  </si>
  <si>
    <t>Toalla de Papel Damax 2 Rollos 250 M Hoja Simple</t>
  </si>
  <si>
    <t>Papel Fotocopia Prisa Carta 75 g 500 Hojas</t>
  </si>
  <si>
    <t>Lápiz Pasta Torre Punta Media 1.0 mm Azul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</si>
  <si>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</si>
  <si>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</si>
  <si>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033_17062026_Control perdida_Rancagua_segurycel_32_OC.xlsx</t>
  </si>
  <si>
    <t>C:\Users\rcayuleo\OneDrive - Transformadores Tusan SA\Archivos de Claudia Muñoz Farias EXT - Proceso de compras\03 Ordenes de Compra\033_17062026_Control perdida_Rancagua_segurycel_32_OC.xlsx</t>
  </si>
  <si>
    <t>034_19062026_SAE_Maule Norte_Casa del liniero_34_OC.xlsx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</si>
  <si>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</si>
  <si>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</si>
  <si>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</si>
  <si>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</si>
  <si>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</si>
  <si>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</si>
  <si>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</si>
  <si>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</si>
  <si>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</si>
  <si>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</si>
  <si>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</si>
  <si>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</si>
  <si>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</si>
  <si>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</si>
  <si>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</si>
  <si>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</si>
  <si>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036_22062026_Obra_Villarrica_cotizacion.xlsx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</si>
  <si>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</si>
  <si>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</si>
  <si>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</si>
  <si>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</si>
  <si>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</si>
  <si>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</si>
  <si>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</si>
  <si>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</si>
  <si>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</si>
  <si>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</si>
  <si>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</si>
  <si>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</si>
  <si>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</si>
  <si>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</si>
  <si>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</si>
  <si>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</si>
  <si>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</si>
  <si>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</si>
  <si>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</si>
  <si>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</si>
  <si>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</si>
  <si>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</si>
  <si>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</si>
  <si>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</si>
  <si>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</si>
  <si>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</si>
  <si>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</si>
  <si>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semana</t>
  </si>
  <si>
    <t>Suma de Monto Orden</t>
  </si>
  <si>
    <t xml:space="preserve"> MULTIPROPOSITO</t>
  </si>
  <si>
    <t>jul</t>
  </si>
  <si>
    <t>013_26052026_CYM_Maule Norte_15_OC.xlsx</t>
  </si>
  <si>
    <t>Fecha entrega</t>
  </si>
  <si>
    <t>Fecha pago</t>
  </si>
  <si>
    <t>FERRELECTRICA</t>
  </si>
  <si>
    <t>013_26052026_CYM_Maule Norte_Mercado libre_15_OC.xlsx</t>
  </si>
  <si>
    <t>26-05-2026</t>
  </si>
  <si>
    <t>C:\Users\rcayuleo\OneDrive - Transformadores Tusan SA\Archivos de Claudia Muñoz Farias EXT - Proceso de compras\03 Ordenes de Compra\013_26052026_CYM_Maule Norte_Mercado libre_15_OC.xlsx</t>
  </si>
  <si>
    <t>04 Coquimbo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</si>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</sst>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7" fillId="4" borderId="9" xfId="0" applyFont="1" applyFill="1" applyBorder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41" fontId="0" fillId="0" borderId="0" xfId="1" applyNumberFormat="1" applyFont="1"/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2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openxmlformats.org/officeDocument/2006/relationships/pivotCacheDefinition" Target="pivotCache/pivotCacheDefinition9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2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pivotCacheDefinition" Target="pivotCache/pivotCacheDefinition16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0" Type="http://schemas.openxmlformats.org/officeDocument/2006/relationships/pivotCacheDefinition" Target="pivotCache/pivotCacheDefinition1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ivotCacheDefinition" Target="pivotCache/pivotCacheDefinition15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pivotCacheDefinition" Target="pivotCache/pivotCacheDefinition14.xml"/><Relationship Id="rId28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19" Type="http://schemas.openxmlformats.org/officeDocument/2006/relationships/pivotCacheDefinition" Target="pivotCache/pivotCacheDefinition10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pivotCacheDefinition" Target="pivotCache/pivotCacheDefinition5.xml"/><Relationship Id="rId22" Type="http://schemas.openxmlformats.org/officeDocument/2006/relationships/pivotCacheDefinition" Target="pivotCache/pivotCacheDefinition13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ppt!$B$4:$B$11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ppt!$B$18:$B$25</c:f>
              <c:numCache>
                <c:formatCode>General</c:formatCode>
                <c:ptCount val="7"/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ppt!$C$18:$C$25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ppt!$D$18:$D$25</c:f>
              <c:numCache>
                <c:formatCode>General</c:formatCode>
                <c:ptCount val="7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ppt!$E$18:$E$25</c:f>
              <c:numCache>
                <c:formatCode>General</c:formatCode>
                <c:ptCount val="7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ppt!$F$18:$F$25</c:f>
              <c:numCache>
                <c:formatCode>General</c:formatCode>
                <c:ptCount val="7"/>
                <c:pt idx="1">
                  <c:v>1</c:v>
                </c:pt>
                <c:pt idx="2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ppt!$G$18:$G$25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ppt!$H$18:$H$25</c:f>
              <c:numCache>
                <c:formatCode>General</c:formatCode>
                <c:ptCount val="7"/>
                <c:pt idx="0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ppt!$B$34:$B$41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ppt!$C$34:$C$41</c:f>
              <c:numCache>
                <c:formatCode>General</c:formatCode>
                <c:ptCount val="7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ppt!$D$34:$D$41</c:f>
              <c:numCache>
                <c:formatCode>General</c:formatCode>
                <c:ptCount val="7"/>
                <c:pt idx="0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ppt!$E$34:$E$41</c:f>
              <c:numCache>
                <c:formatCode>General</c:formatCode>
                <c:ptCount val="7"/>
                <c:pt idx="0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ppt!$F$34:$F$41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ppt!$B$50:$B$57</c:f>
              <c:numCache>
                <c:formatCode>General</c:formatCode>
                <c:ptCount val="7"/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ppt!$C$50:$C$57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ppt!$D$50:$D$57</c:f>
              <c:numCache>
                <c:formatCode>General</c:formatCode>
                <c:ptCount val="7"/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ppt!$E$50:$E$57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ppt!$B$64:$B$71</c:f>
              <c:numCache>
                <c:formatCode>General</c:formatCode>
                <c:ptCount val="7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ppt!$C$64:$C$71</c:f>
              <c:numCache>
                <c:formatCode>General</c:formatCode>
                <c:ptCount val="7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ppt!$D$64:$D$71</c:f>
              <c:numCache>
                <c:formatCode>General</c:formatCode>
                <c:ptCount val="7"/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ppt!$E$64:$E$71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ppt!$B$79:$B$84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ppt!$C$79:$C$84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ppt!$D$79:$D$84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ppt!$E$79:$E$84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ppt!$B$98:$B$104</c:f>
              <c:numCache>
                <c:formatCode>_(* #,##0_);_(* \(#,##0\);_(* "-"_);_(@_)</c:formatCode>
                <c:ptCount val="6"/>
                <c:pt idx="4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ppt!$C$98:$C$104</c:f>
              <c:numCache>
                <c:formatCode>_(* #,##0_);_(* \(#,##0\);_(* "-"_);_(@_)</c:formatCode>
                <c:ptCount val="6"/>
                <c:pt idx="0">
                  <c:v>2501583</c:v>
                </c:pt>
                <c:pt idx="1">
                  <c:v>429808</c:v>
                </c:pt>
                <c:pt idx="2">
                  <c:v>7045733</c:v>
                </c:pt>
                <c:pt idx="3">
                  <c:v>1112831</c:v>
                </c:pt>
                <c:pt idx="4">
                  <c:v>964398</c:v>
                </c:pt>
                <c:pt idx="5">
                  <c:v>501243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ppt!$B$110:$B$117</c:f>
              <c:numCache>
                <c:formatCode>_(* #,##0_);_(* \(#,##0\);_(* "-"_);_(@_)</c:formatCode>
                <c:ptCount val="7"/>
                <c:pt idx="5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ppt!$C$110:$C$117</c:f>
              <c:numCache>
                <c:formatCode>_(* #,##0_);_(* \(#,##0\);_(* "-"_);_(@_)</c:formatCode>
                <c:ptCount val="7"/>
                <c:pt idx="0">
                  <c:v>2506282</c:v>
                </c:pt>
                <c:pt idx="1">
                  <c:v>170922</c:v>
                </c:pt>
                <c:pt idx="2">
                  <c:v>3440664</c:v>
                </c:pt>
                <c:pt idx="3">
                  <c:v>2367998</c:v>
                </c:pt>
                <c:pt idx="4">
                  <c:v>2020618</c:v>
                </c:pt>
                <c:pt idx="5">
                  <c:v>1485908</c:v>
                </c:pt>
                <c:pt idx="6">
                  <c:v>563204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ppt!$B$124:$B$129</c:f>
              <c:numCache>
                <c:formatCode>_(* #,##0_);_(* \(#,##0\);_(* "-"_);_(@_)</c:formatCode>
                <c:ptCount val="5"/>
                <c:pt idx="3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ppt!$C$124:$C$129</c:f>
              <c:numCache>
                <c:formatCode>_(* #,##0_);_(* \(#,##0\);_(* "-"_);_(@_)</c:formatCode>
                <c:ptCount val="5"/>
                <c:pt idx="0">
                  <c:v>818446</c:v>
                </c:pt>
                <c:pt idx="1">
                  <c:v>3448708</c:v>
                </c:pt>
                <c:pt idx="2">
                  <c:v>1506328</c:v>
                </c:pt>
                <c:pt idx="3">
                  <c:v>3827196</c:v>
                </c:pt>
                <c:pt idx="4">
                  <c:v>2954918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Relationship Id="rId1" Type="http://schemas.openxmlformats.org/officeDocument/2006/relationships/externalLinkPath" Target="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cayuleo" refreshedDate="46205.393689814817" createdVersion="8" refreshedVersion="8" minRefreshableVersion="3" recordCount="27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1921302"/>
    </cacheField>
    <cacheField name="Monto Faltante" numFmtId="42">
      <sharedItems containsMixedTypes="1" containsNumber="1" containsInteger="1" minValue="243450" maxValue="417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Muñoz Farias" refreshedDate="46209.729176967594" createdVersion="8" refreshedVersion="8" minRefreshableVersion="3" recordCount="64" xr:uid="{00E0E4BC-1801-4336-8E71-DE605E8EA889}">
  <cacheSource type="worksheet">
    <worksheetSource name="Control"/>
  </cacheSource>
  <cacheFields count="25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/>
    </cacheField>
    <cacheField name="Empresa compra" numFmtId="0">
      <sharedItems containsBlank="1"/>
    </cacheField>
    <cacheField name="Nombre Solicitante" numFmtId="0">
      <sharedItems/>
    </cacheField>
    <cacheField name="Contrato Solicitante" numFmtId="0">
      <sharedItems containsBlank="1"/>
    </cacheField>
    <cacheField name="Zona requisición" numFmtId="0">
      <sharedItems/>
    </cacheField>
    <cacheField name="Tipo de compra" numFmtId="0">
      <sharedItems/>
    </cacheField>
    <cacheField name="ruta" numFmtId="0">
      <sharedItems containsBlank="1"/>
    </cacheField>
    <cacheField name="Estado" numFmtId="0">
      <sharedItems count="4">
        <s v="Proceso OC completo"/>
        <s v="Falta OC"/>
        <s v="Falta entrega"/>
        <s v="Falta cotizacion"/>
      </sharedItems>
    </cacheField>
    <cacheField name="Periodo Requisición" numFmtId="14">
      <sharedItems containsSemiMixedTypes="0" containsNonDate="0" containsDate="1" containsString="0" minDate="2026-05-01T00:00:00" maxDate="2026-07-02T00:00:00" count="3">
        <d v="2026-05-01T00:00:00"/>
        <d v="2026-06-01T00:00:00"/>
        <d v="2026-07-01T00:00:00"/>
      </sharedItems>
      <fieldGroup par="24" base="18">
        <rangePr groupBy="days" startDate="2026-05-01T00:00:00" endDate="2026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6"/>
        </groupItems>
      </fieldGroup>
    </cacheField>
    <cacheField name="Fecha de pago" numFmtId="14">
      <sharedItems containsNonDate="0" containsDate="1" containsString="0" containsBlank="1" minDate="2026-05-26T00:00:00" maxDate="2026-06-13T00:00:00"/>
    </cacheField>
    <cacheField name="Fecha de entrega" numFmtId="0">
      <sharedItems containsDate="1" containsString="0" containsBlank="1" containsMixedTypes="1" minDate="2026-05-28T00:00:00" maxDate="1900-01-06T00:51:04"/>
    </cacheField>
    <cacheField name="Tiempo Ciclo" numFmtId="41">
      <sharedItems containsMixedTypes="1" containsNumber="1" containsInteger="1" minValue="-12" maxValue="15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27"/>
    </cacheField>
    <cacheField name="Meses" numFmtId="0" databaseField="0">
      <fieldGroup base="18">
        <rangePr groupBy="months" startDate="2026-05-01T00:00:00" endDate="2026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3912034" backgroundQuery="1" createdVersion="8" refreshedVersion="8" minRefreshableVersion="3" recordCount="0" supportSubquery="1" supportAdvancedDrill="1" xr:uid="{AE7206B9-D790-44CA-9CAC-B55C4C9A7750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5069442" backgroundQuery="1" createdVersion="8" refreshedVersion="8" minRefreshableVersion="3" recordCount="0" supportSubquery="1" supportAdvancedDrill="1" xr:uid="{59735C7A-5524-4B8E-8C83-5BFB7C5194D6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6111112" backgroundQuery="1" createdVersion="8" refreshedVersion="8" minRefreshableVersion="3" recordCount="0" supportSubquery="1" supportAdvancedDrill="1" xr:uid="{256A86CB-D5C6-49B7-90E1-C2414852736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7152774" backgroundQuery="1" createdVersion="8" refreshedVersion="8" minRefreshableVersion="3" recordCount="0" supportSubquery="1" supportAdvancedDrill="1" xr:uid="{796F7ADC-B805-40EC-92FA-CED91F2A9C89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Control].[semana].[semana]" caption="semana" numFmtId="0" hierarchy="24" level="1">
      <sharedItems containsSemiMixedTypes="0" containsString="0" containsNumber="1" containsInteger="1" minValue="21" maxValue="26" count="6"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</x15:cachedUniqueNames>
        </ext>
      </extLst>
    </cacheField>
    <cacheField name="[Measures].[Suma de Monto Orden 2]" caption="Suma de Monto Orden 2" numFmtId="0" hierarchy="32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8541667" backgroundQuery="1" createdVersion="8" refreshedVersion="8" minRefreshableVersion="3" recordCount="0" supportSubquery="1" supportAdvancedDrill="1" xr:uid="{84945415-2F3D-41E9-BEE4-53E09ECA0BFA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0046299" backgroundQuery="1" createdVersion="8" refreshedVersion="8" minRefreshableVersion="3" recordCount="0" supportSubquery="1" supportAdvancedDrill="1" xr:uid="{103C3933-F5FA-4CDD-8616-99EF4A0C1F76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1666669" backgroundQuery="1" createdVersion="8" refreshedVersion="8" minRefreshableVersion="3" recordCount="0" supportSubquery="1" supportAdvancedDrill="1" xr:uid="{F9ADFA1A-926E-43E4-B83C-DF6F1D6CE0D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328704" backgroundQuery="1" createdVersion="8" refreshedVersion="8" minRefreshableVersion="3" recordCount="0" supportSubquery="1" supportAdvancedDrill="1" xr:uid="{435F8414-65E4-475C-8D34-898155227C6B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4675925" backgroundQuery="1" createdVersion="8" refreshedVersion="8" minRefreshableVersion="3" recordCount="0" supportSubquery="1" supportAdvancedDrill="1" xr:uid="{D35076D1-86B8-4448-9F15-44613918BA4B}">
  <cacheSource type="external" connectionId="38"/>
  <cacheFields count="2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064818" backgroundQuery="1" createdVersion="6" refreshedVersion="8" minRefreshableVersion="3" recordCount="0" supportSubquery="1" supportAdvancedDrill="1" xr:uid="{6222FAAC-D316-402E-834E-C316046CB5E4}">
  <cacheSource type="external" connectionId="38"/>
  <cacheFields count="3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Measures].[Recuento de Estado]" caption="Recuento de Estado" numFmtId="0" hierarchy="30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990742" backgroundQuery="1" createdVersion="6" refreshedVersion="8" minRefreshableVersion="3" recordCount="0" supportSubquery="1" supportAdvancedDrill="1" xr:uid="{0FA8FC5D-7131-4730-A889-750302CCBA5F}">
  <cacheSource type="external" connectionId="38"/>
  <cacheFields count="2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Measures].[Recuento de Requisiciones]" caption="Recuento de Requisiciones" numFmtId="0" hierarchy="29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7916666" backgroundQuery="1" createdVersion="6" refreshedVersion="8" minRefreshableVersion="3" recordCount="0" supportSubquery="1" supportAdvancedDrill="1" xr:uid="{BFBC2255-9EF7-492B-BC90-2246C2E2F351}">
  <cacheSource type="external" connectionId="38"/>
  <cacheFields count="2">
    <cacheField name="[Measures].[Recuento distinto de Requisiciones]" caption="Recuento distinto de Requisiciones" numFmtId="0" hierarchy="31" level="32767"/>
    <cacheField name="[Control].[Periodo Requisición (mes)].[Periodo Requisición (mes)]" caption="Periodo Requisición (mes)" numFmtId="0" hierarchy="23" level="1">
      <sharedItems count="3">
        <s v="may"/>
        <s v="jun"/>
        <s v="jul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9189813" backgroundQuery="1" createdVersion="6" refreshedVersion="8" minRefreshableVersion="3" recordCount="0" supportSubquery="1" supportAdvancedDrill="1" xr:uid="{5C2119B8-BBC0-4BDC-8D9A-D4B59C77EF71}">
  <cacheSource type="external" connectionId="38"/>
  <cacheFields count="2">
    <cacheField name="[Measures].[Recuento de OC]" caption="Recuento de OC" numFmtId="0" hierarchy="28" level="32767"/>
    <cacheField name="[Control].[Nro de Orden].[Nro de Orden]" caption="Nro de Orden" numFmtId="0" hierarchy="4" level="1">
      <sharedItems count="29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1"/>
        <s v="032"/>
        <s v="033"/>
        <s v="034"/>
        <s v="035"/>
        <s v="039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448263891" backgroundQuery="1" createdVersion="8" refreshedVersion="8" minRefreshableVersion="3" recordCount="0" supportSubquery="1" supportAdvancedDrill="1" xr:uid="{BC5F5317-E559-4843-A9B7-86B2940E48C4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Empresa compra].[Empresa compra]" caption="Empresa compra" numFmtId="0" hierarchy="11" level="1">
      <sharedItems count="16">
        <s v="COMERCIAL PCELECTRIC"/>
        <s v="COMERCIAL SIGLO XXI"/>
        <s v="COMULSA"/>
        <s v="COPRELEC SEGURIDAD ELECTRICA E INSTRUMENTACION SPA"/>
        <s v="FERRELECTRICA"/>
        <s v="FERRELECTRICA SPA"/>
        <s v="KUPFER HERMANOS S.A."/>
        <s v="MACAYA INSUMOS INDUSTRIALES LTDA."/>
        <s v="MANUFACTURAS RAC LIMITADA"/>
        <s v="MAX SERVICE SEGURIDAD INDUSTRIAL SPA"/>
        <s v="MERCADOLIBRE CHILE LTDA"/>
        <s v="MYEFERRETERIALIMITADA"/>
        <s v="PROVEEDORES INTEGRALES PRISA S A"/>
        <s v="SEGURIDAD INDUSTRIAL CORVALAN E HIJOS LIMITADA"/>
        <s v="SEGURYCEL S.A"/>
        <s v="SODIMAC S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2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2635647"/>
    <n v="64088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m/>
    <n v="243450"/>
  </r>
  <r>
    <s v="034"/>
    <n v="4175867"/>
    <m/>
    <n v="417586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001_20052026"/>
    <s v="001_20052026_control perdida_colchagua.xlsx"/>
    <s v="001_20052026_control perdidas_colchagua_cotizacion.xlsx"/>
    <s v="001_20052026_control perdidas_colchagua_01_OC.xlsx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m/>
    <s v="013"/>
    <s v="19-05-2026"/>
    <s v="19-05-2026"/>
    <m/>
    <m/>
    <m/>
    <s v="APOYO ACTIVO"/>
    <m/>
    <s v="Jorge Retamal"/>
    <s v="Construcción y Mantenimiento (CYM)"/>
    <s v="09 Maule Norte"/>
    <s v="Urgente"/>
    <m/>
    <x v="1"/>
    <x v="0"/>
    <m/>
    <m/>
    <s v=""/>
    <m/>
    <n v="21"/>
  </r>
  <r>
    <s v="014_01062026"/>
    <s v="014_01062026_cym_colchagua cardenal caro.xlsx"/>
    <s v="014_01062026_cym_colchagua cardenal caro_cotizacion.xlsx"/>
    <s v="014_01062026_cym_colchagua cardenal caro_segurycel_17_OC.xlsx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8_OC.xlsx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9_OC.xlsx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20_OC.xlsx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x v="2"/>
    <x v="1"/>
    <m/>
    <m/>
    <s v=""/>
    <m/>
    <n v="23"/>
  </r>
  <r>
    <s v="016_01062026"/>
    <s v="016_01062026_cym_coquimbo.xlsx"/>
    <s v="016_01062026_cym_coquimbo_cotizacion.xlsx"/>
    <s v="016_01062026_cym_coquimbo_pcelectric_16_OC.xlsx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x v="0"/>
    <x v="1"/>
    <m/>
    <d v="2026-06-16T00:00:00"/>
    <n v="12"/>
    <m/>
    <n v="23"/>
  </r>
  <r>
    <s v="017_03062026"/>
    <s v="017_03062026_Multiproposito_Rancagua.xlsx"/>
    <s v="017_03062026_Multiproposito_Rancagua.xlsx"/>
    <s v="017_03062026_Multiproposito_Rancagua_cotizacion_mercado libre_21_OC.xlsx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x v="0"/>
    <x v="1"/>
    <m/>
    <d v="2026-06-16T00:00:00"/>
    <n v="10"/>
    <m/>
    <n v="23"/>
  </r>
  <r>
    <s v="018_02062026"/>
    <s v="018_02062026_CYM_INGECAF_VILLARRICA.xlsx"/>
    <s v="018_02062026_CYM_INGECAF_VILLARRICA_cotizacion.xlsx"/>
    <m/>
    <s v="018"/>
    <s v="02-06-2026"/>
    <s v="02-06-2026"/>
    <m/>
    <m/>
    <m/>
    <s v="INGECAF"/>
    <m/>
    <s v="Sebastian Sandoval"/>
    <s v="Prevención de Riesgo"/>
    <s v="12 Araucanía"/>
    <s v="Urgente"/>
    <m/>
    <x v="1"/>
    <x v="1"/>
    <m/>
    <m/>
    <s v=""/>
    <m/>
    <n v="23"/>
  </r>
  <r>
    <s v="019_02062026"/>
    <s v="019_02062026_SAE INGECAF.xlsx"/>
    <s v="019_02062026_SAE INGECAF_cotizacion.xlsx"/>
    <s v="019_02062026_SAE INGECAF_Macaya_08_OC.xlsx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x v="0"/>
    <x v="1"/>
    <d v="2026-05-28T00:00:00"/>
    <d v="2026-05-29T00:00:00"/>
    <n v="-3"/>
    <m/>
    <n v="23"/>
  </r>
  <r>
    <s v="020_04062026"/>
    <s v="020_04062026_Multiproposito_Rancagua.xlsx"/>
    <s v="020_04062026_Multiproposito_Rancagua_cotizacion.xlsx"/>
    <s v="020_04062026_Multiproposito_Rancagua_Coprelec_23_OC.xlsx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x v="2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Kupfer_24_OC.xlsx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x v="0"/>
    <x v="1"/>
    <m/>
    <d v="2026-06-03T00:00:00"/>
    <n v="-2"/>
    <m/>
    <n v="23"/>
  </r>
  <r>
    <s v="020_04062026"/>
    <s v="020_04062026_Multiproposito_Rancagua.xlsx"/>
    <s v="020_04062026_Multiproposito_Rancagua_cotizacion.xlsx"/>
    <s v="020_04062026_Multiproposito_Rancagua_Mercado Libre_22_OC.xlsx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x v="2"/>
    <x v="1"/>
    <m/>
    <m/>
    <s v=""/>
    <m/>
    <n v="23"/>
  </r>
  <r>
    <s v="021_03062026"/>
    <s v="021_03062026_Prevencion riesgos_Colchagua cardenal caro.xlsx"/>
    <s v="021_03062026_Prevencion riesgos_Colchagua cardenal caro.xlsx"/>
    <m/>
    <s v="021"/>
    <s v="03-06-2026"/>
    <s v="03-06-2026"/>
    <m/>
    <m/>
    <m/>
    <s v="APOYO ACTIVO"/>
    <m/>
    <s v="Roberto Yáñez "/>
    <s v="Prevención de Riesgo"/>
    <s v="08 Colchagua-Cardenal Caro"/>
    <s v="Urgente"/>
    <m/>
    <x v="1"/>
    <x v="1"/>
    <m/>
    <m/>
    <s v=""/>
    <m/>
    <n v="23"/>
  </r>
  <r>
    <s v="022_08062026"/>
    <s v="022_08062026_Control perdida_Rancagua.xlsx"/>
    <s v="022_08062026_Control perdida_Rancagua_cotizacion.xlsx"/>
    <s v="022_08062026_Control perdida_Rancagua_Mercado libre e ebay_25_OC.xlsx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x v="0"/>
    <x v="1"/>
    <m/>
    <d v="2026-06-17T00:00:00"/>
    <n v="8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x v="0"/>
    <x v="1"/>
    <m/>
    <d v="2026-06-17T00:00:00"/>
    <n v="1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x v="0"/>
    <x v="1"/>
    <m/>
    <n v="46190"/>
    <n v="8"/>
    <m/>
    <n v="24"/>
  </r>
  <r>
    <s v="025_11062026"/>
    <s v="025_11062026_Control de perdida_Rancagua.xlsx"/>
    <s v="025_11062026_Control de perdida_Rancagua_cotizacion.xlsx"/>
    <s v="025_11062026_Control de perdida_Rancagua_Max service_26_OC.xlsx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x v="2"/>
    <x v="1"/>
    <m/>
    <m/>
    <s v=""/>
    <m/>
    <n v="24"/>
  </r>
  <r>
    <s v="026_15062026"/>
    <s v="026_15062026_Sae_Maule norte.xlsx"/>
    <s v="026_15062026_Sae_Maule norte_cotizacion.xlsx"/>
    <m/>
    <s v="026"/>
    <s v="15-06-2026"/>
    <s v="15-06-2026"/>
    <m/>
    <m/>
    <m/>
    <s v="APOYO ACTIVO"/>
    <m/>
    <s v="Esteban Pineda"/>
    <s v="Servicio Atención Emergencia (SAE)"/>
    <s v="09 Maule Norte"/>
    <s v="Urgente"/>
    <m/>
    <x v="1"/>
    <x v="1"/>
    <m/>
    <m/>
    <s v=""/>
    <m/>
    <n v="25"/>
  </r>
  <r>
    <s v="027_12062026"/>
    <s v="027_12062026_Sae_Maule Norte.xlsx"/>
    <s v="027_12062026_Sae_Maule Norte_cotizacion.xlsx"/>
    <m/>
    <s v="027"/>
    <s v="12-06-2026"/>
    <s v="12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4"/>
  </r>
  <r>
    <s v="028_12062026"/>
    <s v="028_12062026_CYM_Maule Norte.xlsx"/>
    <s v="028_12062026_CYM_Maule Norte_cotizacion.xlsx"/>
    <m/>
    <s v="028"/>
    <s v="12-06-2026"/>
    <s v="12-06-2026"/>
    <m/>
    <m/>
    <m/>
    <s v="APOYO ACTIVO"/>
    <m/>
    <s v="Jorge Retamal"/>
    <s v="Construcción y Mantenimiento (CYM)"/>
    <s v="09 Maule Norte"/>
    <s v="Urgente"/>
    <m/>
    <x v="1"/>
    <x v="1"/>
    <m/>
    <d v="2026-06-05T00:00:00"/>
    <n v="-6"/>
    <m/>
    <n v="24"/>
  </r>
  <r>
    <s v="029_15062026"/>
    <s v="029_15062026_Sae_Maule Norte.xlsx"/>
    <s v="029_15062026_Sae_Maule Norte_cotizacion.xlsx"/>
    <m/>
    <s v="029"/>
    <s v="15-06-2026"/>
    <s v="15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5"/>
  </r>
  <r>
    <s v="030_15062026"/>
    <s v="030_15062026_CYM_INGECAF_Villarrica.xlsx"/>
    <s v="030_15062026_CYM_INGECAF_Villarrica.xlsx"/>
    <m/>
    <s v="030"/>
    <s v="15-06-2026"/>
    <s v="15-06-2026"/>
    <m/>
    <m/>
    <m/>
    <s v="INGECAF"/>
    <m/>
    <s v="Sebastian Sandoval"/>
    <m/>
    <s v="12 Araucanía"/>
    <s v="Reposición"/>
    <m/>
    <x v="1"/>
    <x v="1"/>
    <m/>
    <m/>
    <s v=""/>
    <m/>
    <n v="25"/>
  </r>
  <r>
    <s v="031_16062026"/>
    <s v="031_16062026_CYM_INGECAF_Villarrica.xlsx"/>
    <s v="031_16062026_CYM_INGECAF_Villarrica.xlsx"/>
    <s v="031_16062026_CYM_INGECAF_Villarrica_Comulsa_12_OC.xlsx"/>
    <s v="031"/>
    <s v="16-06-2026"/>
    <s v="16-06-2026"/>
    <s v="16-06-2026"/>
    <s v="CONTADO"/>
    <n v="336502"/>
    <s v="INGECAF"/>
    <s v="COMULS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x v="2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x v="0"/>
    <x v="1"/>
    <d v="2026-06-02T00:00:00"/>
    <d v="2026-06-04T00:00:00"/>
    <n v="-11"/>
    <m/>
    <n v="25"/>
  </r>
  <r>
    <s v="033_17062026"/>
    <s v="033_17062026_Control perdida_Rancagua.xlsx"/>
    <s v="033_17062026_Control perdida_Rancagua_cotizacion.xlsx"/>
    <s v="033_17062026_Control perdida_Rancagua_segurycel_32_OC.xlsx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x v="0"/>
    <x v="1"/>
    <d v="2026-06-12T00:00:00"/>
    <d v="2026-06-16T00:00:00"/>
    <n v="-2"/>
    <m/>
    <n v="25"/>
  </r>
  <r>
    <s v="034_19062026"/>
    <s v="034_19062026_SAE_Maule Norte.xlsx"/>
    <s v="034_19062026_SAE_Maule Norte_cotizacion.xlsx"/>
    <s v="034_19062026_SAE_Maule Norte_Casa del liniero_34_OC.xlsx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Ferrelectrica_35_OC.xlsx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Macaya_36_OC.xlsx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Rac_37_OC.xlsx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x v="2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x v="0"/>
    <x v="1"/>
    <m/>
    <n v="46191"/>
    <n v="-3"/>
    <m/>
    <n v="26"/>
  </r>
  <r>
    <s v="036_22062026"/>
    <s v="036_22062026_Obra_Villarrica.xlsx"/>
    <s v="036_22062026_Obra_Villarrica_cotizacion.xlsx"/>
    <m/>
    <s v="036"/>
    <s v="22-06-2026"/>
    <s v="22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6"/>
  </r>
  <r>
    <s v="037_30062026"/>
    <s v="037_30062026_CYM_INGECAF_Villarrica.xlsx"/>
    <s v="037_30062026_CYM_INGECAF_Villarrica_cotizacion.xlsx"/>
    <m/>
    <s v="037"/>
    <s v="30-06-2026"/>
    <s v="30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7"/>
  </r>
  <r>
    <s v="038_30062026"/>
    <s v="038_30062026_SAE_INGECAF_Villarrica.xlsx"/>
    <s v="038_30062026_SAE_INGECAF_Villarrica_cotizacion.xlsx"/>
    <m/>
    <s v="038"/>
    <s v="30-06-2026"/>
    <s v="30-06-2026"/>
    <m/>
    <m/>
    <m/>
    <s v="INGECAF"/>
    <m/>
    <s v="Ernesto Lemunao"/>
    <s v="Servicio Atención Emergencia (SAE)"/>
    <s v="12 Araucanía"/>
    <s v="Planificada "/>
    <m/>
    <x v="1"/>
    <x v="1"/>
    <m/>
    <m/>
    <s v=""/>
    <m/>
    <n v="27"/>
  </r>
  <r>
    <s v="039_26062026"/>
    <s v="039_26062026_SAE_Maule Norte.xlsx"/>
    <s v="039_26062026_SAE_Maule Norte_cotizacion.xlsx"/>
    <s v="039_26062026_SAE_Maule Norte_Coprelec_38_OC.xlsx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x v="2"/>
    <x v="1"/>
    <m/>
    <m/>
    <s v=""/>
    <m/>
    <n v="26"/>
  </r>
  <r>
    <s v="040_30062026"/>
    <s v="040_30062026_Control perdida_Rancagua.xlsx"/>
    <m/>
    <m/>
    <s v="040"/>
    <s v="30-06-2026"/>
    <m/>
    <m/>
    <m/>
    <m/>
    <s v="APOYO ACTIVO"/>
    <m/>
    <s v="Sofía Navia Quezada "/>
    <s v="Control de Perdida (BBPP)"/>
    <s v="07 Rancagua"/>
    <s v="Planificada "/>
    <m/>
    <x v="3"/>
    <x v="1"/>
    <m/>
    <m/>
    <s v=""/>
    <m/>
    <n v="27"/>
  </r>
  <r>
    <s v="041_30062026"/>
    <s v="041_30062026_SSTT_Maule Norte.xlsx"/>
    <m/>
    <m/>
    <s v="041"/>
    <s v="30-06-2026"/>
    <m/>
    <m/>
    <m/>
    <m/>
    <s v="APOYO ACTIVO"/>
    <m/>
    <s v="Alvaro Maldonado"/>
    <s v="Servicio Técnico (SSTT)"/>
    <s v="09 Maule Norte"/>
    <s v="Urgente"/>
    <m/>
    <x v="3"/>
    <x v="1"/>
    <m/>
    <m/>
    <s v=""/>
    <m/>
    <n v="27"/>
  </r>
  <r>
    <s v="042_01072026"/>
    <s v="042_01072026_SAE_INGECAF_Araucania.xlsx"/>
    <s v="042_01072026_SAE_INGECAF_Araucania_cotizacion.xlsx"/>
    <m/>
    <s v="042"/>
    <s v="01-07-2026"/>
    <s v="01-07-2026"/>
    <m/>
    <m/>
    <m/>
    <s v="INGECAF"/>
    <m/>
    <s v="Katherine Monsalves "/>
    <s v="Servicio Atención Emergencia (SAE)"/>
    <s v="12 Araucanía"/>
    <s v="Urgente"/>
    <m/>
    <x v="1"/>
    <x v="2"/>
    <m/>
    <m/>
    <s v=""/>
    <m/>
    <n v="27"/>
  </r>
  <r>
    <s v="043_02072026"/>
    <s v="043_02072026_Control Perdida_Arica-iquique.xlsx"/>
    <s v="043_02072026_Control Perdida_Arica-iquique_cotizacion.xlsx"/>
    <m/>
    <s v="043"/>
    <s v="02-07-2026"/>
    <s v="02-07-2026"/>
    <m/>
    <m/>
    <m/>
    <s v="APOYO ACTIVO"/>
    <m/>
    <s v="Carlos Radatt "/>
    <s v="Control de Perdida (BBPP)"/>
    <s v="01 Arica-Iquique"/>
    <s v="Urgente"/>
    <m/>
    <x v="1"/>
    <x v="2"/>
    <d v="2026-06-12T00:00:00"/>
    <n v="46190"/>
    <n v="-12"/>
    <m/>
    <n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2:G41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62:F71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33:D151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7">
    <i>
      <x v="3"/>
    </i>
    <i>
      <x v="9"/>
    </i>
    <i>
      <x v="7"/>
    </i>
    <i>
      <x/>
    </i>
    <i>
      <x v="10"/>
    </i>
    <i>
      <x v="14"/>
    </i>
    <i>
      <x v="13"/>
    </i>
    <i>
      <x v="2"/>
    </i>
    <i>
      <x v="5"/>
    </i>
    <i>
      <x v="12"/>
    </i>
    <i>
      <x v="8"/>
    </i>
    <i>
      <x v="6"/>
    </i>
    <i>
      <x v="15"/>
    </i>
    <i>
      <x v="4"/>
    </i>
    <i>
      <x v="11"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6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48:F57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96:D104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2" baseField="0" baseItem="0" numFmtId="41"/>
  </dataFields>
  <formats count="1">
    <format dxfId="17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22:D129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8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16:I25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77:F84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08:D117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9">
      <pivotArea outline="0" collapsedLevelsAreSubtotals="1" fieldPosition="0"/>
    </format>
  </formats>
  <chartFormats count="2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4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>
  <location ref="N1:O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Recuento de OC" fld="0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4">
  <location ref="A1:B6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4"/>
    <field x="18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13">
  <location ref="A33:B3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5">
    <i>
      <x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17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3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4">
  <location ref="R1:W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Estado" fld="2" subtotal="count" baseField="0" baseItem="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3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Y3:Z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3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55" unboundColumnsRight="7">
    <queryTableFields count="24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6" dataBound="0" tableColumnId="6"/>
      <queryTableField id="48" dataBound="0" tableColumnId="13"/>
      <queryTableField id="7" dataBound="0" tableColumnId="7"/>
      <queryTableField id="8" dataBound="0" tableColumnId="8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0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BDA67482-C6E3-480B-94E7-5C6D9482D2BE}" autoFormatId="16" applyNumberFormats="0" applyBorderFormats="0" applyFontFormats="0" applyPatternFormats="0" applyAlignmentFormats="0" applyWidthHeightFormats="0">
  <queryTableRefresh nextId="7">
    <queryTableFields count="6">
      <queryTableField id="1" name="Datos OC" tableColumnId="1"/>
      <queryTableField id="2" name="Detalle orden" tableColumnId="2"/>
      <queryTableField id="3" name="Cantidad" tableColumnId="3"/>
      <queryTableField id="4" name="Valor unitario" tableColumnId="4"/>
      <queryTableField id="5" name="X.Data.Column7" tableColumnId="5"/>
      <queryTableField id="6" name="LLave OC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X78" tableType="queryTable" totalsRowShown="0" headerRowDxfId="20">
  <autoFilter ref="A1:X78" xr:uid="{FDA11577-8B06-46D1-ADA8-5D8875297866}"/>
  <tableColumns count="24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6" xr3:uid="{A141DB03-FB77-4FCC-95E0-DEDE9DBFE217}" uniqueName="6" name="Estado" queryTableFieldId="6" dataDxfId="5">
      <calculatedColumnFormula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calculatedColumnFormula>
    </tableColumn>
    <tableColumn id="13" xr3:uid="{E39E211C-842B-49B9-8311-690A92FF91AC}" uniqueName="13" name="Periodo Requisición" queryTableFieldId="48" dataDxfId="4">
      <calculatedColumnFormula>+DATE(YEAR(Control[[#This Row],[Fecha Requisición]]),MONTH(Control[[#This Row],[Fecha Requisición]]),1)</calculatedColumnFormula>
    </tableColumn>
    <tableColumn id="7" xr3:uid="{DE8F033D-F1D3-48D3-BF27-8B0DD3E98213}" uniqueName="7" name="Fecha de pago" queryTableFieldId="7" dataDxfId="3"/>
    <tableColumn id="8" xr3:uid="{5C4C61D9-069F-4C90-87ED-A3106105D2B0}" uniqueName="8" name="Fecha de entrega" queryTableFieldId="8" dataDxfId="2"/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06" tableType="queryTable" totalsRowShown="0" headerRowDxfId="14">
  <autoFilter ref="D74:G106" xr:uid="{35A09120-D77B-48C8-9426-9E70EA04C899}"/>
  <tableColumns count="4">
    <tableColumn id="1" xr3:uid="{170EDB67-62F3-4A39-B646-203BEE7F772D}" uniqueName="1" name="Nro solicitud" queryTableFieldId="1" dataDxfId="13"/>
    <tableColumn id="2" xr3:uid="{D7366FFB-BF7A-45A0-967E-4B233AD905E5}" uniqueName="2" name="Monto Cotizacion" queryTableFieldId="2" dataDxfId="12" dataCellStyle="Moneda [0]"/>
    <tableColumn id="3" xr3:uid="{429451C5-869E-4165-8119-4515E4C1B5C8}" uniqueName="3" name="Monto OC" queryTableFieldId="3" dataDxfId="11" dataCellStyle="Moneda [0]"/>
    <tableColumn id="4" xr3:uid="{347DAE8B-1358-4096-87AE-8BC0A688A37B}" uniqueName="4" name="Monto Faltante" queryTableFieldId="4" dataDxfId="10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902E29-AF80-40AC-AFFF-BE56ED2069E4}" name="Detalle" displayName="Detalle" ref="A1:F451" tableType="queryTable" totalsRowShown="0">
  <autoFilter ref="A1:F451" xr:uid="{6EA169B6-48F3-43B9-AD28-D530A6061C3D}"/>
  <tableColumns count="6">
    <tableColumn id="1" xr3:uid="{27AF76BC-1482-4718-BD6F-D99BDED6D85F}" uniqueName="1" name="Datos OC" queryTableFieldId="1"/>
    <tableColumn id="2" xr3:uid="{80D79ADA-23B1-4DD8-BF34-C4FA0E2D2B6B}" uniqueName="2" name="Detalle orden" queryTableFieldId="2"/>
    <tableColumn id="3" xr3:uid="{106A893C-59EF-4D8A-AD3C-33C1C5B3EB46}" uniqueName="3" name="Cantidad" queryTableFieldId="3"/>
    <tableColumn id="4" xr3:uid="{4AF7A517-CEEB-42FD-8D97-A1909178B70A}" uniqueName="4" name="Valor unitario" queryTableFieldId="4"/>
    <tableColumn id="5" xr3:uid="{65C23B79-D788-4F5A-8833-51B1585A0D01}" uniqueName="5" name="X.Data.Column7" queryTableFieldId="5"/>
    <tableColumn id="6" xr3:uid="{315754DD-1DF4-497C-9A3B-575E0EAF902D}" uniqueName="6" name="LLave OC" queryTableFieldId="6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X81"/>
  <sheetViews>
    <sheetView tabSelected="1" zoomScale="110" zoomScaleNormal="110" workbookViewId="0"/>
  </sheetViews>
  <sheetFormatPr baseColWidth="10" defaultColWidth="11.44140625" defaultRowHeight="14.4" x14ac:dyDescent="0.3"/>
  <cols>
    <col min="1" max="1" width="13" bestFit="1" customWidth="1"/>
    <col min="2" max="2" width="55.6640625" style="2" bestFit="1" customWidth="1"/>
    <col min="3" max="3" width="64.109375" bestFit="1" customWidth="1"/>
    <col min="4" max="4" width="75.5546875" bestFit="1" customWidth="1"/>
    <col min="5" max="5" width="14.6640625" bestFit="1" customWidth="1"/>
    <col min="6" max="6" width="18.33203125" style="7" bestFit="1" customWidth="1"/>
    <col min="7" max="7" width="17.21875" bestFit="1" customWidth="1"/>
    <col min="8" max="8" width="11" bestFit="1" customWidth="1"/>
    <col min="9" max="9" width="14.109375" bestFit="1" customWidth="1"/>
    <col min="10" max="10" width="15.77734375" bestFit="1" customWidth="1"/>
    <col min="11" max="11" width="19.88671875" bestFit="1" customWidth="1"/>
    <col min="12" max="12" width="52.21875" bestFit="1" customWidth="1"/>
    <col min="13" max="13" width="26.77734375" bestFit="1" customWidth="1"/>
    <col min="14" max="14" width="31.88671875" bestFit="1" customWidth="1"/>
    <col min="15" max="15" width="24.44140625" bestFit="1" customWidth="1"/>
    <col min="16" max="16" width="16.33203125" bestFit="1" customWidth="1"/>
    <col min="17" max="17" width="81.21875" hidden="1" customWidth="1"/>
    <col min="18" max="18" width="18.77734375" bestFit="1" customWidth="1"/>
    <col min="19" max="19" width="22.21875" style="1" bestFit="1" customWidth="1"/>
    <col min="20" max="20" width="17.5546875" bestFit="1" customWidth="1"/>
    <col min="21" max="21" width="19.77734375" bestFit="1" customWidth="1"/>
    <col min="22" max="22" width="17.109375" bestFit="1" customWidth="1"/>
    <col min="23" max="23" width="16.109375" bestFit="1" customWidth="1"/>
    <col min="24" max="24" width="12" bestFit="1" customWidth="1"/>
    <col min="25" max="25" width="24.21875" bestFit="1" customWidth="1"/>
    <col min="26" max="26" width="11.77734375" bestFit="1" customWidth="1"/>
  </cols>
  <sheetData>
    <row r="1" spans="1:24" x14ac:dyDescent="0.3">
      <c r="A1" s="1" t="s">
        <v>2</v>
      </c>
      <c r="B1" s="1" t="s">
        <v>3</v>
      </c>
      <c r="C1" s="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s="7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t="s">
        <v>18</v>
      </c>
      <c r="R1" s="33" t="s">
        <v>19</v>
      </c>
      <c r="S1" s="8" t="s">
        <v>20</v>
      </c>
      <c r="T1" s="3" t="s">
        <v>21</v>
      </c>
      <c r="U1" s="3" t="s">
        <v>22</v>
      </c>
      <c r="V1" s="9" t="s">
        <v>23</v>
      </c>
      <c r="W1" s="1" t="s">
        <v>24</v>
      </c>
      <c r="X1" s="1" t="s">
        <v>637</v>
      </c>
    </row>
    <row r="2" spans="1:24" x14ac:dyDescent="0.3">
      <c r="A2" t="s">
        <v>25</v>
      </c>
      <c r="B2" t="s">
        <v>26</v>
      </c>
      <c r="C2" t="s">
        <v>27</v>
      </c>
      <c r="D2" t="s">
        <v>28</v>
      </c>
      <c r="E2" t="s">
        <v>29</v>
      </c>
      <c r="F2" t="s">
        <v>30</v>
      </c>
      <c r="G2" t="s">
        <v>30</v>
      </c>
      <c r="H2" t="s">
        <v>30</v>
      </c>
      <c r="I2" t="s">
        <v>31</v>
      </c>
      <c r="J2" s="7">
        <v>485948</v>
      </c>
      <c r="K2" s="7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" s="12">
        <f>+DATE(YEAR(Control[[#This Row],[Fecha Requisición]]),MONTH(Control[[#This Row],[Fecha Requisición]]),1)</f>
        <v>46143</v>
      </c>
      <c r="T2" s="32"/>
      <c r="U2" s="32">
        <v>46175</v>
      </c>
      <c r="V2" s="40">
        <f>+IF(Control[[#This Row],[Fecha de entrega]]="","",NETWORKDAYS(Control[[#This Row],[Fecha Requisición]],Control[[#This Row],[Fecha de entrega]]))</f>
        <v>10</v>
      </c>
      <c r="X2" s="38">
        <f>+_xlfn.ISOWEEKNUM(Control[[#This Row],[Fecha Requisición]])</f>
        <v>21</v>
      </c>
    </row>
    <row r="3" spans="1:24" x14ac:dyDescent="0.3">
      <c r="A3" t="s">
        <v>25</v>
      </c>
      <c r="B3" t="s">
        <v>26</v>
      </c>
      <c r="C3" t="s">
        <v>27</v>
      </c>
      <c r="D3" t="s">
        <v>39</v>
      </c>
      <c r="E3" t="s">
        <v>29</v>
      </c>
      <c r="F3" t="s">
        <v>30</v>
      </c>
      <c r="G3" t="s">
        <v>30</v>
      </c>
      <c r="H3" t="s">
        <v>30</v>
      </c>
      <c r="I3" t="s">
        <v>40</v>
      </c>
      <c r="J3" s="7">
        <v>81998</v>
      </c>
      <c r="K3" s="7" t="s">
        <v>32</v>
      </c>
      <c r="L3" t="s">
        <v>41</v>
      </c>
      <c r="M3" t="s">
        <v>34</v>
      </c>
      <c r="N3" t="s">
        <v>35</v>
      </c>
      <c r="O3" t="s">
        <v>36</v>
      </c>
      <c r="P3" t="s">
        <v>37</v>
      </c>
      <c r="Q3" t="s">
        <v>42</v>
      </c>
      <c r="R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" s="12">
        <f>+DATE(YEAR(Control[[#This Row],[Fecha Requisición]]),MONTH(Control[[#This Row],[Fecha Requisición]]),1)</f>
        <v>46143</v>
      </c>
      <c r="T3" s="35">
        <v>46169</v>
      </c>
      <c r="U3" s="35">
        <v>46177</v>
      </c>
      <c r="V3" s="40">
        <f>+IF(Control[[#This Row],[Fecha de entrega]]="","",NETWORKDAYS(Control[[#This Row],[Fecha Requisición]],Control[[#This Row],[Fecha de entrega]]))</f>
        <v>12</v>
      </c>
      <c r="X3" s="38">
        <f>+_xlfn.ISOWEEKNUM(Control[[#This Row],[Fecha Requisición]])</f>
        <v>21</v>
      </c>
    </row>
    <row r="4" spans="1:24" x14ac:dyDescent="0.3">
      <c r="A4" t="s">
        <v>25</v>
      </c>
      <c r="B4" t="s">
        <v>26</v>
      </c>
      <c r="C4" t="s">
        <v>27</v>
      </c>
      <c r="D4" t="s">
        <v>43</v>
      </c>
      <c r="E4" t="s">
        <v>29</v>
      </c>
      <c r="F4" t="s">
        <v>30</v>
      </c>
      <c r="G4" t="s">
        <v>30</v>
      </c>
      <c r="H4" t="s">
        <v>30</v>
      </c>
      <c r="I4" t="s">
        <v>40</v>
      </c>
      <c r="J4" s="7">
        <v>19990</v>
      </c>
      <c r="K4" s="7" t="s">
        <v>32</v>
      </c>
      <c r="L4" t="s">
        <v>44</v>
      </c>
      <c r="M4" t="s">
        <v>34</v>
      </c>
      <c r="N4" t="s">
        <v>35</v>
      </c>
      <c r="O4" t="s">
        <v>36</v>
      </c>
      <c r="P4" t="s">
        <v>37</v>
      </c>
      <c r="Q4" t="s">
        <v>45</v>
      </c>
      <c r="R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" s="12">
        <f>+DATE(YEAR(Control[[#This Row],[Fecha Requisición]]),MONTH(Control[[#This Row],[Fecha Requisición]]),1)</f>
        <v>46143</v>
      </c>
      <c r="T4" s="32">
        <v>46171</v>
      </c>
      <c r="U4" s="32">
        <v>46177</v>
      </c>
      <c r="V4" s="40">
        <f>+IF(Control[[#This Row],[Fecha de entrega]]="","",NETWORKDAYS(Control[[#This Row],[Fecha Requisición]],Control[[#This Row],[Fecha de entrega]]))</f>
        <v>12</v>
      </c>
      <c r="X4" s="38">
        <f>+_xlfn.ISOWEEKNUM(Control[[#This Row],[Fecha Requisición]])</f>
        <v>21</v>
      </c>
    </row>
    <row r="5" spans="1:24" x14ac:dyDescent="0.3">
      <c r="A5" t="s">
        <v>25</v>
      </c>
      <c r="B5" t="s">
        <v>26</v>
      </c>
      <c r="C5" t="s">
        <v>27</v>
      </c>
      <c r="D5" t="s">
        <v>46</v>
      </c>
      <c r="E5" t="s">
        <v>29</v>
      </c>
      <c r="F5" t="s">
        <v>30</v>
      </c>
      <c r="G5" t="s">
        <v>30</v>
      </c>
      <c r="H5" t="s">
        <v>30</v>
      </c>
      <c r="I5" t="s">
        <v>40</v>
      </c>
      <c r="J5" s="7">
        <v>19190</v>
      </c>
      <c r="K5" s="7" t="s">
        <v>32</v>
      </c>
      <c r="L5" t="s">
        <v>47</v>
      </c>
      <c r="M5" t="s">
        <v>34</v>
      </c>
      <c r="N5" t="s">
        <v>35</v>
      </c>
      <c r="O5" t="s">
        <v>36</v>
      </c>
      <c r="P5" t="s">
        <v>37</v>
      </c>
      <c r="Q5" t="s">
        <v>48</v>
      </c>
      <c r="R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" s="12">
        <f>+DATE(YEAR(Control[[#This Row],[Fecha Requisición]]),MONTH(Control[[#This Row],[Fecha Requisición]]),1)</f>
        <v>46143</v>
      </c>
      <c r="T5" s="35">
        <v>46171</v>
      </c>
      <c r="U5" s="35">
        <v>46177</v>
      </c>
      <c r="V5" s="40">
        <f>+IF(Control[[#This Row],[Fecha de entrega]]="","",NETWORKDAYS(Control[[#This Row],[Fecha Requisición]],Control[[#This Row],[Fecha de entrega]]))</f>
        <v>12</v>
      </c>
      <c r="X5" s="38">
        <f>+_xlfn.ISOWEEKNUM(Control[[#This Row],[Fecha Requisición]])</f>
        <v>21</v>
      </c>
    </row>
    <row r="6" spans="1:24" x14ac:dyDescent="0.3">
      <c r="A6" t="s">
        <v>49</v>
      </c>
      <c r="B6" t="s">
        <v>50</v>
      </c>
      <c r="C6" t="s">
        <v>51</v>
      </c>
      <c r="D6" t="s">
        <v>52</v>
      </c>
      <c r="E6" t="s">
        <v>53</v>
      </c>
      <c r="F6" t="s">
        <v>54</v>
      </c>
      <c r="G6" t="s">
        <v>30</v>
      </c>
      <c r="H6" t="s">
        <v>55</v>
      </c>
      <c r="I6" t="s">
        <v>40</v>
      </c>
      <c r="J6" s="7">
        <v>227646</v>
      </c>
      <c r="K6" s="7" t="s">
        <v>56</v>
      </c>
      <c r="L6" t="s">
        <v>33</v>
      </c>
      <c r="M6" t="s">
        <v>57</v>
      </c>
      <c r="N6" t="s">
        <v>58</v>
      </c>
      <c r="O6" t="s">
        <v>59</v>
      </c>
      <c r="P6" t="s">
        <v>60</v>
      </c>
      <c r="Q6" t="s">
        <v>61</v>
      </c>
      <c r="R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" s="12">
        <f>+DATE(YEAR(Control[[#This Row],[Fecha Requisición]]),MONTH(Control[[#This Row],[Fecha Requisición]]),1)</f>
        <v>46143</v>
      </c>
      <c r="T6" s="32">
        <v>46168</v>
      </c>
      <c r="U6" s="32">
        <v>46171</v>
      </c>
      <c r="V6" s="40">
        <f>+IF(Control[[#This Row],[Fecha de entrega]]="","",NETWORKDAYS(Control[[#This Row],[Fecha Requisición]],Control[[#This Row],[Fecha de entrega]]))</f>
        <v>9</v>
      </c>
      <c r="X6" s="38">
        <f>+_xlfn.ISOWEEKNUM(Control[[#This Row],[Fecha Requisición]])</f>
        <v>21</v>
      </c>
    </row>
    <row r="7" spans="1:24" x14ac:dyDescent="0.3">
      <c r="A7" t="s">
        <v>62</v>
      </c>
      <c r="B7" t="s">
        <v>63</v>
      </c>
      <c r="C7" t="s">
        <v>64</v>
      </c>
      <c r="D7" t="s">
        <v>65</v>
      </c>
      <c r="E7" t="s">
        <v>66</v>
      </c>
      <c r="F7" t="s">
        <v>67</v>
      </c>
      <c r="G7" t="s">
        <v>67</v>
      </c>
      <c r="H7" t="s">
        <v>67</v>
      </c>
      <c r="I7" t="s">
        <v>40</v>
      </c>
      <c r="J7" s="7">
        <v>65695</v>
      </c>
      <c r="K7" s="7" t="s">
        <v>56</v>
      </c>
      <c r="L7" t="s">
        <v>33</v>
      </c>
      <c r="M7" t="s">
        <v>68</v>
      </c>
      <c r="N7" t="s">
        <v>58</v>
      </c>
      <c r="O7" t="s">
        <v>59</v>
      </c>
      <c r="P7" t="s">
        <v>37</v>
      </c>
      <c r="Q7" t="s">
        <v>69</v>
      </c>
      <c r="R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7" s="12">
        <f>+DATE(YEAR(Control[[#This Row],[Fecha Requisición]]),MONTH(Control[[#This Row],[Fecha Requisición]]),1)</f>
        <v>46143</v>
      </c>
      <c r="T7" s="35"/>
      <c r="U7" s="35">
        <v>46171</v>
      </c>
      <c r="V7" s="40">
        <f>+IF(Control[[#This Row],[Fecha de entrega]]="","",NETWORKDAYS(Control[[#This Row],[Fecha Requisición]],Control[[#This Row],[Fecha de entrega]]))</f>
        <v>6</v>
      </c>
      <c r="X7" s="38">
        <f>+_xlfn.ISOWEEKNUM(Control[[#This Row],[Fecha Requisición]])</f>
        <v>21</v>
      </c>
    </row>
    <row r="8" spans="1:24" x14ac:dyDescent="0.3">
      <c r="A8" t="s">
        <v>70</v>
      </c>
      <c r="B8" t="s">
        <v>71</v>
      </c>
      <c r="C8" t="s">
        <v>72</v>
      </c>
      <c r="D8" t="s">
        <v>73</v>
      </c>
      <c r="E8" t="s">
        <v>74</v>
      </c>
      <c r="F8" t="s">
        <v>67</v>
      </c>
      <c r="G8" t="s">
        <v>67</v>
      </c>
      <c r="H8" t="s">
        <v>67</v>
      </c>
      <c r="I8" t="s">
        <v>31</v>
      </c>
      <c r="J8" s="7">
        <v>39999</v>
      </c>
      <c r="K8" s="7" t="s">
        <v>32</v>
      </c>
      <c r="L8" t="s">
        <v>75</v>
      </c>
      <c r="M8" t="s">
        <v>34</v>
      </c>
      <c r="N8" t="s">
        <v>35</v>
      </c>
      <c r="O8" t="s">
        <v>76</v>
      </c>
      <c r="P8" t="s">
        <v>60</v>
      </c>
      <c r="Q8" t="s">
        <v>77</v>
      </c>
      <c r="R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8" s="12">
        <f>+DATE(YEAR(Control[[#This Row],[Fecha Requisición]]),MONTH(Control[[#This Row],[Fecha Requisición]]),1)</f>
        <v>46143</v>
      </c>
      <c r="T8" s="32"/>
      <c r="U8" s="32">
        <v>46177</v>
      </c>
      <c r="V8" s="40">
        <f>+IF(Control[[#This Row],[Fecha de entrega]]="","",NETWORKDAYS(Control[[#This Row],[Fecha Requisición]],Control[[#This Row],[Fecha de entrega]]))</f>
        <v>10</v>
      </c>
      <c r="X8" s="38">
        <f>+_xlfn.ISOWEEKNUM(Control[[#This Row],[Fecha Requisición]])</f>
        <v>21</v>
      </c>
    </row>
    <row r="9" spans="1:24" x14ac:dyDescent="0.3">
      <c r="A9" s="5" t="s">
        <v>70</v>
      </c>
      <c r="B9" t="s">
        <v>71</v>
      </c>
      <c r="C9" s="6" t="s">
        <v>72</v>
      </c>
      <c r="D9" t="s">
        <v>78</v>
      </c>
      <c r="E9" t="s">
        <v>74</v>
      </c>
      <c r="F9" t="s">
        <v>67</v>
      </c>
      <c r="G9" t="s">
        <v>67</v>
      </c>
      <c r="H9" t="s">
        <v>67</v>
      </c>
      <c r="I9" t="s">
        <v>31</v>
      </c>
      <c r="J9" s="7">
        <v>364592</v>
      </c>
      <c r="K9" s="7" t="s">
        <v>32</v>
      </c>
      <c r="L9" t="s">
        <v>33</v>
      </c>
      <c r="M9" t="s">
        <v>34</v>
      </c>
      <c r="N9" t="s">
        <v>35</v>
      </c>
      <c r="O9" t="s">
        <v>76</v>
      </c>
      <c r="P9" t="s">
        <v>60</v>
      </c>
      <c r="Q9" t="s">
        <v>79</v>
      </c>
      <c r="R9" s="3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9" s="12">
        <f>+DATE(YEAR(Control[[#This Row],[Fecha Requisición]]),MONTH(Control[[#This Row],[Fecha Requisición]]),1)</f>
        <v>46143</v>
      </c>
      <c r="T9" s="35">
        <v>46170</v>
      </c>
      <c r="U9" s="35">
        <v>46172</v>
      </c>
      <c r="V9" s="40">
        <f>+IF(Control[[#This Row],[Fecha de entrega]]="","",NETWORKDAYS(Control[[#This Row],[Fecha Requisición]],Control[[#This Row],[Fecha de entrega]]))</f>
        <v>6</v>
      </c>
      <c r="X9" s="38">
        <f>+_xlfn.ISOWEEKNUM(Control[[#This Row],[Fecha Requisición]])</f>
        <v>21</v>
      </c>
    </row>
    <row r="10" spans="1:24" x14ac:dyDescent="0.3">
      <c r="A10" t="s">
        <v>80</v>
      </c>
      <c r="B10" t="s">
        <v>81</v>
      </c>
      <c r="C10" t="s">
        <v>82</v>
      </c>
      <c r="D10" t="s">
        <v>83</v>
      </c>
      <c r="E10" t="s">
        <v>84</v>
      </c>
      <c r="F10" t="s">
        <v>85</v>
      </c>
      <c r="G10" t="s">
        <v>85</v>
      </c>
      <c r="H10" t="s">
        <v>85</v>
      </c>
      <c r="I10" t="s">
        <v>31</v>
      </c>
      <c r="J10" s="7">
        <v>227646</v>
      </c>
      <c r="K10" s="7" t="s">
        <v>56</v>
      </c>
      <c r="L10" t="s">
        <v>33</v>
      </c>
      <c r="M10" t="s">
        <v>86</v>
      </c>
      <c r="N10" t="s">
        <v>87</v>
      </c>
      <c r="O10" t="s">
        <v>59</v>
      </c>
      <c r="P10" t="s">
        <v>60</v>
      </c>
      <c r="Q10" t="s">
        <v>88</v>
      </c>
      <c r="R1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0" s="12">
        <f>+DATE(YEAR(Control[[#This Row],[Fecha Requisición]]),MONTH(Control[[#This Row],[Fecha Requisición]]),1)</f>
        <v>46143</v>
      </c>
      <c r="T10" s="32"/>
      <c r="U10" s="32">
        <v>46171</v>
      </c>
      <c r="V10" s="40">
        <f>+IF(Control[[#This Row],[Fecha de entrega]]="","",NETWORKDAYS(Control[[#This Row],[Fecha Requisición]],Control[[#This Row],[Fecha de entrega]]))</f>
        <v>5</v>
      </c>
      <c r="X10" s="38">
        <f>+_xlfn.ISOWEEKNUM(Control[[#This Row],[Fecha Requisición]])</f>
        <v>22</v>
      </c>
    </row>
    <row r="11" spans="1:24" x14ac:dyDescent="0.3">
      <c r="A11" t="s">
        <v>89</v>
      </c>
      <c r="B11" t="s">
        <v>90</v>
      </c>
      <c r="C11" t="s">
        <v>91</v>
      </c>
      <c r="D11" t="s">
        <v>92</v>
      </c>
      <c r="E11" t="s">
        <v>93</v>
      </c>
      <c r="F11" t="s">
        <v>85</v>
      </c>
      <c r="G11" t="s">
        <v>85</v>
      </c>
      <c r="H11" t="s">
        <v>85</v>
      </c>
      <c r="I11" t="s">
        <v>40</v>
      </c>
      <c r="J11" s="7">
        <v>29990</v>
      </c>
      <c r="K11" s="7" t="s">
        <v>56</v>
      </c>
      <c r="L11" t="s">
        <v>75</v>
      </c>
      <c r="M11" t="s">
        <v>94</v>
      </c>
      <c r="N11" t="s">
        <v>58</v>
      </c>
      <c r="O11" t="s">
        <v>59</v>
      </c>
      <c r="P11" t="s">
        <v>95</v>
      </c>
      <c r="Q11" t="s">
        <v>96</v>
      </c>
      <c r="R1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1" s="12">
        <f>+DATE(YEAR(Control[[#This Row],[Fecha Requisición]]),MONTH(Control[[#This Row],[Fecha Requisición]]),1)</f>
        <v>46143</v>
      </c>
      <c r="T11" s="35">
        <v>46170</v>
      </c>
      <c r="U11" s="35">
        <v>46175</v>
      </c>
      <c r="V11" s="40">
        <f>+IF(Control[[#This Row],[Fecha de entrega]]="","",NETWORKDAYS(Control[[#This Row],[Fecha Requisición]],Control[[#This Row],[Fecha de entrega]]))</f>
        <v>7</v>
      </c>
      <c r="X11" s="38">
        <f>+_xlfn.ISOWEEKNUM(Control[[#This Row],[Fecha Requisición]])</f>
        <v>22</v>
      </c>
    </row>
    <row r="12" spans="1:24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85</v>
      </c>
      <c r="G12" t="s">
        <v>85</v>
      </c>
      <c r="H12" t="s">
        <v>85</v>
      </c>
      <c r="I12" t="s">
        <v>40</v>
      </c>
      <c r="J12" s="7">
        <v>29990</v>
      </c>
      <c r="K12" s="7" t="s">
        <v>56</v>
      </c>
      <c r="L12" t="s">
        <v>75</v>
      </c>
      <c r="M12" t="s">
        <v>94</v>
      </c>
      <c r="N12" t="s">
        <v>102</v>
      </c>
      <c r="O12" t="s">
        <v>59</v>
      </c>
      <c r="P12" t="s">
        <v>95</v>
      </c>
      <c r="Q12" t="s">
        <v>103</v>
      </c>
      <c r="R1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2" s="12">
        <f>+DATE(YEAR(Control[[#This Row],[Fecha Requisición]]),MONTH(Control[[#This Row],[Fecha Requisición]]),1)</f>
        <v>46143</v>
      </c>
      <c r="T12" s="32">
        <v>46171</v>
      </c>
      <c r="U12" s="32">
        <v>46175</v>
      </c>
      <c r="V12" s="40">
        <f>+IF(Control[[#This Row],[Fecha de entrega]]="","",NETWORKDAYS(Control[[#This Row],[Fecha Requisición]],Control[[#This Row],[Fecha de entrega]]))</f>
        <v>7</v>
      </c>
      <c r="X12" s="38">
        <f>+_xlfn.ISOWEEKNUM(Control[[#This Row],[Fecha Requisición]])</f>
        <v>22</v>
      </c>
    </row>
    <row r="13" spans="1:24" x14ac:dyDescent="0.3">
      <c r="A13" t="s">
        <v>104</v>
      </c>
      <c r="B13" t="s">
        <v>105</v>
      </c>
      <c r="C13" t="s">
        <v>106</v>
      </c>
      <c r="D13" t="s">
        <v>107</v>
      </c>
      <c r="E13" t="s">
        <v>108</v>
      </c>
      <c r="F13" t="s">
        <v>85</v>
      </c>
      <c r="G13" t="s">
        <v>85</v>
      </c>
      <c r="H13" t="s">
        <v>85</v>
      </c>
      <c r="I13" t="s">
        <v>40</v>
      </c>
      <c r="J13" s="7">
        <v>71091</v>
      </c>
      <c r="K13" s="7" t="s">
        <v>56</v>
      </c>
      <c r="L13" t="s">
        <v>109</v>
      </c>
      <c r="M13" t="s">
        <v>94</v>
      </c>
      <c r="N13" t="s">
        <v>102</v>
      </c>
      <c r="O13" t="s">
        <v>59</v>
      </c>
      <c r="P13" t="s">
        <v>95</v>
      </c>
      <c r="Q13" t="s">
        <v>110</v>
      </c>
      <c r="R1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3" s="12">
        <f>+DATE(YEAR(Control[[#This Row],[Fecha Requisición]]),MONTH(Control[[#This Row],[Fecha Requisición]]),1)</f>
        <v>46143</v>
      </c>
      <c r="T13" s="35"/>
      <c r="U13" s="35">
        <v>46179</v>
      </c>
      <c r="V13" s="40">
        <f>+IF(Control[[#This Row],[Fecha de entrega]]="","",NETWORKDAYS(Control[[#This Row],[Fecha Requisición]],Control[[#This Row],[Fecha de entrega]]))</f>
        <v>10</v>
      </c>
      <c r="X13" s="38">
        <f>+_xlfn.ISOWEEKNUM(Control[[#This Row],[Fecha Requisición]])</f>
        <v>22</v>
      </c>
    </row>
    <row r="14" spans="1:24" x14ac:dyDescent="0.3">
      <c r="A14" t="s">
        <v>111</v>
      </c>
      <c r="B14" t="s">
        <v>112</v>
      </c>
      <c r="C14" t="s">
        <v>113</v>
      </c>
      <c r="D14" t="s">
        <v>114</v>
      </c>
      <c r="E14" t="s">
        <v>115</v>
      </c>
      <c r="F14" t="s">
        <v>85</v>
      </c>
      <c r="G14" t="s">
        <v>85</v>
      </c>
      <c r="H14" t="s">
        <v>85</v>
      </c>
      <c r="I14" t="s">
        <v>40</v>
      </c>
      <c r="J14" s="7">
        <v>71091</v>
      </c>
      <c r="K14" s="7" t="s">
        <v>56</v>
      </c>
      <c r="L14" t="s">
        <v>109</v>
      </c>
      <c r="M14" t="s">
        <v>94</v>
      </c>
      <c r="N14" t="s">
        <v>58</v>
      </c>
      <c r="O14" t="s">
        <v>59</v>
      </c>
      <c r="P14" t="s">
        <v>95</v>
      </c>
      <c r="Q14" t="s">
        <v>116</v>
      </c>
      <c r="R1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4" s="12">
        <f>+DATE(YEAR(Control[[#This Row],[Fecha Requisición]]),MONTH(Control[[#This Row],[Fecha Requisición]]),1)</f>
        <v>46143</v>
      </c>
      <c r="T14" s="32"/>
      <c r="U14" s="32">
        <v>46179</v>
      </c>
      <c r="V14" s="40">
        <f>+IF(Control[[#This Row],[Fecha de entrega]]="","",NETWORKDAYS(Control[[#This Row],[Fecha Requisición]],Control[[#This Row],[Fecha de entrega]]))</f>
        <v>10</v>
      </c>
      <c r="X14" s="38">
        <f>+_xlfn.ISOWEEKNUM(Control[[#This Row],[Fecha Requisición]])</f>
        <v>22</v>
      </c>
    </row>
    <row r="15" spans="1:24" x14ac:dyDescent="0.3">
      <c r="A15" t="s">
        <v>117</v>
      </c>
      <c r="B15" t="s">
        <v>118</v>
      </c>
      <c r="C15" t="s">
        <v>119</v>
      </c>
      <c r="D15" t="s">
        <v>120</v>
      </c>
      <c r="E15" t="s">
        <v>121</v>
      </c>
      <c r="F15" t="s">
        <v>54</v>
      </c>
      <c r="G15" t="s">
        <v>54</v>
      </c>
      <c r="H15" t="s">
        <v>54</v>
      </c>
      <c r="I15" t="s">
        <v>31</v>
      </c>
      <c r="J15" s="7">
        <v>51131</v>
      </c>
      <c r="K15" s="7" t="s">
        <v>32</v>
      </c>
      <c r="L15" t="s">
        <v>122</v>
      </c>
      <c r="M15" t="s">
        <v>123</v>
      </c>
      <c r="N15" t="s">
        <v>124</v>
      </c>
      <c r="O15" t="s">
        <v>125</v>
      </c>
      <c r="P15" t="s">
        <v>37</v>
      </c>
      <c r="Q15" t="s">
        <v>126</v>
      </c>
      <c r="R1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5" s="12">
        <f>+DATE(YEAR(Control[[#This Row],[Fecha Requisición]]),MONTH(Control[[#This Row],[Fecha Requisición]]),1)</f>
        <v>46143</v>
      </c>
      <c r="T15" s="35">
        <v>46170</v>
      </c>
      <c r="U15" s="35">
        <v>46175</v>
      </c>
      <c r="V15" s="40">
        <f>+IF(Control[[#This Row],[Fecha de entrega]]="","",NETWORKDAYS(Control[[#This Row],[Fecha Requisición]],Control[[#This Row],[Fecha de entrega]]))</f>
        <v>11</v>
      </c>
      <c r="X15" s="38">
        <f>+_xlfn.ISOWEEKNUM(Control[[#This Row],[Fecha Requisición]])</f>
        <v>21</v>
      </c>
    </row>
    <row r="16" spans="1:24" x14ac:dyDescent="0.3">
      <c r="A16" t="s">
        <v>117</v>
      </c>
      <c r="B16" t="s">
        <v>118</v>
      </c>
      <c r="C16" t="s">
        <v>119</v>
      </c>
      <c r="D16" t="s">
        <v>127</v>
      </c>
      <c r="E16" t="s">
        <v>121</v>
      </c>
      <c r="F16" t="s">
        <v>54</v>
      </c>
      <c r="G16" t="s">
        <v>54</v>
      </c>
      <c r="H16" t="s">
        <v>54</v>
      </c>
      <c r="I16" t="s">
        <v>40</v>
      </c>
      <c r="J16" s="7">
        <v>51131</v>
      </c>
      <c r="K16" s="7" t="s">
        <v>32</v>
      </c>
      <c r="L16" t="s">
        <v>122</v>
      </c>
      <c r="M16" t="s">
        <v>123</v>
      </c>
      <c r="N16" t="s">
        <v>124</v>
      </c>
      <c r="O16" t="s">
        <v>125</v>
      </c>
      <c r="P16" t="s">
        <v>37</v>
      </c>
      <c r="Q16" t="s">
        <v>128</v>
      </c>
      <c r="R1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6" s="12">
        <f>+DATE(YEAR(Control[[#This Row],[Fecha Requisición]]),MONTH(Control[[#This Row],[Fecha Requisición]]),1)</f>
        <v>46143</v>
      </c>
      <c r="T16" s="32">
        <v>46170</v>
      </c>
      <c r="U16" s="32">
        <v>46181</v>
      </c>
      <c r="V16" s="40">
        <f>+IF(Control[[#This Row],[Fecha de entrega]]="","",NETWORKDAYS(Control[[#This Row],[Fecha Requisición]],Control[[#This Row],[Fecha de entrega]]))</f>
        <v>15</v>
      </c>
      <c r="X16" s="38">
        <f>+_xlfn.ISOWEEKNUM(Control[[#This Row],[Fecha Requisición]])</f>
        <v>21</v>
      </c>
    </row>
    <row r="17" spans="1:24" x14ac:dyDescent="0.3">
      <c r="A17" t="s">
        <v>117</v>
      </c>
      <c r="B17" t="s">
        <v>118</v>
      </c>
      <c r="C17" t="s">
        <v>119</v>
      </c>
      <c r="D17" t="s">
        <v>129</v>
      </c>
      <c r="E17" t="s">
        <v>121</v>
      </c>
      <c r="F17" t="s">
        <v>54</v>
      </c>
      <c r="G17" t="s">
        <v>54</v>
      </c>
      <c r="H17" t="s">
        <v>54</v>
      </c>
      <c r="I17" t="s">
        <v>40</v>
      </c>
      <c r="J17" s="7">
        <v>460942</v>
      </c>
      <c r="K17" s="7" t="s">
        <v>32</v>
      </c>
      <c r="L17" t="s">
        <v>41</v>
      </c>
      <c r="M17" t="s">
        <v>123</v>
      </c>
      <c r="N17" t="s">
        <v>124</v>
      </c>
      <c r="O17" t="s">
        <v>125</v>
      </c>
      <c r="P17" t="s">
        <v>37</v>
      </c>
      <c r="Q17" t="s">
        <v>130</v>
      </c>
      <c r="R1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7" s="12">
        <f>+DATE(YEAR(Control[[#This Row],[Fecha Requisición]]),MONTH(Control[[#This Row],[Fecha Requisición]]),1)</f>
        <v>46143</v>
      </c>
      <c r="T17" s="35">
        <v>46170</v>
      </c>
      <c r="U17" s="35">
        <v>46175</v>
      </c>
      <c r="V17" s="40">
        <f>+IF(Control[[#This Row],[Fecha de entrega]]="","",NETWORKDAYS(Control[[#This Row],[Fecha Requisición]],Control[[#This Row],[Fecha de entrega]]))</f>
        <v>11</v>
      </c>
      <c r="X17" s="38">
        <f>+_xlfn.ISOWEEKNUM(Control[[#This Row],[Fecha Requisición]])</f>
        <v>21</v>
      </c>
    </row>
    <row r="18" spans="1:24" x14ac:dyDescent="0.3">
      <c r="A18" t="s">
        <v>131</v>
      </c>
      <c r="B18" t="s">
        <v>132</v>
      </c>
      <c r="C18" t="s">
        <v>133</v>
      </c>
      <c r="D18" t="s">
        <v>134</v>
      </c>
      <c r="E18" t="s">
        <v>135</v>
      </c>
      <c r="F18" t="s">
        <v>54</v>
      </c>
      <c r="G18" t="s">
        <v>54</v>
      </c>
      <c r="H18" t="s">
        <v>54</v>
      </c>
      <c r="I18" t="s">
        <v>40</v>
      </c>
      <c r="J18" s="7">
        <v>21459</v>
      </c>
      <c r="K18" s="7" t="s">
        <v>32</v>
      </c>
      <c r="L18" t="s">
        <v>122</v>
      </c>
      <c r="M18" t="s">
        <v>136</v>
      </c>
      <c r="N18" t="s">
        <v>58</v>
      </c>
      <c r="O18" t="s">
        <v>125</v>
      </c>
      <c r="P18" t="s">
        <v>37</v>
      </c>
      <c r="Q18" t="s">
        <v>137</v>
      </c>
      <c r="R1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8" s="12">
        <f>+DATE(YEAR(Control[[#This Row],[Fecha Requisición]]),MONTH(Control[[#This Row],[Fecha Requisición]]),1)</f>
        <v>46143</v>
      </c>
      <c r="T18" s="32">
        <v>46170</v>
      </c>
      <c r="U18" s="32">
        <v>46170</v>
      </c>
      <c r="V18" s="40">
        <f>+IF(Control[[#This Row],[Fecha de entrega]]="","",NETWORKDAYS(Control[[#This Row],[Fecha Requisición]],Control[[#This Row],[Fecha de entrega]]))</f>
        <v>8</v>
      </c>
      <c r="X18" s="38">
        <f>+_xlfn.ISOWEEKNUM(Control[[#This Row],[Fecha Requisición]])</f>
        <v>21</v>
      </c>
    </row>
    <row r="19" spans="1:24" x14ac:dyDescent="0.3">
      <c r="A19" t="s">
        <v>131</v>
      </c>
      <c r="B19" t="s">
        <v>132</v>
      </c>
      <c r="C19" t="s">
        <v>133</v>
      </c>
      <c r="D19" t="s">
        <v>138</v>
      </c>
      <c r="E19" t="s">
        <v>135</v>
      </c>
      <c r="F19" t="s">
        <v>54</v>
      </c>
      <c r="G19" t="s">
        <v>54</v>
      </c>
      <c r="H19" t="s">
        <v>54</v>
      </c>
      <c r="I19" t="s">
        <v>40</v>
      </c>
      <c r="J19" s="7">
        <v>64172</v>
      </c>
      <c r="K19" s="7" t="s">
        <v>32</v>
      </c>
      <c r="L19" t="s">
        <v>139</v>
      </c>
      <c r="M19" t="s">
        <v>136</v>
      </c>
      <c r="N19" t="s">
        <v>58</v>
      </c>
      <c r="O19" t="s">
        <v>125</v>
      </c>
      <c r="P19" t="s">
        <v>37</v>
      </c>
      <c r="Q19" t="s">
        <v>140</v>
      </c>
      <c r="R1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9" s="12">
        <f>+DATE(YEAR(Control[[#This Row],[Fecha Requisición]]),MONTH(Control[[#This Row],[Fecha Requisición]]),1)</f>
        <v>46143</v>
      </c>
      <c r="T19" s="35">
        <v>46170</v>
      </c>
      <c r="U19" s="35">
        <v>46170</v>
      </c>
      <c r="V19" s="40">
        <f>+IF(Control[[#This Row],[Fecha de entrega]]="","",NETWORKDAYS(Control[[#This Row],[Fecha Requisición]],Control[[#This Row],[Fecha de entrega]]))</f>
        <v>8</v>
      </c>
      <c r="X19" s="38">
        <f>+_xlfn.ISOWEEKNUM(Control[[#This Row],[Fecha Requisición]])</f>
        <v>21</v>
      </c>
    </row>
    <row r="20" spans="1:24" x14ac:dyDescent="0.3">
      <c r="A20" t="s">
        <v>141</v>
      </c>
      <c r="B20" t="s">
        <v>142</v>
      </c>
      <c r="C20" t="s">
        <v>143</v>
      </c>
      <c r="D20" t="s">
        <v>144</v>
      </c>
      <c r="E20" t="s">
        <v>145</v>
      </c>
      <c r="F20" t="s">
        <v>54</v>
      </c>
      <c r="G20" t="s">
        <v>54</v>
      </c>
      <c r="H20" t="s">
        <v>54</v>
      </c>
      <c r="I20" t="s">
        <v>40</v>
      </c>
      <c r="J20" s="7">
        <v>39190</v>
      </c>
      <c r="K20" s="7" t="s">
        <v>32</v>
      </c>
      <c r="L20" t="s">
        <v>122</v>
      </c>
      <c r="M20" t="s">
        <v>146</v>
      </c>
      <c r="N20" t="s">
        <v>102</v>
      </c>
      <c r="O20" t="s">
        <v>125</v>
      </c>
      <c r="P20" t="s">
        <v>37</v>
      </c>
      <c r="Q20" t="s">
        <v>147</v>
      </c>
      <c r="R2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0" s="12">
        <f>+DATE(YEAR(Control[[#This Row],[Fecha Requisición]]),MONTH(Control[[#This Row],[Fecha Requisición]]),1)</f>
        <v>46143</v>
      </c>
      <c r="T20" s="32">
        <v>46170</v>
      </c>
      <c r="U20" s="32">
        <v>46170</v>
      </c>
      <c r="V20" s="40">
        <f>+IF(Control[[#This Row],[Fecha de entrega]]="","",NETWORKDAYS(Control[[#This Row],[Fecha Requisición]],Control[[#This Row],[Fecha de entrega]]))</f>
        <v>8</v>
      </c>
      <c r="X20" s="38">
        <f>+_xlfn.ISOWEEKNUM(Control[[#This Row],[Fecha Requisición]])</f>
        <v>21</v>
      </c>
    </row>
    <row r="21" spans="1:24" x14ac:dyDescent="0.3">
      <c r="A21" t="s">
        <v>141</v>
      </c>
      <c r="B21" t="s">
        <v>142</v>
      </c>
      <c r="C21" t="s">
        <v>143</v>
      </c>
      <c r="D21" t="s">
        <v>148</v>
      </c>
      <c r="E21" t="s">
        <v>145</v>
      </c>
      <c r="F21" t="s">
        <v>54</v>
      </c>
      <c r="G21" t="s">
        <v>54</v>
      </c>
      <c r="H21" t="s">
        <v>54</v>
      </c>
      <c r="I21" t="s">
        <v>40</v>
      </c>
      <c r="J21" s="7">
        <v>47558</v>
      </c>
      <c r="K21" s="7" t="s">
        <v>32</v>
      </c>
      <c r="L21" t="s">
        <v>149</v>
      </c>
      <c r="M21" t="s">
        <v>146</v>
      </c>
      <c r="N21" t="s">
        <v>102</v>
      </c>
      <c r="O21" t="s">
        <v>125</v>
      </c>
      <c r="P21" t="s">
        <v>37</v>
      </c>
      <c r="Q21" t="s">
        <v>150</v>
      </c>
      <c r="R2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1" s="12">
        <f>+DATE(YEAR(Control[[#This Row],[Fecha Requisición]]),MONTH(Control[[#This Row],[Fecha Requisición]]),1)</f>
        <v>46143</v>
      </c>
      <c r="T21" s="35">
        <v>46170</v>
      </c>
      <c r="U21" s="35">
        <v>46170</v>
      </c>
      <c r="V21" s="40">
        <f>+IF(Control[[#This Row],[Fecha de entrega]]="","",NETWORKDAYS(Control[[#This Row],[Fecha Requisición]],Control[[#This Row],[Fecha de entrega]]))</f>
        <v>8</v>
      </c>
      <c r="X21" s="38">
        <f>+_xlfn.ISOWEEKNUM(Control[[#This Row],[Fecha Requisición]])</f>
        <v>21</v>
      </c>
    </row>
    <row r="22" spans="1:24" x14ac:dyDescent="0.3">
      <c r="A22" t="s">
        <v>141</v>
      </c>
      <c r="B22" t="s">
        <v>142</v>
      </c>
      <c r="C22" t="s">
        <v>143</v>
      </c>
      <c r="D22" t="s">
        <v>151</v>
      </c>
      <c r="E22" t="s">
        <v>145</v>
      </c>
      <c r="F22" t="s">
        <v>54</v>
      </c>
      <c r="G22" t="s">
        <v>54</v>
      </c>
      <c r="H22" t="s">
        <v>54</v>
      </c>
      <c r="I22" t="s">
        <v>40</v>
      </c>
      <c r="J22" s="7">
        <v>460942</v>
      </c>
      <c r="K22" s="7" t="s">
        <v>32</v>
      </c>
      <c r="L22" t="s">
        <v>41</v>
      </c>
      <c r="M22" t="s">
        <v>146</v>
      </c>
      <c r="N22" t="s">
        <v>102</v>
      </c>
      <c r="O22" t="s">
        <v>125</v>
      </c>
      <c r="P22" t="s">
        <v>37</v>
      </c>
      <c r="Q22" t="s">
        <v>152</v>
      </c>
      <c r="R2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2" s="12">
        <f>+DATE(YEAR(Control[[#This Row],[Fecha Requisición]]),MONTH(Control[[#This Row],[Fecha Requisición]]),1)</f>
        <v>46143</v>
      </c>
      <c r="T22" s="32">
        <v>46170</v>
      </c>
      <c r="U22" s="32">
        <v>46170</v>
      </c>
      <c r="V22" s="40">
        <f>+IF(Control[[#This Row],[Fecha de entrega]]="","",NETWORKDAYS(Control[[#This Row],[Fecha Requisición]],Control[[#This Row],[Fecha de entrega]]))</f>
        <v>8</v>
      </c>
      <c r="X22" s="38">
        <f>+_xlfn.ISOWEEKNUM(Control[[#This Row],[Fecha Requisición]])</f>
        <v>21</v>
      </c>
    </row>
    <row r="23" spans="1:24" x14ac:dyDescent="0.3">
      <c r="A23" t="s">
        <v>153</v>
      </c>
      <c r="B23" t="s">
        <v>154</v>
      </c>
      <c r="C23" t="s">
        <v>155</v>
      </c>
      <c r="D23" t="s">
        <v>645</v>
      </c>
      <c r="E23" t="s">
        <v>156</v>
      </c>
      <c r="F23" t="s">
        <v>54</v>
      </c>
      <c r="G23" t="s">
        <v>54</v>
      </c>
      <c r="H23" t="s">
        <v>646</v>
      </c>
      <c r="I23" t="s">
        <v>31</v>
      </c>
      <c r="J23" s="7">
        <v>130319</v>
      </c>
      <c r="K23" s="7" t="s">
        <v>32</v>
      </c>
      <c r="L23" t="s">
        <v>75</v>
      </c>
      <c r="M23" t="s">
        <v>157</v>
      </c>
      <c r="N23" t="s">
        <v>58</v>
      </c>
      <c r="O23" t="s">
        <v>125</v>
      </c>
      <c r="P23" t="s">
        <v>37</v>
      </c>
      <c r="Q23" t="s">
        <v>647</v>
      </c>
      <c r="R2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3" s="12">
        <f>+DATE(YEAR(Control[[#This Row],[Fecha Requisición]]),MONTH(Control[[#This Row],[Fecha Requisición]]),1)</f>
        <v>46143</v>
      </c>
      <c r="T23" s="35">
        <v>46169</v>
      </c>
      <c r="U23" s="35">
        <v>46170</v>
      </c>
      <c r="V23" s="40">
        <f>+IF(Control[[#This Row],[Fecha de entrega]]="","",NETWORKDAYS(Control[[#This Row],[Fecha Requisición]],Control[[#This Row],[Fecha de entrega]]))</f>
        <v>8</v>
      </c>
      <c r="X23" s="38">
        <f>+_xlfn.ISOWEEKNUM(Control[[#This Row],[Fecha Requisición]])</f>
        <v>21</v>
      </c>
    </row>
    <row r="24" spans="1:24" x14ac:dyDescent="0.3">
      <c r="A24" t="s">
        <v>158</v>
      </c>
      <c r="B24" t="s">
        <v>159</v>
      </c>
      <c r="C24" t="s">
        <v>160</v>
      </c>
      <c r="D24" t="s">
        <v>161</v>
      </c>
      <c r="E24" t="s">
        <v>162</v>
      </c>
      <c r="F24" t="s">
        <v>163</v>
      </c>
      <c r="G24" t="s">
        <v>163</v>
      </c>
      <c r="H24" t="s">
        <v>163</v>
      </c>
      <c r="I24" t="s">
        <v>31</v>
      </c>
      <c r="J24" s="7">
        <v>728280</v>
      </c>
      <c r="K24" s="7" t="s">
        <v>32</v>
      </c>
      <c r="L24" t="s">
        <v>164</v>
      </c>
      <c r="M24" t="s">
        <v>165</v>
      </c>
      <c r="N24" t="s">
        <v>58</v>
      </c>
      <c r="O24" t="s">
        <v>36</v>
      </c>
      <c r="P24" t="s">
        <v>37</v>
      </c>
      <c r="Q24" t="s">
        <v>166</v>
      </c>
      <c r="R2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4" s="12">
        <f>+DATE(YEAR(Control[[#This Row],[Fecha Requisición]]),MONTH(Control[[#This Row],[Fecha Requisición]]),1)</f>
        <v>46174</v>
      </c>
      <c r="T24" s="32"/>
      <c r="U24" s="32">
        <v>46176</v>
      </c>
      <c r="V24" s="40">
        <f>+IF(Control[[#This Row],[Fecha de entrega]]="","",NETWORKDAYS(Control[[#This Row],[Fecha Requisición]],Control[[#This Row],[Fecha de entrega]]))</f>
        <v>3</v>
      </c>
      <c r="X24" s="38">
        <f>+_xlfn.ISOWEEKNUM(Control[[#This Row],[Fecha Requisición]])</f>
        <v>23</v>
      </c>
    </row>
    <row r="25" spans="1:24" x14ac:dyDescent="0.3">
      <c r="A25" t="s">
        <v>167</v>
      </c>
      <c r="B25" t="s">
        <v>168</v>
      </c>
      <c r="C25" t="s">
        <v>169</v>
      </c>
      <c r="D25" t="s">
        <v>170</v>
      </c>
      <c r="E25" t="s">
        <v>171</v>
      </c>
      <c r="F25" t="s">
        <v>163</v>
      </c>
      <c r="G25" t="s">
        <v>163</v>
      </c>
      <c r="H25" t="s">
        <v>163</v>
      </c>
      <c r="I25" t="s">
        <v>31</v>
      </c>
      <c r="J25" s="7">
        <v>101909</v>
      </c>
      <c r="K25" s="7" t="s">
        <v>32</v>
      </c>
      <c r="L25" t="s">
        <v>172</v>
      </c>
      <c r="M25" t="s">
        <v>173</v>
      </c>
      <c r="N25" t="s">
        <v>174</v>
      </c>
      <c r="O25" t="s">
        <v>36</v>
      </c>
      <c r="P25" t="s">
        <v>95</v>
      </c>
      <c r="Q25" t="s">
        <v>175</v>
      </c>
      <c r="R2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5" s="12">
        <f>+DATE(YEAR(Control[[#This Row],[Fecha Requisición]]),MONTH(Control[[#This Row],[Fecha Requisición]]),1)</f>
        <v>46174</v>
      </c>
      <c r="T25" s="35">
        <v>46184</v>
      </c>
      <c r="U25" s="35">
        <v>46188</v>
      </c>
      <c r="V25" s="40">
        <f>+IF(Control[[#This Row],[Fecha de entrega]]="","",NETWORKDAYS(Control[[#This Row],[Fecha Requisición]],Control[[#This Row],[Fecha de entrega]]))</f>
        <v>11</v>
      </c>
      <c r="X25" s="38">
        <f>+_xlfn.ISOWEEKNUM(Control[[#This Row],[Fecha Requisición]])</f>
        <v>23</v>
      </c>
    </row>
    <row r="26" spans="1:24" x14ac:dyDescent="0.3">
      <c r="A26" t="s">
        <v>167</v>
      </c>
      <c r="B26" t="s">
        <v>168</v>
      </c>
      <c r="C26" t="s">
        <v>169</v>
      </c>
      <c r="D26" t="s">
        <v>176</v>
      </c>
      <c r="E26" t="s">
        <v>171</v>
      </c>
      <c r="F26" t="s">
        <v>163</v>
      </c>
      <c r="G26" t="s">
        <v>163</v>
      </c>
      <c r="H26" t="s">
        <v>163</v>
      </c>
      <c r="I26" t="s">
        <v>31</v>
      </c>
      <c r="J26" s="7">
        <v>43358</v>
      </c>
      <c r="K26" s="7" t="s">
        <v>32</v>
      </c>
      <c r="L26" t="s">
        <v>172</v>
      </c>
      <c r="M26" t="s">
        <v>173</v>
      </c>
      <c r="N26" t="s">
        <v>174</v>
      </c>
      <c r="O26" t="s">
        <v>36</v>
      </c>
      <c r="P26" t="s">
        <v>95</v>
      </c>
      <c r="Q26" t="s">
        <v>177</v>
      </c>
      <c r="R2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6" s="12">
        <f>+DATE(YEAR(Control[[#This Row],[Fecha Requisición]]),MONTH(Control[[#This Row],[Fecha Requisición]]),1)</f>
        <v>46174</v>
      </c>
      <c r="T26" s="32">
        <v>46184</v>
      </c>
      <c r="U26" s="32">
        <v>46188</v>
      </c>
      <c r="V26" s="40">
        <f>+IF(Control[[#This Row],[Fecha de entrega]]="","",NETWORKDAYS(Control[[#This Row],[Fecha Requisición]],Control[[#This Row],[Fecha de entrega]]))</f>
        <v>11</v>
      </c>
      <c r="X26" s="38">
        <f>+_xlfn.ISOWEEKNUM(Control[[#This Row],[Fecha Requisición]])</f>
        <v>23</v>
      </c>
    </row>
    <row r="27" spans="1:24" x14ac:dyDescent="0.3">
      <c r="A27" t="s">
        <v>167</v>
      </c>
      <c r="B27" t="s">
        <v>168</v>
      </c>
      <c r="C27" t="s">
        <v>169</v>
      </c>
      <c r="D27" t="s">
        <v>178</v>
      </c>
      <c r="E27" t="s">
        <v>171</v>
      </c>
      <c r="F27" t="s">
        <v>163</v>
      </c>
      <c r="G27" t="s">
        <v>163</v>
      </c>
      <c r="H27" t="s">
        <v>163</v>
      </c>
      <c r="I27" t="s">
        <v>31</v>
      </c>
      <c r="J27" s="7">
        <v>25655</v>
      </c>
      <c r="K27" s="7" t="s">
        <v>32</v>
      </c>
      <c r="L27" t="s">
        <v>172</v>
      </c>
      <c r="M27" t="s">
        <v>173</v>
      </c>
      <c r="N27" t="s">
        <v>174</v>
      </c>
      <c r="O27" t="s">
        <v>36</v>
      </c>
      <c r="P27" t="s">
        <v>95</v>
      </c>
      <c r="Q27" t="s">
        <v>179</v>
      </c>
      <c r="R2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7" s="12">
        <f>+DATE(YEAR(Control[[#This Row],[Fecha Requisición]]),MONTH(Control[[#This Row],[Fecha Requisición]]),1)</f>
        <v>46174</v>
      </c>
      <c r="T27" s="35">
        <v>46184</v>
      </c>
      <c r="U27" s="35">
        <v>46188</v>
      </c>
      <c r="V27" s="40">
        <f>+IF(Control[[#This Row],[Fecha de entrega]]="","",NETWORKDAYS(Control[[#This Row],[Fecha Requisición]],Control[[#This Row],[Fecha de entrega]]))</f>
        <v>11</v>
      </c>
      <c r="X27" s="38">
        <f>+_xlfn.ISOWEEKNUM(Control[[#This Row],[Fecha Requisición]])</f>
        <v>23</v>
      </c>
    </row>
    <row r="28" spans="1:24" x14ac:dyDescent="0.3">
      <c r="A28" t="s">
        <v>180</v>
      </c>
      <c r="B28" t="s">
        <v>181</v>
      </c>
      <c r="C28" t="s">
        <v>182</v>
      </c>
      <c r="D28" t="s">
        <v>183</v>
      </c>
      <c r="E28" t="s">
        <v>184</v>
      </c>
      <c r="F28" t="s">
        <v>163</v>
      </c>
      <c r="G28" t="s">
        <v>163</v>
      </c>
      <c r="H28" t="s">
        <v>163</v>
      </c>
      <c r="I28" t="s">
        <v>40</v>
      </c>
      <c r="J28" s="7">
        <v>1895829</v>
      </c>
      <c r="K28" s="7" t="s">
        <v>32</v>
      </c>
      <c r="L28" t="s">
        <v>185</v>
      </c>
      <c r="M28" t="s">
        <v>186</v>
      </c>
      <c r="N28" t="s">
        <v>58</v>
      </c>
      <c r="O28" t="s">
        <v>648</v>
      </c>
      <c r="P28" t="s">
        <v>37</v>
      </c>
      <c r="Q28" t="s">
        <v>187</v>
      </c>
      <c r="R2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8" s="12">
        <f>+DATE(YEAR(Control[[#This Row],[Fecha Requisición]]),MONTH(Control[[#This Row],[Fecha Requisición]]),1)</f>
        <v>46174</v>
      </c>
      <c r="T28" s="32">
        <v>46175</v>
      </c>
      <c r="U28" s="32">
        <v>46181</v>
      </c>
      <c r="V28" s="40">
        <f>+IF(Control[[#This Row],[Fecha de entrega]]="","",NETWORKDAYS(Control[[#This Row],[Fecha Requisición]],Control[[#This Row],[Fecha de entrega]]))</f>
        <v>6</v>
      </c>
      <c r="X28" s="38">
        <f>+_xlfn.ISOWEEKNUM(Control[[#This Row],[Fecha Requisición]])</f>
        <v>23</v>
      </c>
    </row>
    <row r="29" spans="1:24" x14ac:dyDescent="0.3">
      <c r="A29" t="s">
        <v>188</v>
      </c>
      <c r="B29" t="s">
        <v>189</v>
      </c>
      <c r="C29" t="s">
        <v>189</v>
      </c>
      <c r="D29" t="s">
        <v>190</v>
      </c>
      <c r="E29" t="s">
        <v>191</v>
      </c>
      <c r="F29" t="s">
        <v>192</v>
      </c>
      <c r="G29" t="s">
        <v>192</v>
      </c>
      <c r="H29" t="s">
        <v>192</v>
      </c>
      <c r="I29" t="s">
        <v>40</v>
      </c>
      <c r="J29" s="7">
        <v>584980</v>
      </c>
      <c r="K29" s="7" t="s">
        <v>32</v>
      </c>
      <c r="L29" t="s">
        <v>75</v>
      </c>
      <c r="M29" t="s">
        <v>193</v>
      </c>
      <c r="N29" t="s">
        <v>194</v>
      </c>
      <c r="O29" t="s">
        <v>76</v>
      </c>
      <c r="P29" t="s">
        <v>37</v>
      </c>
      <c r="Q29" t="s">
        <v>195</v>
      </c>
      <c r="R2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9" s="12">
        <f>+DATE(YEAR(Control[[#This Row],[Fecha Requisición]]),MONTH(Control[[#This Row],[Fecha Requisición]]),1)</f>
        <v>46174</v>
      </c>
      <c r="T29" s="35"/>
      <c r="U29" s="35">
        <v>46189</v>
      </c>
      <c r="V29" s="40">
        <f>+IF(Control[[#This Row],[Fecha de entrega]]="","",NETWORKDAYS(Control[[#This Row],[Fecha Requisición]],Control[[#This Row],[Fecha de entrega]]))</f>
        <v>10</v>
      </c>
      <c r="X29" s="38">
        <f>+_xlfn.ISOWEEKNUM(Control[[#This Row],[Fecha Requisición]])</f>
        <v>23</v>
      </c>
    </row>
    <row r="30" spans="1:24" x14ac:dyDescent="0.3">
      <c r="A30" t="s">
        <v>196</v>
      </c>
      <c r="B30" t="s">
        <v>197</v>
      </c>
      <c r="C30" t="s">
        <v>198</v>
      </c>
      <c r="E30" t="s">
        <v>199</v>
      </c>
      <c r="F30" t="s">
        <v>200</v>
      </c>
      <c r="G30" t="s">
        <v>200</v>
      </c>
      <c r="J30" s="7"/>
      <c r="K30" s="7" t="s">
        <v>56</v>
      </c>
      <c r="M30" t="s">
        <v>201</v>
      </c>
      <c r="N30" t="s">
        <v>87</v>
      </c>
      <c r="O30" t="s">
        <v>59</v>
      </c>
      <c r="P30" t="s">
        <v>37</v>
      </c>
      <c r="R3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0" s="12">
        <f>+DATE(YEAR(Control[[#This Row],[Fecha Requisición]]),MONTH(Control[[#This Row],[Fecha Requisición]]),1)</f>
        <v>46174</v>
      </c>
      <c r="T30" s="32"/>
      <c r="U30" s="32"/>
      <c r="V30" s="40" t="str">
        <f>+IF(Control[[#This Row],[Fecha de entrega]]="","",NETWORKDAYS(Control[[#This Row],[Fecha Requisición]],Control[[#This Row],[Fecha de entrega]]))</f>
        <v/>
      </c>
      <c r="X30" s="38">
        <f>+_xlfn.ISOWEEKNUM(Control[[#This Row],[Fecha Requisición]])</f>
        <v>23</v>
      </c>
    </row>
    <row r="31" spans="1:24" x14ac:dyDescent="0.3">
      <c r="A31" t="s">
        <v>219</v>
      </c>
      <c r="B31" t="s">
        <v>220</v>
      </c>
      <c r="C31" t="s">
        <v>220</v>
      </c>
      <c r="E31" t="s">
        <v>221</v>
      </c>
      <c r="F31" t="s">
        <v>192</v>
      </c>
      <c r="G31" t="s">
        <v>192</v>
      </c>
      <c r="J31" s="7"/>
      <c r="K31" s="7" t="s">
        <v>32</v>
      </c>
      <c r="M31" t="s">
        <v>165</v>
      </c>
      <c r="N31" t="s">
        <v>87</v>
      </c>
      <c r="O31" t="s">
        <v>36</v>
      </c>
      <c r="P31" t="s">
        <v>37</v>
      </c>
      <c r="R3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1" s="12">
        <f>+DATE(YEAR(Control[[#This Row],[Fecha Requisición]]),MONTH(Control[[#This Row],[Fecha Requisición]]),1)</f>
        <v>46174</v>
      </c>
      <c r="T31" s="35">
        <v>46170</v>
      </c>
      <c r="U31" s="35">
        <v>46192</v>
      </c>
      <c r="V31" s="40">
        <f>+IF(Control[[#This Row],[Fecha de entrega]]="","",NETWORKDAYS(Control[[#This Row],[Fecha Requisición]],Control[[#This Row],[Fecha de entrega]]))</f>
        <v>13</v>
      </c>
      <c r="X31" s="38">
        <f>+_xlfn.ISOWEEKNUM(Control[[#This Row],[Fecha Requisición]])</f>
        <v>23</v>
      </c>
    </row>
    <row r="32" spans="1:24" x14ac:dyDescent="0.3">
      <c r="A32" t="s">
        <v>244</v>
      </c>
      <c r="B32" t="s">
        <v>245</v>
      </c>
      <c r="C32" t="s">
        <v>246</v>
      </c>
      <c r="E32" t="s">
        <v>247</v>
      </c>
      <c r="F32" t="s">
        <v>248</v>
      </c>
      <c r="G32" t="s">
        <v>248</v>
      </c>
      <c r="J32" s="7"/>
      <c r="K32" s="7" t="s">
        <v>32</v>
      </c>
      <c r="M32" t="s">
        <v>249</v>
      </c>
      <c r="N32" t="s">
        <v>102</v>
      </c>
      <c r="O32" t="s">
        <v>125</v>
      </c>
      <c r="P32" t="s">
        <v>37</v>
      </c>
      <c r="R3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2" s="12">
        <f>+DATE(YEAR(Control[[#This Row],[Fecha Requisición]]),MONTH(Control[[#This Row],[Fecha Requisición]]),1)</f>
        <v>46174</v>
      </c>
      <c r="T32" s="32"/>
      <c r="U32" s="32">
        <v>46188</v>
      </c>
      <c r="V32" s="40">
        <f>+IF(Control[[#This Row],[Fecha de entrega]]="","",NETWORKDAYS(Control[[#This Row],[Fecha Requisición]],Control[[#This Row],[Fecha de entrega]]))</f>
        <v>1</v>
      </c>
      <c r="X32" s="38">
        <f>+_xlfn.ISOWEEKNUM(Control[[#This Row],[Fecha Requisición]])</f>
        <v>25</v>
      </c>
    </row>
    <row r="33" spans="1:24" x14ac:dyDescent="0.3">
      <c r="A33" t="s">
        <v>250</v>
      </c>
      <c r="B33" t="s">
        <v>251</v>
      </c>
      <c r="C33" t="s">
        <v>525</v>
      </c>
      <c r="E33" t="s">
        <v>252</v>
      </c>
      <c r="F33" t="s">
        <v>253</v>
      </c>
      <c r="G33" t="s">
        <v>253</v>
      </c>
      <c r="J33" s="7"/>
      <c r="K33" s="7" t="s">
        <v>32</v>
      </c>
      <c r="M33" t="s">
        <v>254</v>
      </c>
      <c r="N33" t="s">
        <v>102</v>
      </c>
      <c r="O33" t="s">
        <v>125</v>
      </c>
      <c r="P33" t="s">
        <v>37</v>
      </c>
      <c r="R3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3" s="12">
        <f>+DATE(YEAR(Control[[#This Row],[Fecha Requisición]]),MONTH(Control[[#This Row],[Fecha Requisición]]),1)</f>
        <v>46174</v>
      </c>
      <c r="T33" s="35"/>
      <c r="U33" s="35">
        <v>46176</v>
      </c>
      <c r="V33" s="40">
        <f>+IF(Control[[#This Row],[Fecha de entrega]]="","",NETWORKDAYS(Control[[#This Row],[Fecha Requisición]],Control[[#This Row],[Fecha de entrega]]))</f>
        <v>-8</v>
      </c>
      <c r="X33" s="38">
        <f>+_xlfn.ISOWEEKNUM(Control[[#This Row],[Fecha Requisición]])</f>
        <v>24</v>
      </c>
    </row>
    <row r="34" spans="1:24" x14ac:dyDescent="0.3">
      <c r="A34" t="s">
        <v>255</v>
      </c>
      <c r="B34" t="s">
        <v>256</v>
      </c>
      <c r="C34" t="s">
        <v>526</v>
      </c>
      <c r="E34" t="s">
        <v>257</v>
      </c>
      <c r="F34" t="s">
        <v>253</v>
      </c>
      <c r="G34" t="s">
        <v>253</v>
      </c>
      <c r="J34" s="7"/>
      <c r="K34" s="7" t="s">
        <v>32</v>
      </c>
      <c r="M34" t="s">
        <v>157</v>
      </c>
      <c r="N34" t="s">
        <v>58</v>
      </c>
      <c r="O34" t="s">
        <v>125</v>
      </c>
      <c r="P34" t="s">
        <v>37</v>
      </c>
      <c r="R3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4" s="12">
        <f>+DATE(YEAR(Control[[#This Row],[Fecha Requisición]]),MONTH(Control[[#This Row],[Fecha Requisición]]),1)</f>
        <v>46174</v>
      </c>
      <c r="T34" s="32"/>
      <c r="U34" s="32">
        <v>46191</v>
      </c>
      <c r="V34" s="40">
        <f>+IF(Control[[#This Row],[Fecha de entrega]]="","",NETWORKDAYS(Control[[#This Row],[Fecha Requisición]],Control[[#This Row],[Fecha de entrega]]))</f>
        <v>5</v>
      </c>
      <c r="X34" s="38">
        <f>+_xlfn.ISOWEEKNUM(Control[[#This Row],[Fecha Requisición]])</f>
        <v>24</v>
      </c>
    </row>
    <row r="35" spans="1:24" x14ac:dyDescent="0.3">
      <c r="A35" t="s">
        <v>258</v>
      </c>
      <c r="B35" t="s">
        <v>259</v>
      </c>
      <c r="C35" t="s">
        <v>527</v>
      </c>
      <c r="E35" t="s">
        <v>260</v>
      </c>
      <c r="F35" t="s">
        <v>248</v>
      </c>
      <c r="G35" t="s">
        <v>248</v>
      </c>
      <c r="J35" s="7"/>
      <c r="K35" s="7" t="s">
        <v>32</v>
      </c>
      <c r="M35" t="s">
        <v>254</v>
      </c>
      <c r="N35" t="s">
        <v>102</v>
      </c>
      <c r="O35" t="s">
        <v>125</v>
      </c>
      <c r="P35" t="s">
        <v>37</v>
      </c>
      <c r="R3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5" s="12">
        <f>+DATE(YEAR(Control[[#This Row],[Fecha Requisición]]),MONTH(Control[[#This Row],[Fecha Requisición]]),1)</f>
        <v>46174</v>
      </c>
      <c r="T35" s="32"/>
      <c r="U35" s="32"/>
      <c r="V35" s="40" t="str">
        <f>+IF(Control[[#This Row],[Fecha de entrega]]="","",NETWORKDAYS(Control[[#This Row],[Fecha Requisición]],Control[[#This Row],[Fecha de entrega]]))</f>
        <v/>
      </c>
      <c r="X35" s="38">
        <f>+_xlfn.ISOWEEKNUM(Control[[#This Row],[Fecha Requisición]])</f>
        <v>25</v>
      </c>
    </row>
    <row r="36" spans="1:24" x14ac:dyDescent="0.3">
      <c r="A36" t="s">
        <v>528</v>
      </c>
      <c r="B36" t="s">
        <v>529</v>
      </c>
      <c r="C36" t="s">
        <v>529</v>
      </c>
      <c r="E36" t="s">
        <v>530</v>
      </c>
      <c r="F36" t="s">
        <v>248</v>
      </c>
      <c r="G36" t="s">
        <v>248</v>
      </c>
      <c r="J36" s="7"/>
      <c r="K36" s="7" t="s">
        <v>56</v>
      </c>
      <c r="M36" t="s">
        <v>201</v>
      </c>
      <c r="O36" t="s">
        <v>59</v>
      </c>
      <c r="P36" t="s">
        <v>60</v>
      </c>
      <c r="R3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6" s="12">
        <f>+DATE(YEAR(Control[[#This Row],[Fecha Requisición]]),MONTH(Control[[#This Row],[Fecha Requisición]]),1)</f>
        <v>46174</v>
      </c>
      <c r="T36" s="32"/>
      <c r="U36" s="32">
        <v>46190</v>
      </c>
      <c r="V36" s="40">
        <f>+IF(Control[[#This Row],[Fecha de entrega]]="","",NETWORKDAYS(Control[[#This Row],[Fecha Requisición]],Control[[#This Row],[Fecha de entrega]]))</f>
        <v>3</v>
      </c>
      <c r="X36" s="38">
        <f>+_xlfn.ISOWEEKNUM(Control[[#This Row],[Fecha Requisición]])</f>
        <v>25</v>
      </c>
    </row>
    <row r="37" spans="1:24" x14ac:dyDescent="0.3">
      <c r="A37" t="s">
        <v>202</v>
      </c>
      <c r="B37" t="s">
        <v>203</v>
      </c>
      <c r="C37" t="s">
        <v>204</v>
      </c>
      <c r="D37" t="s">
        <v>502</v>
      </c>
      <c r="E37" t="s">
        <v>205</v>
      </c>
      <c r="F37" t="s">
        <v>200</v>
      </c>
      <c r="G37" t="s">
        <v>200</v>
      </c>
      <c r="H37" t="s">
        <v>200</v>
      </c>
      <c r="I37" t="s">
        <v>40</v>
      </c>
      <c r="J37" s="7">
        <v>174204</v>
      </c>
      <c r="K37" s="7" t="s">
        <v>56</v>
      </c>
      <c r="L37" t="s">
        <v>41</v>
      </c>
      <c r="M37" t="s">
        <v>201</v>
      </c>
      <c r="N37" t="s">
        <v>87</v>
      </c>
      <c r="O37" t="s">
        <v>59</v>
      </c>
      <c r="P37" t="s">
        <v>37</v>
      </c>
      <c r="Q37" t="s">
        <v>511</v>
      </c>
      <c r="R3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7" s="12">
        <f>+DATE(YEAR(Control[[#This Row],[Fecha Requisición]]),MONTH(Control[[#This Row],[Fecha Requisición]]),1)</f>
        <v>46174</v>
      </c>
      <c r="T37" s="32"/>
      <c r="U37" s="32">
        <v>46211</v>
      </c>
      <c r="V37" s="40">
        <f>+IF(Control[[#This Row],[Fecha de entrega]]="","",NETWORKDAYS(Control[[#This Row],[Fecha Requisición]],Control[[#This Row],[Fecha de entrega]]))</f>
        <v>27</v>
      </c>
      <c r="X37" s="38">
        <f>+_xlfn.ISOWEEKNUM(Control[[#This Row],[Fecha Requisición]])</f>
        <v>23</v>
      </c>
    </row>
    <row r="38" spans="1:24" x14ac:dyDescent="0.3">
      <c r="A38" t="s">
        <v>206</v>
      </c>
      <c r="B38" t="s">
        <v>207</v>
      </c>
      <c r="C38" t="s">
        <v>208</v>
      </c>
      <c r="D38" t="s">
        <v>209</v>
      </c>
      <c r="E38" t="s">
        <v>210</v>
      </c>
      <c r="F38" t="s">
        <v>211</v>
      </c>
      <c r="G38" t="s">
        <v>211</v>
      </c>
      <c r="H38" t="s">
        <v>211</v>
      </c>
      <c r="I38" t="s">
        <v>31</v>
      </c>
      <c r="J38" s="7">
        <v>1281701</v>
      </c>
      <c r="K38" s="7" t="s">
        <v>32</v>
      </c>
      <c r="L38" t="s">
        <v>212</v>
      </c>
      <c r="M38" t="s">
        <v>193</v>
      </c>
      <c r="N38" t="s">
        <v>194</v>
      </c>
      <c r="O38" t="s">
        <v>76</v>
      </c>
      <c r="P38" t="s">
        <v>37</v>
      </c>
      <c r="Q38" t="s">
        <v>213</v>
      </c>
      <c r="R3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8" s="12">
        <f>+DATE(YEAR(Control[[#This Row],[Fecha Requisición]]),MONTH(Control[[#This Row],[Fecha Requisición]]),1)</f>
        <v>46174</v>
      </c>
      <c r="T38" s="32"/>
      <c r="U38" s="32">
        <v>46211</v>
      </c>
      <c r="V38" s="40">
        <f>+IF(Control[[#This Row],[Fecha de entrega]]="","",NETWORKDAYS(Control[[#This Row],[Fecha Requisición]],Control[[#This Row],[Fecha de entrega]]))</f>
        <v>25</v>
      </c>
      <c r="X38" s="38">
        <f>+_xlfn.ISOWEEKNUM(Control[[#This Row],[Fecha Requisición]])</f>
        <v>23</v>
      </c>
    </row>
    <row r="39" spans="1:24" x14ac:dyDescent="0.3">
      <c r="A39" t="s">
        <v>206</v>
      </c>
      <c r="B39" t="s">
        <v>207</v>
      </c>
      <c r="C39" t="s">
        <v>208</v>
      </c>
      <c r="D39" t="s">
        <v>214</v>
      </c>
      <c r="E39" t="s">
        <v>210</v>
      </c>
      <c r="F39" t="s">
        <v>211</v>
      </c>
      <c r="G39" t="s">
        <v>211</v>
      </c>
      <c r="H39" t="s">
        <v>211</v>
      </c>
      <c r="I39" t="s">
        <v>31</v>
      </c>
      <c r="J39" s="7">
        <v>164277</v>
      </c>
      <c r="K39" s="7" t="s">
        <v>32</v>
      </c>
      <c r="L39" t="s">
        <v>215</v>
      </c>
      <c r="M39" t="s">
        <v>193</v>
      </c>
      <c r="N39" t="s">
        <v>194</v>
      </c>
      <c r="O39" t="s">
        <v>76</v>
      </c>
      <c r="P39" t="s">
        <v>37</v>
      </c>
      <c r="Q39" t="s">
        <v>216</v>
      </c>
      <c r="R3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9" s="12">
        <f>+DATE(YEAR(Control[[#This Row],[Fecha Requisición]]),MONTH(Control[[#This Row],[Fecha Requisición]]),1)</f>
        <v>46174</v>
      </c>
      <c r="T39" s="35"/>
      <c r="U39" s="35">
        <v>46190</v>
      </c>
      <c r="V39" s="40">
        <f>+IF(Control[[#This Row],[Fecha de entrega]]="","",NETWORKDAYS(Control[[#This Row],[Fecha Requisición]],Control[[#This Row],[Fecha de entrega]]))</f>
        <v>10</v>
      </c>
      <c r="X39" s="38">
        <f>+_xlfn.ISOWEEKNUM(Control[[#This Row],[Fecha Requisición]])</f>
        <v>23</v>
      </c>
    </row>
    <row r="40" spans="1:24" x14ac:dyDescent="0.3">
      <c r="A40" t="s">
        <v>206</v>
      </c>
      <c r="B40" t="s">
        <v>207</v>
      </c>
      <c r="C40" t="s">
        <v>208</v>
      </c>
      <c r="D40" t="s">
        <v>217</v>
      </c>
      <c r="E40" t="s">
        <v>210</v>
      </c>
      <c r="F40" t="s">
        <v>211</v>
      </c>
      <c r="G40" t="s">
        <v>211</v>
      </c>
      <c r="H40" t="s">
        <v>211</v>
      </c>
      <c r="I40" t="s">
        <v>40</v>
      </c>
      <c r="J40" s="7">
        <v>475324</v>
      </c>
      <c r="K40" s="7" t="s">
        <v>32</v>
      </c>
      <c r="L40" t="s">
        <v>75</v>
      </c>
      <c r="M40" t="s">
        <v>193</v>
      </c>
      <c r="N40" t="s">
        <v>194</v>
      </c>
      <c r="O40" t="s">
        <v>76</v>
      </c>
      <c r="P40" t="s">
        <v>37</v>
      </c>
      <c r="Q40" t="s">
        <v>218</v>
      </c>
      <c r="R4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0" s="12">
        <f>+DATE(YEAR(Control[[#This Row],[Fecha Requisición]]),MONTH(Control[[#This Row],[Fecha Requisición]]),1)</f>
        <v>46174</v>
      </c>
      <c r="T40" s="32"/>
      <c r="U40" s="32">
        <v>46203</v>
      </c>
      <c r="V40" s="40">
        <f>+IF(Control[[#This Row],[Fecha de entrega]]="","",NETWORKDAYS(Control[[#This Row],[Fecha Requisición]],Control[[#This Row],[Fecha de entrega]]))</f>
        <v>19</v>
      </c>
      <c r="X40" s="38">
        <f>+_xlfn.ISOWEEKNUM(Control[[#This Row],[Fecha Requisición]])</f>
        <v>23</v>
      </c>
    </row>
    <row r="41" spans="1:24" x14ac:dyDescent="0.3">
      <c r="A41" t="s">
        <v>222</v>
      </c>
      <c r="B41" t="s">
        <v>223</v>
      </c>
      <c r="C41" t="s">
        <v>224</v>
      </c>
      <c r="D41" t="s">
        <v>225</v>
      </c>
      <c r="E41" t="s">
        <v>226</v>
      </c>
      <c r="F41" t="s">
        <v>227</v>
      </c>
      <c r="G41" t="s">
        <v>227</v>
      </c>
      <c r="H41" t="s">
        <v>227</v>
      </c>
      <c r="I41" t="s">
        <v>40</v>
      </c>
      <c r="J41" s="7">
        <v>305487</v>
      </c>
      <c r="K41" s="7" t="s">
        <v>32</v>
      </c>
      <c r="L41" t="s">
        <v>75</v>
      </c>
      <c r="M41" t="s">
        <v>228</v>
      </c>
      <c r="N41" t="s">
        <v>35</v>
      </c>
      <c r="O41" t="s">
        <v>76</v>
      </c>
      <c r="P41" t="s">
        <v>37</v>
      </c>
      <c r="Q41" t="s">
        <v>229</v>
      </c>
      <c r="R4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1" s="12">
        <f>+DATE(YEAR(Control[[#This Row],[Fecha Requisición]]),MONTH(Control[[#This Row],[Fecha Requisición]]),1)</f>
        <v>46174</v>
      </c>
      <c r="T41" s="35">
        <v>46200</v>
      </c>
      <c r="U41" s="35">
        <v>46209</v>
      </c>
      <c r="V41" s="40">
        <f>+IF(Control[[#This Row],[Fecha de entrega]]="","",NETWORKDAYS(Control[[#This Row],[Fecha Requisición]],Control[[#This Row],[Fecha de entrega]]))</f>
        <v>21</v>
      </c>
      <c r="X41" s="38">
        <f>+_xlfn.ISOWEEKNUM(Control[[#This Row],[Fecha Requisición]])</f>
        <v>24</v>
      </c>
    </row>
    <row r="42" spans="1:24" x14ac:dyDescent="0.3">
      <c r="A42" t="s">
        <v>230</v>
      </c>
      <c r="B42" t="s">
        <v>231</v>
      </c>
      <c r="C42" t="s">
        <v>232</v>
      </c>
      <c r="D42" t="s">
        <v>531</v>
      </c>
      <c r="E42" t="s">
        <v>233</v>
      </c>
      <c r="F42" t="s">
        <v>192</v>
      </c>
      <c r="G42" t="s">
        <v>192</v>
      </c>
      <c r="H42" t="s">
        <v>192</v>
      </c>
      <c r="I42" t="s">
        <v>40</v>
      </c>
      <c r="J42" s="7">
        <v>320443</v>
      </c>
      <c r="K42" s="7" t="s">
        <v>32</v>
      </c>
      <c r="L42" t="s">
        <v>41</v>
      </c>
      <c r="M42" t="s">
        <v>165</v>
      </c>
      <c r="N42" t="s">
        <v>87</v>
      </c>
      <c r="O42" t="s">
        <v>59</v>
      </c>
      <c r="P42" t="s">
        <v>60</v>
      </c>
      <c r="Q42" t="s">
        <v>532</v>
      </c>
      <c r="R4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2" s="12">
        <f>+DATE(YEAR(Control[[#This Row],[Fecha Requisición]]),MONTH(Control[[#This Row],[Fecha Requisición]]),1)</f>
        <v>46174</v>
      </c>
      <c r="T42" s="32">
        <v>46200</v>
      </c>
      <c r="U42" s="32">
        <v>46209</v>
      </c>
      <c r="V42" s="40">
        <f>+IF(Control[[#This Row],[Fecha de entrega]]="","",NETWORKDAYS(Control[[#This Row],[Fecha Requisición]],Control[[#This Row],[Fecha de entrega]]))</f>
        <v>24</v>
      </c>
      <c r="X42" s="38">
        <f>+_xlfn.ISOWEEKNUM(Control[[#This Row],[Fecha Requisición]])</f>
        <v>23</v>
      </c>
    </row>
    <row r="43" spans="1:24" x14ac:dyDescent="0.3">
      <c r="A43" t="s">
        <v>230</v>
      </c>
      <c r="B43" t="s">
        <v>231</v>
      </c>
      <c r="C43" t="s">
        <v>232</v>
      </c>
      <c r="D43" t="s">
        <v>588</v>
      </c>
      <c r="E43" t="s">
        <v>233</v>
      </c>
      <c r="F43" t="s">
        <v>192</v>
      </c>
      <c r="G43" t="s">
        <v>192</v>
      </c>
      <c r="H43" t="s">
        <v>192</v>
      </c>
      <c r="I43" t="s">
        <v>31</v>
      </c>
      <c r="J43" s="7">
        <v>929330</v>
      </c>
      <c r="K43" s="7" t="s">
        <v>32</v>
      </c>
      <c r="L43" t="s">
        <v>212</v>
      </c>
      <c r="M43" t="s">
        <v>165</v>
      </c>
      <c r="N43" t="s">
        <v>87</v>
      </c>
      <c r="O43" t="s">
        <v>59</v>
      </c>
      <c r="P43" t="s">
        <v>60</v>
      </c>
      <c r="Q43" t="s">
        <v>589</v>
      </c>
      <c r="R4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3" s="12">
        <f>+DATE(YEAR(Control[[#This Row],[Fecha Requisición]]),MONTH(Control[[#This Row],[Fecha Requisición]]),1)</f>
        <v>46174</v>
      </c>
      <c r="T43" s="35"/>
      <c r="U43" s="35">
        <v>46199</v>
      </c>
      <c r="V43" s="40">
        <f>+IF(Control[[#This Row],[Fecha de entrega]]="","",NETWORKDAYS(Control[[#This Row],[Fecha Requisición]],Control[[#This Row],[Fecha de entrega]]))</f>
        <v>18</v>
      </c>
      <c r="X43" s="38">
        <f>+_xlfn.ISOWEEKNUM(Control[[#This Row],[Fecha Requisición]])</f>
        <v>23</v>
      </c>
    </row>
    <row r="44" spans="1:24" x14ac:dyDescent="0.3">
      <c r="A44" t="s">
        <v>230</v>
      </c>
      <c r="B44" t="s">
        <v>231</v>
      </c>
      <c r="C44" t="s">
        <v>232</v>
      </c>
      <c r="D44" t="s">
        <v>533</v>
      </c>
      <c r="E44" t="s">
        <v>233</v>
      </c>
      <c r="F44" t="s">
        <v>192</v>
      </c>
      <c r="G44" t="s">
        <v>192</v>
      </c>
      <c r="H44" t="s">
        <v>192</v>
      </c>
      <c r="I44" t="s">
        <v>40</v>
      </c>
      <c r="J44" s="7">
        <v>320443</v>
      </c>
      <c r="K44" s="7" t="s">
        <v>32</v>
      </c>
      <c r="L44" t="s">
        <v>41</v>
      </c>
      <c r="M44" t="s">
        <v>165</v>
      </c>
      <c r="N44" t="s">
        <v>87</v>
      </c>
      <c r="O44" t="s">
        <v>59</v>
      </c>
      <c r="P44" t="s">
        <v>60</v>
      </c>
      <c r="Q44" t="s">
        <v>534</v>
      </c>
      <c r="R4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4" s="12">
        <f>+DATE(YEAR(Control[[#This Row],[Fecha Requisición]]),MONTH(Control[[#This Row],[Fecha Requisición]]),1)</f>
        <v>46174</v>
      </c>
      <c r="T44" s="32"/>
      <c r="U44" s="32"/>
      <c r="V44" s="40" t="str">
        <f>+IF(Control[[#This Row],[Fecha de entrega]]="","",NETWORKDAYS(Control[[#This Row],[Fecha Requisición]],Control[[#This Row],[Fecha de entrega]]))</f>
        <v/>
      </c>
      <c r="X44" s="38">
        <f>+_xlfn.ISOWEEKNUM(Control[[#This Row],[Fecha Requisición]])</f>
        <v>23</v>
      </c>
    </row>
    <row r="45" spans="1:24" x14ac:dyDescent="0.3">
      <c r="A45" t="s">
        <v>234</v>
      </c>
      <c r="B45" t="s">
        <v>235</v>
      </c>
      <c r="C45" t="s">
        <v>236</v>
      </c>
      <c r="D45" t="s">
        <v>535</v>
      </c>
      <c r="E45" t="s">
        <v>237</v>
      </c>
      <c r="F45" t="s">
        <v>227</v>
      </c>
      <c r="G45" t="s">
        <v>227</v>
      </c>
      <c r="H45" t="s">
        <v>227</v>
      </c>
      <c r="I45" t="s">
        <v>31</v>
      </c>
      <c r="J45" s="7">
        <v>490839</v>
      </c>
      <c r="K45" s="7" t="s">
        <v>32</v>
      </c>
      <c r="L45" t="s">
        <v>33</v>
      </c>
      <c r="M45" t="s">
        <v>34</v>
      </c>
      <c r="N45" t="s">
        <v>35</v>
      </c>
      <c r="O45" t="s">
        <v>238</v>
      </c>
      <c r="P45" t="s">
        <v>60</v>
      </c>
      <c r="Q45" t="s">
        <v>536</v>
      </c>
      <c r="R4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5" s="12">
        <f>+DATE(YEAR(Control[[#This Row],[Fecha Requisición]]),MONTH(Control[[#This Row],[Fecha Requisición]]),1)</f>
        <v>46174</v>
      </c>
      <c r="T45" s="32"/>
      <c r="U45" s="32"/>
      <c r="V45" s="40" t="str">
        <f>+IF(Control[[#This Row],[Fecha de entrega]]="","",NETWORKDAYS(Control[[#This Row],[Fecha Requisición]],Control[[#This Row],[Fecha de entrega]]))</f>
        <v/>
      </c>
      <c r="X45" s="38">
        <f>+_xlfn.ISOWEEKNUM(Control[[#This Row],[Fecha Requisición]])</f>
        <v>24</v>
      </c>
    </row>
    <row r="46" spans="1:24" x14ac:dyDescent="0.3">
      <c r="A46" t="s">
        <v>234</v>
      </c>
      <c r="B46" t="s">
        <v>235</v>
      </c>
      <c r="C46" t="s">
        <v>236</v>
      </c>
      <c r="D46" t="s">
        <v>537</v>
      </c>
      <c r="E46" t="s">
        <v>237</v>
      </c>
      <c r="F46" t="s">
        <v>227</v>
      </c>
      <c r="G46" t="s">
        <v>227</v>
      </c>
      <c r="H46" t="s">
        <v>227</v>
      </c>
      <c r="I46" t="s">
        <v>40</v>
      </c>
      <c r="J46" s="7">
        <v>15257</v>
      </c>
      <c r="K46" s="7" t="s">
        <v>32</v>
      </c>
      <c r="L46" t="s">
        <v>75</v>
      </c>
      <c r="M46" t="s">
        <v>34</v>
      </c>
      <c r="N46" t="s">
        <v>35</v>
      </c>
      <c r="O46" t="s">
        <v>238</v>
      </c>
      <c r="P46" t="s">
        <v>60</v>
      </c>
      <c r="Q46" t="s">
        <v>538</v>
      </c>
      <c r="R4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6" s="12">
        <f>+DATE(YEAR(Control[[#This Row],[Fecha Requisición]]),MONTH(Control[[#This Row],[Fecha Requisición]]),1)</f>
        <v>46174</v>
      </c>
      <c r="T46" s="32"/>
      <c r="U46" s="32">
        <v>46178</v>
      </c>
      <c r="V46" s="40">
        <f>+IF(Control[[#This Row],[Fecha de entrega]]="","",NETWORKDAYS(Control[[#This Row],[Fecha Requisición]],Control[[#This Row],[Fecha de entrega]]))</f>
        <v>-2</v>
      </c>
      <c r="X46" s="38">
        <f>+_xlfn.ISOWEEKNUM(Control[[#This Row],[Fecha Requisición]])</f>
        <v>24</v>
      </c>
    </row>
    <row r="47" spans="1:24" x14ac:dyDescent="0.3">
      <c r="A47" t="s">
        <v>234</v>
      </c>
      <c r="B47" t="s">
        <v>235</v>
      </c>
      <c r="C47" t="s">
        <v>236</v>
      </c>
      <c r="D47" t="s">
        <v>539</v>
      </c>
      <c r="E47" t="s">
        <v>237</v>
      </c>
      <c r="F47" t="s">
        <v>227</v>
      </c>
      <c r="G47" t="s">
        <v>227</v>
      </c>
      <c r="H47" t="s">
        <v>227</v>
      </c>
      <c r="I47" t="s">
        <v>40</v>
      </c>
      <c r="J47" s="7">
        <v>68900</v>
      </c>
      <c r="K47" s="7" t="s">
        <v>32</v>
      </c>
      <c r="L47" t="s">
        <v>540</v>
      </c>
      <c r="M47" t="s">
        <v>34</v>
      </c>
      <c r="N47" t="s">
        <v>35</v>
      </c>
      <c r="O47" t="s">
        <v>238</v>
      </c>
      <c r="P47" t="s">
        <v>60</v>
      </c>
      <c r="Q47" t="s">
        <v>541</v>
      </c>
      <c r="R4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47" s="12">
        <f>+DATE(YEAR(Control[[#This Row],[Fecha Requisición]]),MONTH(Control[[#This Row],[Fecha Requisición]]),1)</f>
        <v>46174</v>
      </c>
      <c r="T47" s="32"/>
      <c r="U47" s="32"/>
      <c r="V47" s="40" t="str">
        <f>+IF(Control[[#This Row],[Fecha de entrega]]="","",NETWORKDAYS(Control[[#This Row],[Fecha Requisición]],Control[[#This Row],[Fecha de entrega]]))</f>
        <v/>
      </c>
      <c r="X47" s="38">
        <f>+_xlfn.ISOWEEKNUM(Control[[#This Row],[Fecha Requisición]])</f>
        <v>24</v>
      </c>
    </row>
    <row r="48" spans="1:24" x14ac:dyDescent="0.3">
      <c r="A48" t="s">
        <v>239</v>
      </c>
      <c r="B48" t="s">
        <v>240</v>
      </c>
      <c r="C48" t="s">
        <v>241</v>
      </c>
      <c r="D48" t="s">
        <v>542</v>
      </c>
      <c r="E48" t="s">
        <v>242</v>
      </c>
      <c r="F48" t="s">
        <v>243</v>
      </c>
      <c r="G48" t="s">
        <v>243</v>
      </c>
      <c r="H48" t="s">
        <v>243</v>
      </c>
      <c r="I48" t="s">
        <v>31</v>
      </c>
      <c r="J48" s="7">
        <v>232348</v>
      </c>
      <c r="K48" s="7" t="s">
        <v>32</v>
      </c>
      <c r="L48" t="s">
        <v>33</v>
      </c>
      <c r="M48" t="s">
        <v>228</v>
      </c>
      <c r="N48" t="s">
        <v>35</v>
      </c>
      <c r="O48" t="s">
        <v>76</v>
      </c>
      <c r="P48" t="s">
        <v>37</v>
      </c>
      <c r="Q48" t="s">
        <v>543</v>
      </c>
      <c r="R4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8" s="12">
        <f>+DATE(YEAR(Control[[#This Row],[Fecha Requisición]]),MONTH(Control[[#This Row],[Fecha Requisición]]),1)</f>
        <v>46174</v>
      </c>
      <c r="T48" s="32"/>
      <c r="U48" s="32">
        <v>46203</v>
      </c>
      <c r="V48" s="40">
        <f>+IF(Control[[#This Row],[Fecha de entrega]]="","",NETWORKDAYS(Control[[#This Row],[Fecha Requisición]],Control[[#This Row],[Fecha de entrega]]))</f>
        <v>14</v>
      </c>
      <c r="X48" s="38">
        <f>+_xlfn.ISOWEEKNUM(Control[[#This Row],[Fecha Requisición]])</f>
        <v>24</v>
      </c>
    </row>
    <row r="49" spans="1:24" x14ac:dyDescent="0.3">
      <c r="A49" t="s">
        <v>512</v>
      </c>
      <c r="B49" t="s">
        <v>513</v>
      </c>
      <c r="C49" t="s">
        <v>513</v>
      </c>
      <c r="D49" t="s">
        <v>505</v>
      </c>
      <c r="E49" t="s">
        <v>514</v>
      </c>
      <c r="F49" t="s">
        <v>515</v>
      </c>
      <c r="G49" t="s">
        <v>515</v>
      </c>
      <c r="H49" t="s">
        <v>515</v>
      </c>
      <c r="I49" t="s">
        <v>40</v>
      </c>
      <c r="J49" s="7">
        <v>336502</v>
      </c>
      <c r="K49" s="7" t="s">
        <v>56</v>
      </c>
      <c r="L49" t="s">
        <v>516</v>
      </c>
      <c r="M49" t="s">
        <v>201</v>
      </c>
      <c r="O49" t="s">
        <v>59</v>
      </c>
      <c r="P49" t="s">
        <v>37</v>
      </c>
      <c r="Q49" t="s">
        <v>517</v>
      </c>
      <c r="R4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9" s="12">
        <f>+DATE(YEAR(Control[[#This Row],[Fecha Requisición]]),MONTH(Control[[#This Row],[Fecha Requisición]]),1)</f>
        <v>46174</v>
      </c>
      <c r="T49" s="35">
        <v>46198</v>
      </c>
      <c r="U49" s="35">
        <v>46206</v>
      </c>
      <c r="V49" s="40">
        <f>+IF(Control[[#This Row],[Fecha de entrega]]="","",NETWORKDAYS(Control[[#This Row],[Fecha Requisición]],Control[[#This Row],[Fecha de entrega]]))</f>
        <v>14</v>
      </c>
      <c r="X49" s="38">
        <f>+_xlfn.ISOWEEKNUM(Control[[#This Row],[Fecha Requisición]])</f>
        <v>25</v>
      </c>
    </row>
    <row r="50" spans="1:24" x14ac:dyDescent="0.3">
      <c r="A50" t="s">
        <v>518</v>
      </c>
      <c r="B50" t="s">
        <v>519</v>
      </c>
      <c r="C50" t="s">
        <v>520</v>
      </c>
      <c r="D50" t="s">
        <v>509</v>
      </c>
      <c r="E50" t="s">
        <v>521</v>
      </c>
      <c r="F50" t="s">
        <v>522</v>
      </c>
      <c r="G50" t="s">
        <v>522</v>
      </c>
      <c r="H50" t="s">
        <v>522</v>
      </c>
      <c r="I50" t="s">
        <v>31</v>
      </c>
      <c r="J50" s="7">
        <v>48552</v>
      </c>
      <c r="K50" s="7" t="s">
        <v>56</v>
      </c>
      <c r="L50" t="s">
        <v>33</v>
      </c>
      <c r="M50" t="s">
        <v>523</v>
      </c>
      <c r="N50" t="s">
        <v>87</v>
      </c>
      <c r="O50" t="s">
        <v>59</v>
      </c>
      <c r="P50" t="s">
        <v>60</v>
      </c>
      <c r="Q50" t="s">
        <v>524</v>
      </c>
      <c r="R5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0" s="12">
        <f>+DATE(YEAR(Control[[#This Row],[Fecha Requisición]]),MONTH(Control[[#This Row],[Fecha Requisición]]),1)</f>
        <v>46174</v>
      </c>
      <c r="T50" s="32">
        <v>46175</v>
      </c>
      <c r="U50" s="32">
        <v>46177</v>
      </c>
      <c r="V50" s="40">
        <f>+IF(Control[[#This Row],[Fecha de entrega]]="","",NETWORKDAYS(Control[[#This Row],[Fecha Requisición]],Control[[#This Row],[Fecha de entrega]]))</f>
        <v>-11</v>
      </c>
      <c r="X50" s="38">
        <f>+_xlfn.ISOWEEKNUM(Control[[#This Row],[Fecha Requisición]])</f>
        <v>25</v>
      </c>
    </row>
    <row r="51" spans="1:24" x14ac:dyDescent="0.3">
      <c r="A51" t="s">
        <v>544</v>
      </c>
      <c r="B51" t="s">
        <v>545</v>
      </c>
      <c r="C51" t="s">
        <v>546</v>
      </c>
      <c r="D51" t="s">
        <v>590</v>
      </c>
      <c r="E51" t="s">
        <v>547</v>
      </c>
      <c r="F51" t="s">
        <v>548</v>
      </c>
      <c r="G51" t="s">
        <v>548</v>
      </c>
      <c r="H51" t="s">
        <v>548</v>
      </c>
      <c r="I51" t="s">
        <v>31</v>
      </c>
      <c r="J51" s="7">
        <v>243450</v>
      </c>
      <c r="K51" s="7" t="s">
        <v>32</v>
      </c>
      <c r="L51" t="s">
        <v>164</v>
      </c>
      <c r="M51" t="s">
        <v>549</v>
      </c>
      <c r="N51" t="s">
        <v>35</v>
      </c>
      <c r="O51" t="s">
        <v>238</v>
      </c>
      <c r="P51" t="s">
        <v>37</v>
      </c>
      <c r="Q51" t="s">
        <v>591</v>
      </c>
      <c r="R5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1" s="12">
        <f>+DATE(YEAR(Control[[#This Row],[Fecha Requisición]]),MONTH(Control[[#This Row],[Fecha Requisición]]),1)</f>
        <v>46174</v>
      </c>
      <c r="T51" s="32">
        <v>46185</v>
      </c>
      <c r="U51" s="32">
        <v>46189</v>
      </c>
      <c r="V51" s="40">
        <f>+IF(Control[[#This Row],[Fecha de entrega]]="","",NETWORKDAYS(Control[[#This Row],[Fecha Requisición]],Control[[#This Row],[Fecha de entrega]]))</f>
        <v>-2</v>
      </c>
      <c r="X51" s="38">
        <f>+_xlfn.ISOWEEKNUM(Control[[#This Row],[Fecha Requisición]])</f>
        <v>25</v>
      </c>
    </row>
    <row r="52" spans="1:24" x14ac:dyDescent="0.3">
      <c r="A52" t="s">
        <v>550</v>
      </c>
      <c r="B52" t="s">
        <v>551</v>
      </c>
      <c r="C52" t="s">
        <v>552</v>
      </c>
      <c r="D52" t="s">
        <v>592</v>
      </c>
      <c r="E52" t="s">
        <v>553</v>
      </c>
      <c r="F52" t="s">
        <v>554</v>
      </c>
      <c r="G52" t="s">
        <v>554</v>
      </c>
      <c r="H52" t="s">
        <v>554</v>
      </c>
      <c r="I52" t="s">
        <v>40</v>
      </c>
      <c r="J52" s="7">
        <v>335894</v>
      </c>
      <c r="K52" s="7" t="s">
        <v>32</v>
      </c>
      <c r="L52" t="s">
        <v>122</v>
      </c>
      <c r="M52" t="s">
        <v>254</v>
      </c>
      <c r="N52" t="s">
        <v>102</v>
      </c>
      <c r="O52" t="s">
        <v>125</v>
      </c>
      <c r="P52" t="s">
        <v>37</v>
      </c>
      <c r="Q52" t="s">
        <v>593</v>
      </c>
      <c r="R5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2" s="12">
        <f>+DATE(YEAR(Control[[#This Row],[Fecha Requisición]]),MONTH(Control[[#This Row],[Fecha Requisición]]),1)</f>
        <v>46174</v>
      </c>
      <c r="T52" s="32">
        <v>46205</v>
      </c>
      <c r="U52" s="32">
        <v>46209</v>
      </c>
      <c r="V52" s="40">
        <f>+IF(Control[[#This Row],[Fecha de entrega]]="","",NETWORKDAYS(Control[[#This Row],[Fecha Requisición]],Control[[#This Row],[Fecha de entrega]]))</f>
        <v>12</v>
      </c>
      <c r="X52" s="38">
        <f>+_xlfn.ISOWEEKNUM(Control[[#This Row],[Fecha Requisición]])</f>
        <v>25</v>
      </c>
    </row>
    <row r="53" spans="1:24" x14ac:dyDescent="0.3">
      <c r="A53" t="s">
        <v>550</v>
      </c>
      <c r="B53" t="s">
        <v>551</v>
      </c>
      <c r="C53" t="s">
        <v>552</v>
      </c>
      <c r="D53" t="s">
        <v>594</v>
      </c>
      <c r="E53" t="s">
        <v>553</v>
      </c>
      <c r="F53" t="s">
        <v>554</v>
      </c>
      <c r="G53" t="s">
        <v>554</v>
      </c>
      <c r="H53" t="s">
        <v>554</v>
      </c>
      <c r="I53" t="s">
        <v>31</v>
      </c>
      <c r="J53" s="7">
        <v>3287381</v>
      </c>
      <c r="K53" s="7" t="s">
        <v>32</v>
      </c>
      <c r="L53" t="s">
        <v>212</v>
      </c>
      <c r="M53" t="s">
        <v>254</v>
      </c>
      <c r="N53" t="s">
        <v>102</v>
      </c>
      <c r="O53" t="s">
        <v>125</v>
      </c>
      <c r="P53" t="s">
        <v>37</v>
      </c>
      <c r="Q53" t="s">
        <v>595</v>
      </c>
      <c r="R5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3" s="12">
        <f>+DATE(YEAR(Control[[#This Row],[Fecha Requisición]]),MONTH(Control[[#This Row],[Fecha Requisición]]),1)</f>
        <v>46174</v>
      </c>
      <c r="T53" s="35">
        <v>46205</v>
      </c>
      <c r="U53" s="35"/>
      <c r="V53" s="40" t="str">
        <f>+IF(Control[[#This Row],[Fecha de entrega]]="","",NETWORKDAYS(Control[[#This Row],[Fecha Requisición]],Control[[#This Row],[Fecha de entrega]]))</f>
        <v/>
      </c>
      <c r="X53" s="38">
        <f>+_xlfn.ISOWEEKNUM(Control[[#This Row],[Fecha Requisición]])</f>
        <v>25</v>
      </c>
    </row>
    <row r="54" spans="1:24" x14ac:dyDescent="0.3">
      <c r="A54" t="s">
        <v>550</v>
      </c>
      <c r="B54" t="s">
        <v>551</v>
      </c>
      <c r="C54" t="s">
        <v>552</v>
      </c>
      <c r="D54" t="s">
        <v>596</v>
      </c>
      <c r="E54" t="s">
        <v>553</v>
      </c>
      <c r="F54" t="s">
        <v>554</v>
      </c>
      <c r="G54" t="s">
        <v>554</v>
      </c>
      <c r="H54" t="s">
        <v>554</v>
      </c>
      <c r="I54" t="s">
        <v>40</v>
      </c>
      <c r="J54" s="7">
        <v>238455</v>
      </c>
      <c r="K54" s="7" t="s">
        <v>32</v>
      </c>
      <c r="L54" t="s">
        <v>149</v>
      </c>
      <c r="M54" t="s">
        <v>254</v>
      </c>
      <c r="N54" t="s">
        <v>102</v>
      </c>
      <c r="O54" t="s">
        <v>125</v>
      </c>
      <c r="P54" t="s">
        <v>37</v>
      </c>
      <c r="Q54" t="s">
        <v>597</v>
      </c>
      <c r="R5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4" s="12">
        <f>+DATE(YEAR(Control[[#This Row],[Fecha Requisición]]),MONTH(Control[[#This Row],[Fecha Requisición]]),1)</f>
        <v>46174</v>
      </c>
      <c r="T54" s="32">
        <v>46209</v>
      </c>
      <c r="U54" s="32"/>
      <c r="V54" s="40" t="str">
        <f>+IF(Control[[#This Row],[Fecha de entrega]]="","",NETWORKDAYS(Control[[#This Row],[Fecha Requisición]],Control[[#This Row],[Fecha de entrega]]))</f>
        <v/>
      </c>
      <c r="X54" s="38">
        <f>+_xlfn.ISOWEEKNUM(Control[[#This Row],[Fecha Requisición]])</f>
        <v>25</v>
      </c>
    </row>
    <row r="55" spans="1:24" x14ac:dyDescent="0.3">
      <c r="A55" t="s">
        <v>550</v>
      </c>
      <c r="B55" t="s">
        <v>551</v>
      </c>
      <c r="C55" t="s">
        <v>552</v>
      </c>
      <c r="D55" t="s">
        <v>598</v>
      </c>
      <c r="E55" t="s">
        <v>553</v>
      </c>
      <c r="F55" t="s">
        <v>554</v>
      </c>
      <c r="G55" t="s">
        <v>554</v>
      </c>
      <c r="H55" t="s">
        <v>554</v>
      </c>
      <c r="I55" t="s">
        <v>40</v>
      </c>
      <c r="J55" s="7">
        <v>127330</v>
      </c>
      <c r="K55" s="7" t="s">
        <v>32</v>
      </c>
      <c r="L55" t="s">
        <v>41</v>
      </c>
      <c r="M55" t="s">
        <v>254</v>
      </c>
      <c r="N55" t="s">
        <v>102</v>
      </c>
      <c r="O55" t="s">
        <v>125</v>
      </c>
      <c r="P55" t="s">
        <v>37</v>
      </c>
      <c r="Q55" t="s">
        <v>599</v>
      </c>
      <c r="R5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5" s="12">
        <f>+DATE(YEAR(Control[[#This Row],[Fecha Requisición]]),MONTH(Control[[#This Row],[Fecha Requisición]]),1)</f>
        <v>46174</v>
      </c>
      <c r="T55" s="35">
        <v>46209</v>
      </c>
      <c r="U55" s="35"/>
      <c r="V55" s="40" t="str">
        <f>+IF(Control[[#This Row],[Fecha de entrega]]="","",NETWORKDAYS(Control[[#This Row],[Fecha Requisición]],Control[[#This Row],[Fecha de entrega]]))</f>
        <v/>
      </c>
      <c r="X55" s="38">
        <f>+_xlfn.ISOWEEKNUM(Control[[#This Row],[Fecha Requisición]])</f>
        <v>25</v>
      </c>
    </row>
    <row r="56" spans="1:24" x14ac:dyDescent="0.3">
      <c r="A56" t="s">
        <v>550</v>
      </c>
      <c r="B56" t="s">
        <v>551</v>
      </c>
      <c r="C56" t="s">
        <v>552</v>
      </c>
      <c r="D56" t="s">
        <v>600</v>
      </c>
      <c r="E56" t="s">
        <v>553</v>
      </c>
      <c r="F56" t="s">
        <v>554</v>
      </c>
      <c r="G56" t="s">
        <v>554</v>
      </c>
      <c r="H56" t="s">
        <v>554</v>
      </c>
      <c r="I56" t="s">
        <v>40</v>
      </c>
      <c r="J56" s="7">
        <v>186807</v>
      </c>
      <c r="K56" s="7" t="s">
        <v>32</v>
      </c>
      <c r="L56" t="s">
        <v>540</v>
      </c>
      <c r="M56" t="s">
        <v>254</v>
      </c>
      <c r="N56" t="s">
        <v>102</v>
      </c>
      <c r="O56" t="s">
        <v>125</v>
      </c>
      <c r="P56" t="s">
        <v>37</v>
      </c>
      <c r="Q56" t="s">
        <v>601</v>
      </c>
      <c r="R5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6" s="12">
        <f>+DATE(YEAR(Control[[#This Row],[Fecha Requisición]]),MONTH(Control[[#This Row],[Fecha Requisición]]),1)</f>
        <v>46174</v>
      </c>
      <c r="T56" s="32">
        <v>46209</v>
      </c>
      <c r="U56" s="32"/>
      <c r="V56" s="40" t="str">
        <f>+IF(Control[[#This Row],[Fecha de entrega]]="","",NETWORKDAYS(Control[[#This Row],[Fecha Requisición]],Control[[#This Row],[Fecha de entrega]]))</f>
        <v/>
      </c>
      <c r="X56" s="38">
        <f>+_xlfn.ISOWEEKNUM(Control[[#This Row],[Fecha Requisición]])</f>
        <v>25</v>
      </c>
    </row>
    <row r="57" spans="1:24" x14ac:dyDescent="0.3">
      <c r="A57" t="s">
        <v>555</v>
      </c>
      <c r="B57" t="s">
        <v>556</v>
      </c>
      <c r="C57" t="s">
        <v>556</v>
      </c>
      <c r="D57" t="s">
        <v>557</v>
      </c>
      <c r="E57" t="s">
        <v>558</v>
      </c>
      <c r="F57" t="s">
        <v>559</v>
      </c>
      <c r="G57" t="s">
        <v>559</v>
      </c>
      <c r="H57" t="s">
        <v>559</v>
      </c>
      <c r="I57" t="s">
        <v>31</v>
      </c>
      <c r="J57" s="7">
        <v>102295</v>
      </c>
      <c r="K57" s="7" t="s">
        <v>56</v>
      </c>
      <c r="L57" t="s">
        <v>172</v>
      </c>
      <c r="M57" t="s">
        <v>94</v>
      </c>
      <c r="N57" t="s">
        <v>102</v>
      </c>
      <c r="O57" t="s">
        <v>59</v>
      </c>
      <c r="P57" t="s">
        <v>95</v>
      </c>
      <c r="Q57" t="s">
        <v>560</v>
      </c>
      <c r="R5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7" s="12">
        <f>+DATE(YEAR(Control[[#This Row],[Fecha Requisición]]),MONTH(Control[[#This Row],[Fecha Requisición]]),1)</f>
        <v>46174</v>
      </c>
      <c r="T57" s="35"/>
      <c r="U57" s="35">
        <v>46211</v>
      </c>
      <c r="V57" s="40">
        <f>+IF(Control[[#This Row],[Fecha de entrega]]="","",NETWORKDAYS(Control[[#This Row],[Fecha Requisición]],Control[[#This Row],[Fecha de entrega]]))</f>
        <v>13</v>
      </c>
      <c r="X57" s="38">
        <f>+_xlfn.ISOWEEKNUM(Control[[#This Row],[Fecha Requisición]])</f>
        <v>26</v>
      </c>
    </row>
    <row r="58" spans="1:24" x14ac:dyDescent="0.3">
      <c r="A58" t="s">
        <v>561</v>
      </c>
      <c r="B58" t="s">
        <v>562</v>
      </c>
      <c r="C58" t="s">
        <v>609</v>
      </c>
      <c r="E58" t="s">
        <v>563</v>
      </c>
      <c r="F58" t="s">
        <v>559</v>
      </c>
      <c r="G58" t="s">
        <v>559</v>
      </c>
      <c r="J58" s="7"/>
      <c r="K58" s="7" t="s">
        <v>56</v>
      </c>
      <c r="M58" t="s">
        <v>94</v>
      </c>
      <c r="N58" t="s">
        <v>58</v>
      </c>
      <c r="O58" t="s">
        <v>59</v>
      </c>
      <c r="P58" t="s">
        <v>95</v>
      </c>
      <c r="R5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8" s="12">
        <f>+DATE(YEAR(Control[[#This Row],[Fecha Requisición]]),MONTH(Control[[#This Row],[Fecha Requisición]]),1)</f>
        <v>46174</v>
      </c>
      <c r="T58" s="32"/>
      <c r="U58" s="32">
        <v>46211</v>
      </c>
      <c r="V58" s="40">
        <f>+IF(Control[[#This Row],[Fecha de entrega]]="","",NETWORKDAYS(Control[[#This Row],[Fecha Requisición]],Control[[#This Row],[Fecha de entrega]]))</f>
        <v>13</v>
      </c>
      <c r="X58" s="38">
        <f>+_xlfn.ISOWEEKNUM(Control[[#This Row],[Fecha Requisición]])</f>
        <v>26</v>
      </c>
    </row>
    <row r="59" spans="1:24" x14ac:dyDescent="0.3">
      <c r="A59" t="s">
        <v>610</v>
      </c>
      <c r="B59" t="s">
        <v>611</v>
      </c>
      <c r="C59" t="s">
        <v>612</v>
      </c>
      <c r="E59" t="s">
        <v>613</v>
      </c>
      <c r="F59" t="s">
        <v>614</v>
      </c>
      <c r="G59" t="s">
        <v>614</v>
      </c>
      <c r="J59" s="7"/>
      <c r="K59" s="7" t="s">
        <v>56</v>
      </c>
      <c r="M59" t="s">
        <v>94</v>
      </c>
      <c r="N59" t="s">
        <v>58</v>
      </c>
      <c r="O59" t="s">
        <v>59</v>
      </c>
      <c r="P59" t="s">
        <v>95</v>
      </c>
      <c r="R5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9" s="12">
        <f>+DATE(YEAR(Control[[#This Row],[Fecha Requisición]]),MONTH(Control[[#This Row],[Fecha Requisición]]),1)</f>
        <v>46174</v>
      </c>
      <c r="T59" s="35"/>
      <c r="U59" s="35">
        <v>46209</v>
      </c>
      <c r="V59" s="40">
        <f>+IF(Control[[#This Row],[Fecha de entrega]]="","",NETWORKDAYS(Control[[#This Row],[Fecha Requisición]],Control[[#This Row],[Fecha de entrega]]))</f>
        <v>5</v>
      </c>
      <c r="X59" s="38">
        <f>+_xlfn.ISOWEEKNUM(Control[[#This Row],[Fecha Requisición]])</f>
        <v>27</v>
      </c>
    </row>
    <row r="60" spans="1:24" x14ac:dyDescent="0.3">
      <c r="A60" t="s">
        <v>615</v>
      </c>
      <c r="B60" t="s">
        <v>616</v>
      </c>
      <c r="C60" t="s">
        <v>617</v>
      </c>
      <c r="E60" t="s">
        <v>618</v>
      </c>
      <c r="F60" t="s">
        <v>614</v>
      </c>
      <c r="G60" t="s">
        <v>614</v>
      </c>
      <c r="J60" s="7"/>
      <c r="K60" s="7" t="s">
        <v>56</v>
      </c>
      <c r="M60" t="s">
        <v>94</v>
      </c>
      <c r="N60" t="s">
        <v>102</v>
      </c>
      <c r="O60" t="s">
        <v>59</v>
      </c>
      <c r="P60" t="s">
        <v>95</v>
      </c>
      <c r="R6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0" s="12">
        <f>+DATE(YEAR(Control[[#This Row],[Fecha Requisición]]),MONTH(Control[[#This Row],[Fecha Requisición]]),1)</f>
        <v>46174</v>
      </c>
      <c r="T60" s="32"/>
      <c r="U60" s="32">
        <v>46209</v>
      </c>
      <c r="V60" s="40">
        <f>+IF(Control[[#This Row],[Fecha de entrega]]="","",NETWORKDAYS(Control[[#This Row],[Fecha Requisición]],Control[[#This Row],[Fecha de entrega]]))</f>
        <v>5</v>
      </c>
      <c r="X60" s="38">
        <f>+_xlfn.ISOWEEKNUM(Control[[#This Row],[Fecha Requisición]])</f>
        <v>27</v>
      </c>
    </row>
    <row r="61" spans="1:24" x14ac:dyDescent="0.3">
      <c r="A61" t="s">
        <v>602</v>
      </c>
      <c r="B61" t="s">
        <v>603</v>
      </c>
      <c r="C61" t="s">
        <v>604</v>
      </c>
      <c r="D61" t="s">
        <v>605</v>
      </c>
      <c r="E61" t="s">
        <v>606</v>
      </c>
      <c r="F61" t="s">
        <v>607</v>
      </c>
      <c r="G61" t="s">
        <v>607</v>
      </c>
      <c r="H61" t="s">
        <v>607</v>
      </c>
      <c r="I61" t="s">
        <v>31</v>
      </c>
      <c r="J61" s="7">
        <v>398948</v>
      </c>
      <c r="K61" s="7" t="s">
        <v>32</v>
      </c>
      <c r="L61" t="s">
        <v>212</v>
      </c>
      <c r="M61" t="s">
        <v>254</v>
      </c>
      <c r="N61" t="s">
        <v>102</v>
      </c>
      <c r="O61" t="s">
        <v>125</v>
      </c>
      <c r="P61" t="s">
        <v>37</v>
      </c>
      <c r="Q61" t="s">
        <v>608</v>
      </c>
      <c r="R6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1" s="12">
        <f>+DATE(YEAR(Control[[#This Row],[Fecha Requisición]]),MONTH(Control[[#This Row],[Fecha Requisición]]),1)</f>
        <v>46174</v>
      </c>
      <c r="T61" s="35"/>
      <c r="U61" s="35">
        <v>46211</v>
      </c>
      <c r="V61" s="40">
        <f>+IF(Control[[#This Row],[Fecha de entrega]]="","",NETWORKDAYS(Control[[#This Row],[Fecha Requisición]],Control[[#This Row],[Fecha de entrega]]))</f>
        <v>9</v>
      </c>
      <c r="X61" s="38">
        <f>+_xlfn.ISOWEEKNUM(Control[[#This Row],[Fecha Requisición]])</f>
        <v>26</v>
      </c>
    </row>
    <row r="62" spans="1:24" x14ac:dyDescent="0.3">
      <c r="A62" t="s">
        <v>619</v>
      </c>
      <c r="B62" t="s">
        <v>620</v>
      </c>
      <c r="E62" t="s">
        <v>621</v>
      </c>
      <c r="F62" t="s">
        <v>614</v>
      </c>
      <c r="J62" s="7"/>
      <c r="K62" s="7" t="s">
        <v>32</v>
      </c>
      <c r="M62" t="s">
        <v>228</v>
      </c>
      <c r="N62" t="s">
        <v>35</v>
      </c>
      <c r="O62" t="s">
        <v>76</v>
      </c>
      <c r="P62" t="s">
        <v>95</v>
      </c>
      <c r="R6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2" s="12">
        <f>+DATE(YEAR(Control[[#This Row],[Fecha Requisición]]),MONTH(Control[[#This Row],[Fecha Requisición]]),1)</f>
        <v>46174</v>
      </c>
      <c r="T62" s="32"/>
      <c r="U62" s="32"/>
      <c r="V62" s="40" t="str">
        <f>+IF(Control[[#This Row],[Fecha de entrega]]="","",NETWORKDAYS(Control[[#This Row],[Fecha Requisición]],Control[[#This Row],[Fecha de entrega]]))</f>
        <v/>
      </c>
      <c r="X62" s="38">
        <f>+_xlfn.ISOWEEKNUM(Control[[#This Row],[Fecha Requisición]])</f>
        <v>27</v>
      </c>
    </row>
    <row r="63" spans="1:24" x14ac:dyDescent="0.3">
      <c r="A63" t="s">
        <v>622</v>
      </c>
      <c r="B63" t="s">
        <v>623</v>
      </c>
      <c r="C63" t="s">
        <v>624</v>
      </c>
      <c r="E63" t="s">
        <v>625</v>
      </c>
      <c r="F63" t="s">
        <v>626</v>
      </c>
      <c r="G63" t="s">
        <v>626</v>
      </c>
      <c r="J63" s="7"/>
      <c r="K63" s="7" t="s">
        <v>56</v>
      </c>
      <c r="M63" t="s">
        <v>627</v>
      </c>
      <c r="N63" t="s">
        <v>102</v>
      </c>
      <c r="O63" t="s">
        <v>59</v>
      </c>
      <c r="P63" t="s">
        <v>37</v>
      </c>
      <c r="R6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3" s="12">
        <f>+DATE(YEAR(Control[[#This Row],[Fecha Requisición]]),MONTH(Control[[#This Row],[Fecha Requisición]]),1)</f>
        <v>46204</v>
      </c>
      <c r="T63" s="35"/>
      <c r="U63" s="35"/>
      <c r="V63" s="40" t="str">
        <f>+IF(Control[[#This Row],[Fecha de entrega]]="","",NETWORKDAYS(Control[[#This Row],[Fecha Requisición]],Control[[#This Row],[Fecha de entrega]]))</f>
        <v/>
      </c>
      <c r="X63" s="38">
        <f>+_xlfn.ISOWEEKNUM(Control[[#This Row],[Fecha Requisición]])</f>
        <v>27</v>
      </c>
    </row>
    <row r="64" spans="1:24" x14ac:dyDescent="0.3">
      <c r="A64" t="s">
        <v>628</v>
      </c>
      <c r="B64" t="s">
        <v>629</v>
      </c>
      <c r="E64" t="s">
        <v>630</v>
      </c>
      <c r="F64" t="s">
        <v>614</v>
      </c>
      <c r="J64" s="7"/>
      <c r="K64" s="7" t="s">
        <v>32</v>
      </c>
      <c r="M64" t="s">
        <v>631</v>
      </c>
      <c r="N64" t="s">
        <v>124</v>
      </c>
      <c r="O64" t="s">
        <v>125</v>
      </c>
      <c r="P64" t="s">
        <v>37</v>
      </c>
      <c r="R6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4" s="12">
        <f>+DATE(YEAR(Control[[#This Row],[Fecha Requisición]]),MONTH(Control[[#This Row],[Fecha Requisición]]),1)</f>
        <v>46174</v>
      </c>
      <c r="T64" s="32"/>
      <c r="U64" s="32"/>
      <c r="V64" s="40" t="str">
        <f>+IF(Control[[#This Row],[Fecha de entrega]]="","",NETWORKDAYS(Control[[#This Row],[Fecha Requisición]],Control[[#This Row],[Fecha de entrega]]))</f>
        <v/>
      </c>
      <c r="X64" s="38">
        <f>+_xlfn.ISOWEEKNUM(Control[[#This Row],[Fecha Requisición]])</f>
        <v>27</v>
      </c>
    </row>
    <row r="65" spans="1:24" x14ac:dyDescent="0.3">
      <c r="A65" t="s">
        <v>632</v>
      </c>
      <c r="B65" t="s">
        <v>633</v>
      </c>
      <c r="C65" t="s">
        <v>634</v>
      </c>
      <c r="E65" t="s">
        <v>635</v>
      </c>
      <c r="F65" t="s">
        <v>636</v>
      </c>
      <c r="G65" t="s">
        <v>636</v>
      </c>
      <c r="J65" s="7"/>
      <c r="K65" s="7" t="s">
        <v>32</v>
      </c>
      <c r="M65" t="s">
        <v>549</v>
      </c>
      <c r="N65" t="s">
        <v>35</v>
      </c>
      <c r="O65" t="s">
        <v>238</v>
      </c>
      <c r="P65" t="s">
        <v>37</v>
      </c>
      <c r="R6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5" s="12">
        <f>+DATE(YEAR(Control[[#This Row],[Fecha Requisición]]),MONTH(Control[[#This Row],[Fecha Requisición]]),1)</f>
        <v>46204</v>
      </c>
      <c r="T65" s="35">
        <v>46185</v>
      </c>
      <c r="U65" s="35">
        <v>46190</v>
      </c>
      <c r="V65" s="40">
        <f>+IF(Control[[#This Row],[Fecha de entrega]]="","",NETWORKDAYS(Control[[#This Row],[Fecha Requisición]],Control[[#This Row],[Fecha de entrega]]))</f>
        <v>-12</v>
      </c>
      <c r="X65" s="38">
        <f>+_xlfn.ISOWEEKNUM(Control[[#This Row],[Fecha Requisición]])</f>
        <v>27</v>
      </c>
    </row>
    <row r="66" spans="1:24" x14ac:dyDescent="0.3">
      <c r="A66" t="s">
        <v>649</v>
      </c>
      <c r="B66" t="s">
        <v>650</v>
      </c>
      <c r="E66" t="s">
        <v>651</v>
      </c>
      <c r="F66" t="s">
        <v>636</v>
      </c>
      <c r="J66" s="7"/>
      <c r="K66" s="7" t="s">
        <v>32</v>
      </c>
      <c r="M66" t="s">
        <v>652</v>
      </c>
      <c r="N66" t="s">
        <v>174</v>
      </c>
      <c r="O66" t="s">
        <v>125</v>
      </c>
      <c r="P66" t="s">
        <v>37</v>
      </c>
      <c r="R6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6" s="12">
        <f>+DATE(YEAR(Control[[#This Row],[Fecha Requisición]]),MONTH(Control[[#This Row],[Fecha Requisición]]),1)</f>
        <v>46204</v>
      </c>
      <c r="T66" s="2"/>
      <c r="U66" s="2"/>
      <c r="V66" s="40" t="str">
        <f>+IF(Control[[#This Row],[Fecha de entrega]]="","",NETWORKDAYS(Control[[#This Row],[Fecha Requisición]],Control[[#This Row],[Fecha de entrega]]))</f>
        <v/>
      </c>
      <c r="X66" s="38">
        <f>+_xlfn.ISOWEEKNUM(Control[[#This Row],[Fecha Requisición]])</f>
        <v>27</v>
      </c>
    </row>
    <row r="67" spans="1:24" x14ac:dyDescent="0.3">
      <c r="A67" t="s">
        <v>653</v>
      </c>
      <c r="B67" t="s">
        <v>654</v>
      </c>
      <c r="E67" t="s">
        <v>655</v>
      </c>
      <c r="F67" t="s">
        <v>656</v>
      </c>
      <c r="J67" s="7"/>
      <c r="K67" s="7" t="s">
        <v>56</v>
      </c>
      <c r="M67" t="s">
        <v>201</v>
      </c>
      <c r="O67" t="s">
        <v>59</v>
      </c>
      <c r="P67" t="s">
        <v>60</v>
      </c>
      <c r="R6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7" s="12">
        <f>+DATE(YEAR(Control[[#This Row],[Fecha Requisición]]),MONTH(Control[[#This Row],[Fecha Requisición]]),1)</f>
        <v>46204</v>
      </c>
      <c r="T67" s="2"/>
      <c r="U67" s="2"/>
      <c r="V67" s="40" t="str">
        <f>+IF(Control[[#This Row],[Fecha de entrega]]="","",NETWORKDAYS(Control[[#This Row],[Fecha Requisición]],Control[[#This Row],[Fecha de entrega]]))</f>
        <v/>
      </c>
      <c r="X67" s="38">
        <f>+_xlfn.ISOWEEKNUM(Control[[#This Row],[Fecha Requisición]])</f>
        <v>27</v>
      </c>
    </row>
    <row r="68" spans="1:24" x14ac:dyDescent="0.3">
      <c r="A68" t="s">
        <v>657</v>
      </c>
      <c r="B68" t="s">
        <v>658</v>
      </c>
      <c r="E68" t="s">
        <v>659</v>
      </c>
      <c r="F68" t="s">
        <v>656</v>
      </c>
      <c r="J68" s="7"/>
      <c r="K68" s="7" t="s">
        <v>56</v>
      </c>
      <c r="M68" t="s">
        <v>201</v>
      </c>
      <c r="O68" t="s">
        <v>59</v>
      </c>
      <c r="P68" t="s">
        <v>60</v>
      </c>
      <c r="R6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8" s="12">
        <f>+DATE(YEAR(Control[[#This Row],[Fecha Requisición]]),MONTH(Control[[#This Row],[Fecha Requisición]]),1)</f>
        <v>46204</v>
      </c>
      <c r="T68" s="2"/>
      <c r="U68" s="2"/>
      <c r="V68" s="40" t="str">
        <f>+IF(Control[[#This Row],[Fecha de entrega]]="","",NETWORKDAYS(Control[[#This Row],[Fecha Requisición]],Control[[#This Row],[Fecha de entrega]]))</f>
        <v/>
      </c>
      <c r="X68" s="38">
        <f>+_xlfn.ISOWEEKNUM(Control[[#This Row],[Fecha Requisición]])</f>
        <v>27</v>
      </c>
    </row>
    <row r="69" spans="1:24" x14ac:dyDescent="0.3">
      <c r="A69" t="s">
        <v>660</v>
      </c>
      <c r="B69" t="s">
        <v>661</v>
      </c>
      <c r="E69" t="s">
        <v>662</v>
      </c>
      <c r="F69" t="s">
        <v>663</v>
      </c>
      <c r="J69" s="7"/>
      <c r="K69" s="7" t="s">
        <v>56</v>
      </c>
      <c r="M69" t="s">
        <v>664</v>
      </c>
      <c r="N69" t="s">
        <v>665</v>
      </c>
      <c r="O69" t="s">
        <v>59</v>
      </c>
      <c r="P69" t="s">
        <v>37</v>
      </c>
      <c r="R69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9" s="12">
        <f>+DATE(YEAR(Control[[#This Row],[Fecha Requisición]]),MONTH(Control[[#This Row],[Fecha Requisición]]),1)</f>
        <v>46204</v>
      </c>
      <c r="T69" s="2"/>
      <c r="U69" s="2"/>
      <c r="V69" s="40" t="str">
        <f>+IF(Control[[#This Row],[Fecha de entrega]]="","",NETWORKDAYS(Control[[#This Row],[Fecha Requisición]],Control[[#This Row],[Fecha de entrega]]))</f>
        <v/>
      </c>
      <c r="X69" s="38">
        <f>+_xlfn.ISOWEEKNUM(Control[[#This Row],[Fecha Requisición]])</f>
        <v>28</v>
      </c>
    </row>
    <row r="70" spans="1:24" x14ac:dyDescent="0.3">
      <c r="A70" t="s">
        <v>666</v>
      </c>
      <c r="B70" t="s">
        <v>667</v>
      </c>
      <c r="E70" t="s">
        <v>668</v>
      </c>
      <c r="F70" t="s">
        <v>663</v>
      </c>
      <c r="J70" s="7"/>
      <c r="K70" s="7"/>
      <c r="M70" t="s">
        <v>669</v>
      </c>
      <c r="N70" t="s">
        <v>174</v>
      </c>
      <c r="O70" t="s">
        <v>59</v>
      </c>
      <c r="P70" t="s">
        <v>95</v>
      </c>
      <c r="R70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0" s="12">
        <f>+DATE(YEAR(Control[[#This Row],[Fecha Requisición]]),MONTH(Control[[#This Row],[Fecha Requisición]]),1)</f>
        <v>46204</v>
      </c>
      <c r="T70" s="2"/>
      <c r="U70" s="2"/>
      <c r="V70" s="40" t="str">
        <f>+IF(Control[[#This Row],[Fecha de entrega]]="","",NETWORKDAYS(Control[[#This Row],[Fecha Requisición]],Control[[#This Row],[Fecha de entrega]]))</f>
        <v/>
      </c>
      <c r="X70" s="38">
        <f>+_xlfn.ISOWEEKNUM(Control[[#This Row],[Fecha Requisición]])</f>
        <v>28</v>
      </c>
    </row>
    <row r="71" spans="1:24" x14ac:dyDescent="0.3">
      <c r="A71" t="s">
        <v>670</v>
      </c>
      <c r="B71" t="s">
        <v>671</v>
      </c>
      <c r="E71" t="s">
        <v>672</v>
      </c>
      <c r="F71" t="s">
        <v>663</v>
      </c>
      <c r="J71" s="7"/>
      <c r="K71" s="7" t="s">
        <v>32</v>
      </c>
      <c r="M71" t="s">
        <v>549</v>
      </c>
      <c r="N71" t="s">
        <v>102</v>
      </c>
      <c r="O71" t="s">
        <v>673</v>
      </c>
      <c r="P71" t="s">
        <v>37</v>
      </c>
      <c r="R71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1" s="12">
        <f>+DATE(YEAR(Control[[#This Row],[Fecha Requisición]]),MONTH(Control[[#This Row],[Fecha Requisición]]),1)</f>
        <v>46204</v>
      </c>
      <c r="T71" s="2"/>
      <c r="U71" s="2"/>
      <c r="V71" s="40" t="str">
        <f>+IF(Control[[#This Row],[Fecha de entrega]]="","",NETWORKDAYS(Control[[#This Row],[Fecha Requisición]],Control[[#This Row],[Fecha de entrega]]))</f>
        <v/>
      </c>
      <c r="X71" s="38">
        <f>+_xlfn.ISOWEEKNUM(Control[[#This Row],[Fecha Requisición]])</f>
        <v>28</v>
      </c>
    </row>
    <row r="72" spans="1:24" x14ac:dyDescent="0.3">
      <c r="A72" t="s">
        <v>674</v>
      </c>
      <c r="B72" t="s">
        <v>675</v>
      </c>
      <c r="E72" t="s">
        <v>676</v>
      </c>
      <c r="F72" t="s">
        <v>677</v>
      </c>
      <c r="J72" s="7"/>
      <c r="K72" s="7" t="s">
        <v>56</v>
      </c>
      <c r="M72" t="s">
        <v>664</v>
      </c>
      <c r="N72" t="s">
        <v>665</v>
      </c>
      <c r="O72" t="s">
        <v>59</v>
      </c>
      <c r="P72" t="s">
        <v>37</v>
      </c>
      <c r="R72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2" s="12">
        <f>+DATE(YEAR(Control[[#This Row],[Fecha Requisición]]),MONTH(Control[[#This Row],[Fecha Requisición]]),1)</f>
        <v>46204</v>
      </c>
      <c r="T72" s="2"/>
      <c r="U72" s="2"/>
      <c r="V72" s="40" t="str">
        <f>+IF(Control[[#This Row],[Fecha de entrega]]="","",NETWORKDAYS(Control[[#This Row],[Fecha Requisición]],Control[[#This Row],[Fecha de entrega]]))</f>
        <v/>
      </c>
      <c r="X72" s="38">
        <f>+_xlfn.ISOWEEKNUM(Control[[#This Row],[Fecha Requisición]])</f>
        <v>28</v>
      </c>
    </row>
    <row r="73" spans="1:24" x14ac:dyDescent="0.3">
      <c r="A73" t="s">
        <v>678</v>
      </c>
      <c r="B73" t="s">
        <v>679</v>
      </c>
      <c r="E73" t="s">
        <v>680</v>
      </c>
      <c r="F73" t="s">
        <v>663</v>
      </c>
      <c r="J73" s="7"/>
      <c r="K73" s="7" t="s">
        <v>32</v>
      </c>
      <c r="M73" t="s">
        <v>681</v>
      </c>
      <c r="N73" t="s">
        <v>87</v>
      </c>
      <c r="O73" t="s">
        <v>36</v>
      </c>
      <c r="P73" t="s">
        <v>60</v>
      </c>
      <c r="R73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3" s="12">
        <f>+DATE(YEAR(Control[[#This Row],[Fecha Requisición]]),MONTH(Control[[#This Row],[Fecha Requisición]]),1)</f>
        <v>46204</v>
      </c>
      <c r="T73" s="2"/>
      <c r="U73" s="2"/>
      <c r="V73" s="40" t="str">
        <f>+IF(Control[[#This Row],[Fecha de entrega]]="","",NETWORKDAYS(Control[[#This Row],[Fecha Requisición]],Control[[#This Row],[Fecha de entrega]]))</f>
        <v/>
      </c>
      <c r="X73" s="38">
        <f>+_xlfn.ISOWEEKNUM(Control[[#This Row],[Fecha Requisición]])</f>
        <v>28</v>
      </c>
    </row>
    <row r="74" spans="1:24" x14ac:dyDescent="0.3">
      <c r="A74" t="s">
        <v>682</v>
      </c>
      <c r="B74" t="s">
        <v>683</v>
      </c>
      <c r="E74" t="s">
        <v>684</v>
      </c>
      <c r="F74" t="s">
        <v>677</v>
      </c>
      <c r="J74" s="7"/>
      <c r="K74" s="7"/>
      <c r="R74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4" s="12">
        <f>+DATE(YEAR(Control[[#This Row],[Fecha Requisición]]),MONTH(Control[[#This Row],[Fecha Requisición]]),1)</f>
        <v>46204</v>
      </c>
      <c r="T74" s="2"/>
      <c r="U74" s="2"/>
      <c r="V74" s="40" t="str">
        <f>+IF(Control[[#This Row],[Fecha de entrega]]="","",NETWORKDAYS(Control[[#This Row],[Fecha Requisición]],Control[[#This Row],[Fecha de entrega]]))</f>
        <v/>
      </c>
      <c r="X74" s="38">
        <f>+_xlfn.ISOWEEKNUM(Control[[#This Row],[Fecha Requisición]])</f>
        <v>28</v>
      </c>
    </row>
    <row r="75" spans="1:24" x14ac:dyDescent="0.3">
      <c r="A75" t="s">
        <v>685</v>
      </c>
      <c r="B75" t="s">
        <v>686</v>
      </c>
      <c r="E75" t="s">
        <v>687</v>
      </c>
      <c r="F75" t="s">
        <v>688</v>
      </c>
      <c r="J75" s="7"/>
      <c r="K75" s="7" t="s">
        <v>32</v>
      </c>
      <c r="M75" t="s">
        <v>193</v>
      </c>
      <c r="N75" t="s">
        <v>194</v>
      </c>
      <c r="O75" t="s">
        <v>76</v>
      </c>
      <c r="P75" t="s">
        <v>37</v>
      </c>
      <c r="R75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5" s="12">
        <f>+DATE(YEAR(Control[[#This Row],[Fecha Requisición]]),MONTH(Control[[#This Row],[Fecha Requisición]]),1)</f>
        <v>46204</v>
      </c>
      <c r="T75" s="2"/>
      <c r="U75" s="2"/>
      <c r="V75" s="40" t="str">
        <f>+IF(Control[[#This Row],[Fecha de entrega]]="","",NETWORKDAYS(Control[[#This Row],[Fecha Requisición]],Control[[#This Row],[Fecha de entrega]]))</f>
        <v/>
      </c>
      <c r="X75" s="38">
        <f>+_xlfn.ISOWEEKNUM(Control[[#This Row],[Fecha Requisición]])</f>
        <v>28</v>
      </c>
    </row>
    <row r="76" spans="1:24" x14ac:dyDescent="0.3">
      <c r="A76" t="s">
        <v>689</v>
      </c>
      <c r="B76" t="s">
        <v>690</v>
      </c>
      <c r="E76" t="s">
        <v>691</v>
      </c>
      <c r="F76" t="s">
        <v>688</v>
      </c>
      <c r="J76" s="7"/>
      <c r="K76" s="7" t="s">
        <v>32</v>
      </c>
      <c r="M76" t="s">
        <v>549</v>
      </c>
      <c r="N76" t="s">
        <v>194</v>
      </c>
      <c r="O76" t="s">
        <v>125</v>
      </c>
      <c r="P76" t="s">
        <v>37</v>
      </c>
      <c r="R76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6" s="12">
        <f>+DATE(YEAR(Control[[#This Row],[Fecha Requisición]]),MONTH(Control[[#This Row],[Fecha Requisición]]),1)</f>
        <v>46204</v>
      </c>
      <c r="T76" s="2"/>
      <c r="U76" s="2"/>
      <c r="V76" s="40" t="str">
        <f>+IF(Control[[#This Row],[Fecha de entrega]]="","",NETWORKDAYS(Control[[#This Row],[Fecha Requisición]],Control[[#This Row],[Fecha de entrega]]))</f>
        <v/>
      </c>
      <c r="X76" s="38">
        <f>+_xlfn.ISOWEEKNUM(Control[[#This Row],[Fecha Requisición]])</f>
        <v>28</v>
      </c>
    </row>
    <row r="77" spans="1:24" x14ac:dyDescent="0.3">
      <c r="A77" t="s">
        <v>692</v>
      </c>
      <c r="B77" t="s">
        <v>693</v>
      </c>
      <c r="E77" t="s">
        <v>694</v>
      </c>
      <c r="F77" t="s">
        <v>688</v>
      </c>
      <c r="J77" s="7"/>
      <c r="K77" s="7" t="s">
        <v>32</v>
      </c>
      <c r="M77" t="s">
        <v>549</v>
      </c>
      <c r="N77" t="s">
        <v>58</v>
      </c>
      <c r="O77" t="s">
        <v>125</v>
      </c>
      <c r="P77" t="s">
        <v>37</v>
      </c>
      <c r="R77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7" s="12">
        <f>+DATE(YEAR(Control[[#This Row],[Fecha Requisición]]),MONTH(Control[[#This Row],[Fecha Requisición]]),1)</f>
        <v>46204</v>
      </c>
      <c r="T77" s="2"/>
      <c r="U77" s="2"/>
      <c r="V77" s="40" t="str">
        <f>+IF(Control[[#This Row],[Fecha de entrega]]="","",NETWORKDAYS(Control[[#This Row],[Fecha Requisición]],Control[[#This Row],[Fecha de entrega]]))</f>
        <v/>
      </c>
      <c r="X77" s="38">
        <f>+_xlfn.ISOWEEKNUM(Control[[#This Row],[Fecha Requisición]])</f>
        <v>28</v>
      </c>
    </row>
    <row r="78" spans="1:24" x14ac:dyDescent="0.3">
      <c r="A78" t="s">
        <v>695</v>
      </c>
      <c r="B78" t="s">
        <v>696</v>
      </c>
      <c r="E78" t="s">
        <v>697</v>
      </c>
      <c r="F78" t="s">
        <v>698</v>
      </c>
      <c r="J78" s="7"/>
      <c r="K78" s="7" t="s">
        <v>56</v>
      </c>
      <c r="M78" t="s">
        <v>201</v>
      </c>
      <c r="O78" t="s">
        <v>59</v>
      </c>
      <c r="P78" t="s">
        <v>37</v>
      </c>
      <c r="R78" s="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78" s="12">
        <f>+DATE(YEAR(Control[[#This Row],[Fecha Requisición]]),MONTH(Control[[#This Row],[Fecha Requisición]]),1)</f>
        <v>46204</v>
      </c>
      <c r="T78" s="2"/>
      <c r="U78" s="2"/>
      <c r="V78" s="40" t="str">
        <f>+IF(Control[[#This Row],[Fecha de entrega]]="","",NETWORKDAYS(Control[[#This Row],[Fecha Requisición]],Control[[#This Row],[Fecha de entrega]]))</f>
        <v/>
      </c>
      <c r="X78" s="38">
        <f>+_xlfn.ISOWEEKNUM(Control[[#This Row],[Fecha Requisición]])</f>
        <v>28</v>
      </c>
    </row>
    <row r="79" spans="1:24" x14ac:dyDescent="0.3">
      <c r="U79" s="2"/>
    </row>
    <row r="80" spans="1:24" x14ac:dyDescent="0.3">
      <c r="U80" s="2"/>
    </row>
    <row r="81" spans="21:21" x14ac:dyDescent="0.3">
      <c r="U81" s="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33" sqref="B33"/>
    </sheetView>
  </sheetViews>
  <sheetFormatPr baseColWidth="10" defaultColWidth="11.44140625" defaultRowHeight="14.4" x14ac:dyDescent="0.3"/>
  <cols>
    <col min="1" max="1" width="35.44140625" style="14" customWidth="1"/>
    <col min="2" max="6" width="11.44140625" style="14"/>
    <col min="7" max="7" width="25.77734375" style="14" bestFit="1" customWidth="1"/>
    <col min="8" max="8" width="22.44140625" style="14" bestFit="1" customWidth="1"/>
    <col min="9" max="9" width="12.5546875" style="14" bestFit="1" customWidth="1"/>
    <col min="10" max="10" width="8.21875" style="14" bestFit="1" customWidth="1"/>
    <col min="11" max="11" width="20" style="14" bestFit="1" customWidth="1"/>
    <col min="12" max="16384" width="11.44140625" style="14"/>
  </cols>
  <sheetData>
    <row r="5" spans="1:3" x14ac:dyDescent="0.3">
      <c r="A5" s="15"/>
      <c r="B5" s="16"/>
      <c r="C5" s="17"/>
    </row>
    <row r="6" spans="1:3" x14ac:dyDescent="0.3">
      <c r="A6" s="18"/>
      <c r="C6" s="19"/>
    </row>
    <row r="7" spans="1:3" ht="33.6" x14ac:dyDescent="0.65">
      <c r="A7" s="24" t="s">
        <v>0</v>
      </c>
      <c r="B7" s="20">
        <f>GETPIVOTDATA("[Measures].[Recuento distinto de Requisiciones]",Graficos!$A$56)</f>
        <v>43</v>
      </c>
      <c r="C7" s="19"/>
    </row>
    <row r="8" spans="1:3" x14ac:dyDescent="0.3">
      <c r="A8" s="18"/>
      <c r="C8" s="19"/>
    </row>
    <row r="9" spans="1:3" ht="33.6" x14ac:dyDescent="0.65">
      <c r="A9" s="24" t="s">
        <v>1</v>
      </c>
      <c r="B9" s="20">
        <f>GETPIVOTDATA("[Measures].[Recuento de OC]",Graficos!$N$1)</f>
        <v>50</v>
      </c>
      <c r="C9" s="19"/>
    </row>
    <row r="10" spans="1:3" x14ac:dyDescent="0.3">
      <c r="A10" s="18"/>
      <c r="C10" s="19"/>
    </row>
    <row r="11" spans="1:3" x14ac:dyDescent="0.3">
      <c r="A11" s="18"/>
      <c r="C11" s="19"/>
    </row>
    <row r="12" spans="1:3" x14ac:dyDescent="0.3">
      <c r="A12" s="18"/>
      <c r="C12" s="19"/>
    </row>
    <row r="13" spans="1:3" x14ac:dyDescent="0.3">
      <c r="A13" s="21"/>
      <c r="B13" s="22"/>
      <c r="C13" s="2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dimension ref="A1:C65"/>
  <sheetViews>
    <sheetView topLeftCell="A28" workbookViewId="0">
      <selection activeCell="B2" sqref="B2:C65"/>
    </sheetView>
  </sheetViews>
  <sheetFormatPr baseColWidth="10" defaultRowHeight="14.4" x14ac:dyDescent="0.3"/>
  <cols>
    <col min="1" max="1" width="13.21875" bestFit="1" customWidth="1"/>
    <col min="2" max="2" width="15.77734375" bestFit="1" customWidth="1"/>
  </cols>
  <sheetData>
    <row r="1" spans="1:3" ht="15" thickBot="1" x14ac:dyDescent="0.35">
      <c r="A1" s="36" t="s">
        <v>2</v>
      </c>
      <c r="B1" s="34" t="s">
        <v>21</v>
      </c>
      <c r="C1" s="34" t="s">
        <v>22</v>
      </c>
    </row>
    <row r="2" spans="1:3" x14ac:dyDescent="0.3">
      <c r="A2" s="31" t="s">
        <v>25</v>
      </c>
      <c r="B2" s="32"/>
      <c r="C2" s="32">
        <v>46175</v>
      </c>
    </row>
    <row r="3" spans="1:3" x14ac:dyDescent="0.3">
      <c r="A3" s="30" t="s">
        <v>25</v>
      </c>
      <c r="B3" s="35">
        <v>46169</v>
      </c>
      <c r="C3" s="35">
        <v>46177</v>
      </c>
    </row>
    <row r="4" spans="1:3" x14ac:dyDescent="0.3">
      <c r="A4" s="31" t="s">
        <v>25</v>
      </c>
      <c r="B4" s="32">
        <v>46171</v>
      </c>
      <c r="C4" s="32">
        <v>46177</v>
      </c>
    </row>
    <row r="5" spans="1:3" x14ac:dyDescent="0.3">
      <c r="A5" s="30" t="s">
        <v>25</v>
      </c>
      <c r="B5" s="35">
        <v>46171</v>
      </c>
      <c r="C5" s="35">
        <v>46177</v>
      </c>
    </row>
    <row r="6" spans="1:3" x14ac:dyDescent="0.3">
      <c r="A6" s="31" t="s">
        <v>49</v>
      </c>
      <c r="B6" s="32">
        <v>46168</v>
      </c>
      <c r="C6" s="32">
        <v>46171</v>
      </c>
    </row>
    <row r="7" spans="1:3" x14ac:dyDescent="0.3">
      <c r="A7" s="30" t="s">
        <v>62</v>
      </c>
      <c r="B7" s="35"/>
      <c r="C7" s="35">
        <v>46171</v>
      </c>
    </row>
    <row r="8" spans="1:3" x14ac:dyDescent="0.3">
      <c r="A8" s="31" t="s">
        <v>70</v>
      </c>
      <c r="B8" s="32"/>
      <c r="C8" s="32">
        <v>46177</v>
      </c>
    </row>
    <row r="9" spans="1:3" x14ac:dyDescent="0.3">
      <c r="A9" s="37" t="s">
        <v>70</v>
      </c>
      <c r="B9" s="35">
        <v>46170</v>
      </c>
      <c r="C9" s="35">
        <v>46172</v>
      </c>
    </row>
    <row r="10" spans="1:3" x14ac:dyDescent="0.3">
      <c r="A10" s="31" t="s">
        <v>80</v>
      </c>
      <c r="B10" s="32"/>
      <c r="C10" s="32">
        <v>46171</v>
      </c>
    </row>
    <row r="11" spans="1:3" x14ac:dyDescent="0.3">
      <c r="A11" s="30" t="s">
        <v>89</v>
      </c>
      <c r="B11" s="35">
        <v>46170</v>
      </c>
      <c r="C11" s="35">
        <v>46175</v>
      </c>
    </row>
    <row r="12" spans="1:3" x14ac:dyDescent="0.3">
      <c r="A12" s="31" t="s">
        <v>97</v>
      </c>
      <c r="B12" s="32">
        <v>46171</v>
      </c>
      <c r="C12" s="32">
        <v>46175</v>
      </c>
    </row>
    <row r="13" spans="1:3" x14ac:dyDescent="0.3">
      <c r="A13" s="30" t="s">
        <v>104</v>
      </c>
      <c r="B13" s="35"/>
      <c r="C13" s="35">
        <v>46179</v>
      </c>
    </row>
    <row r="14" spans="1:3" x14ac:dyDescent="0.3">
      <c r="A14" s="31" t="s">
        <v>111</v>
      </c>
      <c r="B14" s="32"/>
      <c r="C14" s="32">
        <v>46179</v>
      </c>
    </row>
    <row r="15" spans="1:3" x14ac:dyDescent="0.3">
      <c r="A15" s="30" t="s">
        <v>117</v>
      </c>
      <c r="B15" s="35">
        <v>46170</v>
      </c>
      <c r="C15" s="35">
        <v>46175</v>
      </c>
    </row>
    <row r="16" spans="1:3" x14ac:dyDescent="0.3">
      <c r="A16" s="31" t="s">
        <v>117</v>
      </c>
      <c r="B16" s="32">
        <v>46170</v>
      </c>
      <c r="C16" s="32">
        <v>46181</v>
      </c>
    </row>
    <row r="17" spans="1:3" x14ac:dyDescent="0.3">
      <c r="A17" s="30" t="s">
        <v>117</v>
      </c>
      <c r="B17" s="35">
        <v>46170</v>
      </c>
      <c r="C17" s="35">
        <v>46175</v>
      </c>
    </row>
    <row r="18" spans="1:3" x14ac:dyDescent="0.3">
      <c r="A18" s="31" t="s">
        <v>131</v>
      </c>
      <c r="B18" s="32">
        <v>46170</v>
      </c>
      <c r="C18" s="32">
        <v>46170</v>
      </c>
    </row>
    <row r="19" spans="1:3" x14ac:dyDescent="0.3">
      <c r="A19" s="30" t="s">
        <v>131</v>
      </c>
      <c r="B19" s="35">
        <v>46170</v>
      </c>
      <c r="C19" s="35">
        <v>46170</v>
      </c>
    </row>
    <row r="20" spans="1:3" x14ac:dyDescent="0.3">
      <c r="A20" s="31" t="s">
        <v>141</v>
      </c>
      <c r="B20" s="32">
        <v>46170</v>
      </c>
      <c r="C20" s="32">
        <v>46170</v>
      </c>
    </row>
    <row r="21" spans="1:3" x14ac:dyDescent="0.3">
      <c r="A21" s="30" t="s">
        <v>141</v>
      </c>
      <c r="B21" s="35">
        <v>46170</v>
      </c>
      <c r="C21" s="35">
        <v>46170</v>
      </c>
    </row>
    <row r="22" spans="1:3" x14ac:dyDescent="0.3">
      <c r="A22" s="31" t="s">
        <v>141</v>
      </c>
      <c r="B22" s="32">
        <v>46170</v>
      </c>
      <c r="C22" s="32">
        <v>46170</v>
      </c>
    </row>
    <row r="23" spans="1:3" x14ac:dyDescent="0.3">
      <c r="A23" s="30" t="s">
        <v>153</v>
      </c>
      <c r="B23" s="35">
        <v>46169</v>
      </c>
      <c r="C23" s="35">
        <v>46170</v>
      </c>
    </row>
    <row r="24" spans="1:3" x14ac:dyDescent="0.3">
      <c r="A24" s="31" t="s">
        <v>158</v>
      </c>
      <c r="B24" s="32"/>
      <c r="C24" s="32">
        <v>46176</v>
      </c>
    </row>
    <row r="25" spans="1:3" x14ac:dyDescent="0.3">
      <c r="A25" s="30" t="s">
        <v>167</v>
      </c>
      <c r="B25" s="35">
        <v>46184</v>
      </c>
      <c r="C25" s="35">
        <v>46188</v>
      </c>
    </row>
    <row r="26" spans="1:3" x14ac:dyDescent="0.3">
      <c r="A26" s="31" t="s">
        <v>167</v>
      </c>
      <c r="B26" s="32">
        <v>46184</v>
      </c>
      <c r="C26" s="32">
        <v>46188</v>
      </c>
    </row>
    <row r="27" spans="1:3" x14ac:dyDescent="0.3">
      <c r="A27" s="30" t="s">
        <v>167</v>
      </c>
      <c r="B27" s="35">
        <v>46184</v>
      </c>
      <c r="C27" s="35">
        <v>46188</v>
      </c>
    </row>
    <row r="28" spans="1:3" x14ac:dyDescent="0.3">
      <c r="A28" s="31" t="s">
        <v>180</v>
      </c>
      <c r="B28" s="32">
        <v>46175</v>
      </c>
      <c r="C28" s="32">
        <v>46181</v>
      </c>
    </row>
    <row r="29" spans="1:3" x14ac:dyDescent="0.3">
      <c r="A29" s="30" t="s">
        <v>188</v>
      </c>
      <c r="B29" s="35"/>
      <c r="C29" s="35">
        <v>46189</v>
      </c>
    </row>
    <row r="30" spans="1:3" x14ac:dyDescent="0.3">
      <c r="A30" s="31" t="s">
        <v>196</v>
      </c>
      <c r="B30" s="32"/>
      <c r="C30" s="32"/>
    </row>
    <row r="31" spans="1:3" x14ac:dyDescent="0.3">
      <c r="A31" s="30" t="s">
        <v>202</v>
      </c>
      <c r="B31" s="35">
        <v>46170</v>
      </c>
      <c r="C31" s="35">
        <v>46192</v>
      </c>
    </row>
    <row r="32" spans="1:3" x14ac:dyDescent="0.3">
      <c r="A32" s="31" t="s">
        <v>206</v>
      </c>
      <c r="B32" s="32"/>
      <c r="C32" s="32">
        <v>46188</v>
      </c>
    </row>
    <row r="33" spans="1:3" x14ac:dyDescent="0.3">
      <c r="A33" s="30" t="s">
        <v>206</v>
      </c>
      <c r="B33" s="35"/>
      <c r="C33" s="35">
        <v>46176</v>
      </c>
    </row>
    <row r="34" spans="1:3" x14ac:dyDescent="0.3">
      <c r="A34" s="31" t="s">
        <v>206</v>
      </c>
      <c r="B34" s="32"/>
      <c r="C34" s="32">
        <v>46191</v>
      </c>
    </row>
    <row r="35" spans="1:3" x14ac:dyDescent="0.3">
      <c r="A35" s="30" t="s">
        <v>219</v>
      </c>
      <c r="B35" s="32"/>
      <c r="C35" s="32"/>
    </row>
    <row r="36" spans="1:3" x14ac:dyDescent="0.3">
      <c r="A36" s="31" t="s">
        <v>222</v>
      </c>
      <c r="B36" s="32"/>
      <c r="C36" s="32">
        <v>46190</v>
      </c>
    </row>
    <row r="37" spans="1:3" x14ac:dyDescent="0.3">
      <c r="A37" s="30" t="s">
        <v>230</v>
      </c>
      <c r="B37" s="32"/>
      <c r="C37" s="32">
        <v>46211</v>
      </c>
    </row>
    <row r="38" spans="1:3" x14ac:dyDescent="0.3">
      <c r="A38" s="31" t="s">
        <v>230</v>
      </c>
      <c r="B38" s="32"/>
      <c r="C38" s="32">
        <v>46211</v>
      </c>
    </row>
    <row r="39" spans="1:3" x14ac:dyDescent="0.3">
      <c r="A39" s="30" t="s">
        <v>230</v>
      </c>
      <c r="B39" s="35"/>
      <c r="C39" s="35">
        <v>46190</v>
      </c>
    </row>
    <row r="40" spans="1:3" x14ac:dyDescent="0.3">
      <c r="A40" s="31" t="s">
        <v>234</v>
      </c>
      <c r="B40" s="32"/>
      <c r="C40" s="32">
        <v>46203</v>
      </c>
    </row>
    <row r="41" spans="1:3" x14ac:dyDescent="0.3">
      <c r="A41" s="30" t="s">
        <v>234</v>
      </c>
      <c r="B41" s="35">
        <v>46200</v>
      </c>
      <c r="C41" s="35">
        <v>46209</v>
      </c>
    </row>
    <row r="42" spans="1:3" x14ac:dyDescent="0.3">
      <c r="A42" s="31" t="s">
        <v>234</v>
      </c>
      <c r="B42" s="32">
        <v>46200</v>
      </c>
      <c r="C42" s="32">
        <v>46209</v>
      </c>
    </row>
    <row r="43" spans="1:3" x14ac:dyDescent="0.3">
      <c r="A43" s="30" t="s">
        <v>239</v>
      </c>
      <c r="B43" s="35"/>
      <c r="C43" s="35">
        <v>46199</v>
      </c>
    </row>
    <row r="44" spans="1:3" x14ac:dyDescent="0.3">
      <c r="A44" s="31" t="s">
        <v>244</v>
      </c>
      <c r="B44" s="32"/>
      <c r="C44" s="32"/>
    </row>
    <row r="45" spans="1:3" x14ac:dyDescent="0.3">
      <c r="A45" s="30" t="s">
        <v>250</v>
      </c>
      <c r="B45" s="32"/>
      <c r="C45" s="32"/>
    </row>
    <row r="46" spans="1:3" x14ac:dyDescent="0.3">
      <c r="A46" s="31" t="s">
        <v>255</v>
      </c>
      <c r="B46" s="32"/>
      <c r="C46" s="32">
        <v>46178</v>
      </c>
    </row>
    <row r="47" spans="1:3" x14ac:dyDescent="0.3">
      <c r="A47" s="30" t="s">
        <v>258</v>
      </c>
      <c r="B47" s="32"/>
      <c r="C47" s="32"/>
    </row>
    <row r="48" spans="1:3" x14ac:dyDescent="0.3">
      <c r="A48" s="31" t="s">
        <v>528</v>
      </c>
      <c r="B48" s="32"/>
      <c r="C48" s="32">
        <v>46203</v>
      </c>
    </row>
    <row r="49" spans="1:3" x14ac:dyDescent="0.3">
      <c r="A49" s="30" t="s">
        <v>512</v>
      </c>
      <c r="B49" s="35">
        <v>46198</v>
      </c>
      <c r="C49" s="35">
        <v>46206</v>
      </c>
    </row>
    <row r="50" spans="1:3" x14ac:dyDescent="0.3">
      <c r="A50" s="31" t="s">
        <v>518</v>
      </c>
      <c r="B50" s="32">
        <v>46175</v>
      </c>
      <c r="C50" s="32">
        <v>46177</v>
      </c>
    </row>
    <row r="51" spans="1:3" x14ac:dyDescent="0.3">
      <c r="A51" s="30" t="s">
        <v>544</v>
      </c>
      <c r="B51" s="32">
        <v>46185</v>
      </c>
      <c r="C51" s="32">
        <v>46189</v>
      </c>
    </row>
    <row r="52" spans="1:3" x14ac:dyDescent="0.3">
      <c r="A52" s="31" t="s">
        <v>550</v>
      </c>
      <c r="B52" s="32">
        <v>46205</v>
      </c>
      <c r="C52" s="32">
        <v>46209</v>
      </c>
    </row>
    <row r="53" spans="1:3" x14ac:dyDescent="0.3">
      <c r="A53" s="30" t="s">
        <v>550</v>
      </c>
      <c r="B53" s="35">
        <v>46205</v>
      </c>
      <c r="C53" s="35"/>
    </row>
    <row r="54" spans="1:3" x14ac:dyDescent="0.3">
      <c r="A54" s="31" t="s">
        <v>550</v>
      </c>
      <c r="B54" s="32">
        <v>46209</v>
      </c>
      <c r="C54" s="32"/>
    </row>
    <row r="55" spans="1:3" x14ac:dyDescent="0.3">
      <c r="A55" s="30" t="s">
        <v>550</v>
      </c>
      <c r="B55" s="35">
        <v>46209</v>
      </c>
      <c r="C55" s="35"/>
    </row>
    <row r="56" spans="1:3" x14ac:dyDescent="0.3">
      <c r="A56" s="31" t="s">
        <v>550</v>
      </c>
      <c r="B56" s="32">
        <v>46209</v>
      </c>
      <c r="C56" s="32"/>
    </row>
    <row r="57" spans="1:3" x14ac:dyDescent="0.3">
      <c r="A57" s="30" t="s">
        <v>555</v>
      </c>
      <c r="B57" s="35"/>
      <c r="C57" s="35">
        <v>46211</v>
      </c>
    </row>
    <row r="58" spans="1:3" x14ac:dyDescent="0.3">
      <c r="A58" s="31" t="s">
        <v>561</v>
      </c>
      <c r="B58" s="32"/>
      <c r="C58" s="32">
        <v>46211</v>
      </c>
    </row>
    <row r="59" spans="1:3" x14ac:dyDescent="0.3">
      <c r="A59" s="30" t="s">
        <v>610</v>
      </c>
      <c r="B59" s="35"/>
      <c r="C59" s="35">
        <v>46209</v>
      </c>
    </row>
    <row r="60" spans="1:3" x14ac:dyDescent="0.3">
      <c r="A60" s="31" t="s">
        <v>615</v>
      </c>
      <c r="B60" s="32"/>
      <c r="C60" s="32">
        <v>46209</v>
      </c>
    </row>
    <row r="61" spans="1:3" x14ac:dyDescent="0.3">
      <c r="A61" s="30" t="s">
        <v>602</v>
      </c>
      <c r="B61" s="35"/>
      <c r="C61" s="35">
        <v>46211</v>
      </c>
    </row>
    <row r="62" spans="1:3" x14ac:dyDescent="0.3">
      <c r="A62" s="31" t="s">
        <v>619</v>
      </c>
      <c r="B62" s="32"/>
      <c r="C62" s="32"/>
    </row>
    <row r="63" spans="1:3" x14ac:dyDescent="0.3">
      <c r="A63" s="30" t="s">
        <v>628</v>
      </c>
      <c r="B63" s="35"/>
      <c r="C63" s="35"/>
    </row>
    <row r="64" spans="1:3" x14ac:dyDescent="0.3">
      <c r="A64" s="31" t="s">
        <v>622</v>
      </c>
      <c r="B64" s="32"/>
      <c r="C64" s="32"/>
    </row>
    <row r="65" spans="1:3" x14ac:dyDescent="0.3">
      <c r="A65" s="30" t="s">
        <v>632</v>
      </c>
      <c r="B65" s="35">
        <v>46185</v>
      </c>
      <c r="C65" s="35">
        <v>46190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I151"/>
  <sheetViews>
    <sheetView topLeftCell="A115" workbookViewId="0">
      <selection activeCell="F147" sqref="F147"/>
    </sheetView>
  </sheetViews>
  <sheetFormatPr baseColWidth="10" defaultRowHeight="14.4" x14ac:dyDescent="0.3"/>
  <cols>
    <col min="1" max="1" width="51.77734375" bestFit="1" customWidth="1"/>
    <col min="2" max="2" width="21.5546875" bestFit="1" customWidth="1"/>
    <col min="3" max="3" width="19.109375" bestFit="1" customWidth="1"/>
    <col min="4" max="4" width="12" bestFit="1" customWidth="1"/>
    <col min="5" max="5" width="23.21875" bestFit="1" customWidth="1"/>
    <col min="6" max="6" width="19.21875" bestFit="1" customWidth="1"/>
    <col min="7" max="7" width="31.33203125" bestFit="1" customWidth="1"/>
    <col min="8" max="8" width="20.21875" bestFit="1" customWidth="1"/>
    <col min="9" max="10" width="12" bestFit="1" customWidth="1"/>
  </cols>
  <sheetData>
    <row r="3" spans="1:4" x14ac:dyDescent="0.3">
      <c r="A3" s="4" t="s">
        <v>261</v>
      </c>
      <c r="B3" t="s">
        <v>275</v>
      </c>
    </row>
    <row r="4" spans="1:4" x14ac:dyDescent="0.3">
      <c r="A4" s="10">
        <v>21</v>
      </c>
      <c r="B4">
        <v>8</v>
      </c>
    </row>
    <row r="5" spans="1:4" x14ac:dyDescent="0.3">
      <c r="A5" s="10">
        <v>22</v>
      </c>
      <c r="B5">
        <v>5</v>
      </c>
    </row>
    <row r="6" spans="1:4" x14ac:dyDescent="0.3">
      <c r="A6" s="10">
        <v>23</v>
      </c>
      <c r="B6">
        <v>9</v>
      </c>
    </row>
    <row r="7" spans="1:4" x14ac:dyDescent="0.3">
      <c r="A7" s="10">
        <v>24</v>
      </c>
      <c r="B7">
        <v>5</v>
      </c>
    </row>
    <row r="8" spans="1:4" x14ac:dyDescent="0.3">
      <c r="A8" s="10">
        <v>25</v>
      </c>
      <c r="B8">
        <v>7</v>
      </c>
    </row>
    <row r="9" spans="1:4" x14ac:dyDescent="0.3">
      <c r="A9" s="10">
        <v>26</v>
      </c>
      <c r="B9">
        <v>3</v>
      </c>
    </row>
    <row r="10" spans="1:4" x14ac:dyDescent="0.3">
      <c r="A10" s="10">
        <v>27</v>
      </c>
      <c r="B10">
        <v>6</v>
      </c>
    </row>
    <row r="11" spans="1:4" x14ac:dyDescent="0.3">
      <c r="A11" s="10" t="s">
        <v>270</v>
      </c>
      <c r="B11">
        <v>43</v>
      </c>
    </row>
    <row r="15" spans="1:4" x14ac:dyDescent="0.3">
      <c r="D15" s="27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0.30232558139534882</v>
      </c>
    </row>
    <row r="16" spans="1:4" x14ac:dyDescent="0.3">
      <c r="A16" s="4" t="s">
        <v>275</v>
      </c>
      <c r="B16" s="4" t="s">
        <v>265</v>
      </c>
    </row>
    <row r="17" spans="1:9" x14ac:dyDescent="0.3">
      <c r="A17" s="4" t="s">
        <v>261</v>
      </c>
      <c r="B17" t="s">
        <v>639</v>
      </c>
      <c r="C17" t="s">
        <v>174</v>
      </c>
      <c r="D17" t="s">
        <v>58</v>
      </c>
      <c r="E17" t="s">
        <v>35</v>
      </c>
      <c r="F17" t="s">
        <v>87</v>
      </c>
      <c r="G17" t="s">
        <v>102</v>
      </c>
      <c r="H17" t="s">
        <v>124</v>
      </c>
      <c r="I17" t="s">
        <v>270</v>
      </c>
    </row>
    <row r="18" spans="1:9" x14ac:dyDescent="0.3">
      <c r="A18" s="10">
        <v>21</v>
      </c>
      <c r="D18">
        <v>4</v>
      </c>
      <c r="E18">
        <v>2</v>
      </c>
      <c r="G18">
        <v>1</v>
      </c>
      <c r="H18">
        <v>1</v>
      </c>
      <c r="I18">
        <v>8</v>
      </c>
    </row>
    <row r="19" spans="1:9" x14ac:dyDescent="0.3">
      <c r="A19" s="10">
        <v>22</v>
      </c>
      <c r="D19">
        <v>2</v>
      </c>
      <c r="F19">
        <v>1</v>
      </c>
      <c r="G19">
        <v>2</v>
      </c>
      <c r="I19">
        <v>5</v>
      </c>
    </row>
    <row r="20" spans="1:9" x14ac:dyDescent="0.3">
      <c r="A20" s="10">
        <v>23</v>
      </c>
      <c r="B20">
        <v>2</v>
      </c>
      <c r="C20">
        <v>1</v>
      </c>
      <c r="D20">
        <v>2</v>
      </c>
      <c r="F20">
        <v>4</v>
      </c>
      <c r="I20">
        <v>9</v>
      </c>
    </row>
    <row r="21" spans="1:9" x14ac:dyDescent="0.3">
      <c r="A21" s="10">
        <v>24</v>
      </c>
      <c r="D21">
        <v>1</v>
      </c>
      <c r="E21">
        <v>3</v>
      </c>
      <c r="G21">
        <v>1</v>
      </c>
      <c r="I21">
        <v>5</v>
      </c>
    </row>
    <row r="22" spans="1:9" x14ac:dyDescent="0.3">
      <c r="A22" s="10">
        <v>25</v>
      </c>
      <c r="D22">
        <v>2</v>
      </c>
      <c r="E22">
        <v>1</v>
      </c>
      <c r="F22">
        <v>1</v>
      </c>
      <c r="G22">
        <v>3</v>
      </c>
      <c r="I22">
        <v>7</v>
      </c>
    </row>
    <row r="23" spans="1:9" x14ac:dyDescent="0.3">
      <c r="A23" s="10">
        <v>26</v>
      </c>
      <c r="D23">
        <v>1</v>
      </c>
      <c r="G23">
        <v>2</v>
      </c>
      <c r="I23">
        <v>3</v>
      </c>
    </row>
    <row r="24" spans="1:9" x14ac:dyDescent="0.3">
      <c r="A24" s="10">
        <v>27</v>
      </c>
      <c r="D24">
        <v>1</v>
      </c>
      <c r="E24">
        <v>2</v>
      </c>
      <c r="G24">
        <v>2</v>
      </c>
      <c r="H24">
        <v>1</v>
      </c>
      <c r="I24">
        <v>6</v>
      </c>
    </row>
    <row r="25" spans="1:9" x14ac:dyDescent="0.3">
      <c r="A25" s="10" t="s">
        <v>270</v>
      </c>
      <c r="B25">
        <v>2</v>
      </c>
      <c r="C25">
        <v>1</v>
      </c>
      <c r="D25">
        <v>13</v>
      </c>
      <c r="E25">
        <v>8</v>
      </c>
      <c r="F25">
        <v>6</v>
      </c>
      <c r="G25">
        <v>11</v>
      </c>
      <c r="H25">
        <v>2</v>
      </c>
      <c r="I25">
        <v>43</v>
      </c>
    </row>
    <row r="31" spans="1:9" x14ac:dyDescent="0.3">
      <c r="F31" s="27">
        <f>+GETPIVOTDATA("[Measures].[Recuento distinto de Requisiciones]",$A$32,"[Control].[Zona requisición]","[Control].[Zona requisición].&amp;[12 Araucanía]")/GETPIVOTDATA("[Measures].[Recuento distinto de Requisiciones]",$A$32)</f>
        <v>0.41860465116279072</v>
      </c>
    </row>
    <row r="32" spans="1:9" x14ac:dyDescent="0.3">
      <c r="A32" s="4" t="s">
        <v>275</v>
      </c>
      <c r="B32" s="4" t="s">
        <v>265</v>
      </c>
    </row>
    <row r="33" spans="1:7" x14ac:dyDescent="0.3">
      <c r="A33" s="4" t="s">
        <v>261</v>
      </c>
      <c r="B33" t="s">
        <v>238</v>
      </c>
      <c r="C33" t="s">
        <v>76</v>
      </c>
      <c r="D33" t="s">
        <v>36</v>
      </c>
      <c r="E33" t="s">
        <v>125</v>
      </c>
      <c r="F33" t="s">
        <v>59</v>
      </c>
      <c r="G33" t="s">
        <v>270</v>
      </c>
    </row>
    <row r="34" spans="1:7" x14ac:dyDescent="0.3">
      <c r="A34" s="10">
        <v>21</v>
      </c>
      <c r="C34">
        <v>1</v>
      </c>
      <c r="D34">
        <v>1</v>
      </c>
      <c r="E34">
        <v>4</v>
      </c>
      <c r="F34">
        <v>2</v>
      </c>
      <c r="G34">
        <v>8</v>
      </c>
    </row>
    <row r="35" spans="1:7" x14ac:dyDescent="0.3">
      <c r="A35" s="10">
        <v>22</v>
      </c>
      <c r="F35">
        <v>5</v>
      </c>
      <c r="G35">
        <v>5</v>
      </c>
    </row>
    <row r="36" spans="1:7" x14ac:dyDescent="0.3">
      <c r="A36" s="10">
        <v>23</v>
      </c>
      <c r="C36">
        <v>2</v>
      </c>
      <c r="D36">
        <v>3</v>
      </c>
      <c r="E36">
        <v>1</v>
      </c>
      <c r="F36">
        <v>3</v>
      </c>
      <c r="G36">
        <v>9</v>
      </c>
    </row>
    <row r="37" spans="1:7" x14ac:dyDescent="0.3">
      <c r="A37" s="10">
        <v>24</v>
      </c>
      <c r="B37">
        <v>1</v>
      </c>
      <c r="C37">
        <v>2</v>
      </c>
      <c r="E37">
        <v>2</v>
      </c>
      <c r="G37">
        <v>5</v>
      </c>
    </row>
    <row r="38" spans="1:7" x14ac:dyDescent="0.3">
      <c r="A38" s="10">
        <v>25</v>
      </c>
      <c r="B38">
        <v>1</v>
      </c>
      <c r="E38">
        <v>3</v>
      </c>
      <c r="F38">
        <v>3</v>
      </c>
      <c r="G38">
        <v>7</v>
      </c>
    </row>
    <row r="39" spans="1:7" x14ac:dyDescent="0.3">
      <c r="A39" s="10">
        <v>26</v>
      </c>
      <c r="E39">
        <v>1</v>
      </c>
      <c r="F39">
        <v>2</v>
      </c>
      <c r="G39">
        <v>3</v>
      </c>
    </row>
    <row r="40" spans="1:7" x14ac:dyDescent="0.3">
      <c r="A40" s="10">
        <v>27</v>
      </c>
      <c r="B40">
        <v>1</v>
      </c>
      <c r="C40">
        <v>1</v>
      </c>
      <c r="E40">
        <v>1</v>
      </c>
      <c r="F40">
        <v>3</v>
      </c>
      <c r="G40">
        <v>6</v>
      </c>
    </row>
    <row r="41" spans="1:7" x14ac:dyDescent="0.3">
      <c r="A41" s="10" t="s">
        <v>270</v>
      </c>
      <c r="B41">
        <v>3</v>
      </c>
      <c r="C41">
        <v>6</v>
      </c>
      <c r="D41">
        <v>4</v>
      </c>
      <c r="E41">
        <v>12</v>
      </c>
      <c r="F41">
        <v>18</v>
      </c>
      <c r="G41">
        <v>43</v>
      </c>
    </row>
    <row r="48" spans="1:7" x14ac:dyDescent="0.3">
      <c r="A48" s="4" t="s">
        <v>275</v>
      </c>
      <c r="B48" s="4" t="s">
        <v>265</v>
      </c>
    </row>
    <row r="49" spans="1:6" x14ac:dyDescent="0.3">
      <c r="A49" s="4" t="s">
        <v>261</v>
      </c>
      <c r="B49" t="s">
        <v>267</v>
      </c>
      <c r="C49" t="s">
        <v>501</v>
      </c>
      <c r="D49" t="s">
        <v>268</v>
      </c>
      <c r="E49" t="s">
        <v>269</v>
      </c>
      <c r="F49" t="s">
        <v>270</v>
      </c>
    </row>
    <row r="50" spans="1:6" x14ac:dyDescent="0.3">
      <c r="A50" s="10">
        <v>21</v>
      </c>
      <c r="E50">
        <v>8</v>
      </c>
      <c r="F50">
        <v>8</v>
      </c>
    </row>
    <row r="51" spans="1:6" x14ac:dyDescent="0.3">
      <c r="A51" s="10">
        <v>22</v>
      </c>
      <c r="E51">
        <v>5</v>
      </c>
      <c r="F51">
        <v>5</v>
      </c>
    </row>
    <row r="52" spans="1:6" x14ac:dyDescent="0.3">
      <c r="A52" s="10">
        <v>23</v>
      </c>
      <c r="D52">
        <v>2</v>
      </c>
      <c r="E52">
        <v>7</v>
      </c>
      <c r="F52">
        <v>9</v>
      </c>
    </row>
    <row r="53" spans="1:6" x14ac:dyDescent="0.3">
      <c r="A53" s="10">
        <v>24</v>
      </c>
      <c r="D53">
        <v>2</v>
      </c>
      <c r="E53">
        <v>3</v>
      </c>
      <c r="F53">
        <v>5</v>
      </c>
    </row>
    <row r="54" spans="1:6" x14ac:dyDescent="0.3">
      <c r="A54" s="10">
        <v>25</v>
      </c>
      <c r="C54">
        <v>1</v>
      </c>
      <c r="D54">
        <v>3</v>
      </c>
      <c r="E54">
        <v>4</v>
      </c>
      <c r="F54">
        <v>7</v>
      </c>
    </row>
    <row r="55" spans="1:6" x14ac:dyDescent="0.3">
      <c r="A55" s="10">
        <v>26</v>
      </c>
      <c r="D55">
        <v>1</v>
      </c>
      <c r="E55">
        <v>2</v>
      </c>
      <c r="F55">
        <v>3</v>
      </c>
    </row>
    <row r="56" spans="1:6" x14ac:dyDescent="0.3">
      <c r="A56" s="10">
        <v>27</v>
      </c>
      <c r="B56">
        <v>2</v>
      </c>
      <c r="D56">
        <v>4</v>
      </c>
      <c r="F56">
        <v>6</v>
      </c>
    </row>
    <row r="57" spans="1:6" x14ac:dyDescent="0.3">
      <c r="A57" s="10" t="s">
        <v>270</v>
      </c>
      <c r="B57">
        <v>2</v>
      </c>
      <c r="C57">
        <v>1</v>
      </c>
      <c r="D57">
        <v>12</v>
      </c>
      <c r="E57">
        <v>29</v>
      </c>
      <c r="F57">
        <v>43</v>
      </c>
    </row>
    <row r="61" spans="1:6" x14ac:dyDescent="0.3">
      <c r="B61" s="27">
        <f>+GETPIVOTDATA("[Measures].[Recuento distinto de Requisiciones]",$A$62,"[Control].[Estado]","[Control].[Estado].&amp;[Falta cotizacion]")/GETPIVOTDATA("[Measures].[Recuento distinto de Requisiciones]",$A$62)</f>
        <v>4.6511627906976744E-2</v>
      </c>
      <c r="D61" s="27">
        <f>+GETPIVOTDATA("[Measures].[Recuento distinto de Requisiciones]",$A$62,"[Control].[Estado]","[Control].[Estado].&amp;[Falta OC]")/GETPIVOTDATA("[Measures].[Recuento distinto de Requisiciones]",$A$62)</f>
        <v>0.27906976744186046</v>
      </c>
      <c r="E61">
        <f>+GETPIVOTDATA("[Measures].[Recuento distinto de Requisiciones]",$A$62,"[Control].[Estado]","[Control].[Estado].&amp;[Proceso OC completo]")/GETPIVOTDATA("[Measures].[Recuento distinto de Requisiciones]",$A$62)</f>
        <v>0.67441860465116277</v>
      </c>
    </row>
    <row r="62" spans="1:6" x14ac:dyDescent="0.3">
      <c r="A62" s="4" t="s">
        <v>275</v>
      </c>
      <c r="B62" s="4" t="s">
        <v>265</v>
      </c>
    </row>
    <row r="63" spans="1:6" x14ac:dyDescent="0.3">
      <c r="A63" s="4" t="s">
        <v>261</v>
      </c>
      <c r="B63" t="s">
        <v>267</v>
      </c>
      <c r="C63" t="s">
        <v>501</v>
      </c>
      <c r="D63" t="s">
        <v>268</v>
      </c>
      <c r="E63" t="s">
        <v>269</v>
      </c>
      <c r="F63" t="s">
        <v>270</v>
      </c>
    </row>
    <row r="64" spans="1:6" x14ac:dyDescent="0.3">
      <c r="A64" s="10" t="s">
        <v>639</v>
      </c>
      <c r="E64">
        <v>2</v>
      </c>
      <c r="F64">
        <v>2</v>
      </c>
    </row>
    <row r="65" spans="1:6" x14ac:dyDescent="0.3">
      <c r="A65" s="10" t="s">
        <v>174</v>
      </c>
      <c r="E65">
        <v>1</v>
      </c>
      <c r="F65">
        <v>1</v>
      </c>
    </row>
    <row r="66" spans="1:6" x14ac:dyDescent="0.3">
      <c r="A66" s="10" t="s">
        <v>58</v>
      </c>
      <c r="D66">
        <v>4</v>
      </c>
      <c r="E66">
        <v>9</v>
      </c>
      <c r="F66">
        <v>13</v>
      </c>
    </row>
    <row r="67" spans="1:6" x14ac:dyDescent="0.3">
      <c r="A67" s="10" t="s">
        <v>35</v>
      </c>
      <c r="B67">
        <v>1</v>
      </c>
      <c r="D67">
        <v>1</v>
      </c>
      <c r="E67">
        <v>6</v>
      </c>
      <c r="F67">
        <v>8</v>
      </c>
    </row>
    <row r="68" spans="1:6" x14ac:dyDescent="0.3">
      <c r="A68" s="10" t="s">
        <v>87</v>
      </c>
      <c r="D68">
        <v>2</v>
      </c>
      <c r="E68">
        <v>4</v>
      </c>
      <c r="F68">
        <v>6</v>
      </c>
    </row>
    <row r="69" spans="1:6" x14ac:dyDescent="0.3">
      <c r="A69" s="10" t="s">
        <v>102</v>
      </c>
      <c r="C69">
        <v>1</v>
      </c>
      <c r="D69">
        <v>5</v>
      </c>
      <c r="E69">
        <v>6</v>
      </c>
      <c r="F69">
        <v>11</v>
      </c>
    </row>
    <row r="70" spans="1:6" x14ac:dyDescent="0.3">
      <c r="A70" s="10" t="s">
        <v>124</v>
      </c>
      <c r="B70">
        <v>1</v>
      </c>
      <c r="E70">
        <v>1</v>
      </c>
      <c r="F70">
        <v>2</v>
      </c>
    </row>
    <row r="71" spans="1:6" x14ac:dyDescent="0.3">
      <c r="A71" s="10" t="s">
        <v>270</v>
      </c>
      <c r="B71">
        <v>2</v>
      </c>
      <c r="C71">
        <v>1</v>
      </c>
      <c r="D71">
        <v>12</v>
      </c>
      <c r="E71">
        <v>29</v>
      </c>
      <c r="F71">
        <v>43</v>
      </c>
    </row>
    <row r="77" spans="1:6" x14ac:dyDescent="0.3">
      <c r="A77" s="4" t="s">
        <v>275</v>
      </c>
      <c r="B77" s="4" t="s">
        <v>265</v>
      </c>
    </row>
    <row r="78" spans="1:6" x14ac:dyDescent="0.3">
      <c r="A78" s="4" t="s">
        <v>261</v>
      </c>
      <c r="B78" t="s">
        <v>267</v>
      </c>
      <c r="C78" t="s">
        <v>501</v>
      </c>
      <c r="D78" t="s">
        <v>268</v>
      </c>
      <c r="E78" t="s">
        <v>269</v>
      </c>
      <c r="F78" t="s">
        <v>270</v>
      </c>
    </row>
    <row r="79" spans="1:6" x14ac:dyDescent="0.3">
      <c r="A79" s="10" t="s">
        <v>238</v>
      </c>
      <c r="D79">
        <v>1</v>
      </c>
      <c r="E79">
        <v>2</v>
      </c>
      <c r="F79">
        <v>3</v>
      </c>
    </row>
    <row r="80" spans="1:6" x14ac:dyDescent="0.3">
      <c r="A80" s="10" t="s">
        <v>76</v>
      </c>
      <c r="B80">
        <v>1</v>
      </c>
      <c r="E80">
        <v>5</v>
      </c>
      <c r="F80">
        <v>6</v>
      </c>
    </row>
    <row r="81" spans="1:6" x14ac:dyDescent="0.3">
      <c r="A81" s="10" t="s">
        <v>36</v>
      </c>
      <c r="D81">
        <v>1</v>
      </c>
      <c r="E81">
        <v>3</v>
      </c>
      <c r="F81">
        <v>4</v>
      </c>
    </row>
    <row r="82" spans="1:6" x14ac:dyDescent="0.3">
      <c r="A82" s="10" t="s">
        <v>125</v>
      </c>
      <c r="B82">
        <v>1</v>
      </c>
      <c r="C82">
        <v>1</v>
      </c>
      <c r="D82">
        <v>4</v>
      </c>
      <c r="E82">
        <v>7</v>
      </c>
      <c r="F82">
        <v>12</v>
      </c>
    </row>
    <row r="83" spans="1:6" x14ac:dyDescent="0.3">
      <c r="A83" s="10" t="s">
        <v>59</v>
      </c>
      <c r="D83">
        <v>6</v>
      </c>
      <c r="E83">
        <v>12</v>
      </c>
      <c r="F83">
        <v>18</v>
      </c>
    </row>
    <row r="84" spans="1:6" x14ac:dyDescent="0.3">
      <c r="A84" s="10" t="s">
        <v>270</v>
      </c>
      <c r="B84">
        <v>2</v>
      </c>
      <c r="C84">
        <v>1</v>
      </c>
      <c r="D84">
        <v>12</v>
      </c>
      <c r="E84">
        <v>29</v>
      </c>
      <c r="F84">
        <v>43</v>
      </c>
    </row>
    <row r="95" spans="1:6" x14ac:dyDescent="0.3">
      <c r="C95">
        <f>+GETPIVOTDATA("[Measures].[Suma de Monto Orden 2]",$A$96,"[Control].[Estado]","[Control].[Estado].&amp;[Proceso OC completo]")/GETPIVOTDATA("[Measures].[Suma de Monto Orden 2]",$A$96)</f>
        <v>0.76579202588211481</v>
      </c>
    </row>
    <row r="96" spans="1:6" x14ac:dyDescent="0.3">
      <c r="A96" s="4" t="s">
        <v>638</v>
      </c>
      <c r="B96" s="4" t="s">
        <v>265</v>
      </c>
    </row>
    <row r="97" spans="1:4" x14ac:dyDescent="0.3">
      <c r="A97" s="4" t="s">
        <v>261</v>
      </c>
      <c r="B97" t="s">
        <v>501</v>
      </c>
      <c r="C97" t="s">
        <v>269</v>
      </c>
      <c r="D97" t="s">
        <v>270</v>
      </c>
    </row>
    <row r="98" spans="1:4" x14ac:dyDescent="0.3">
      <c r="A98" s="10">
        <v>21</v>
      </c>
      <c r="B98" s="28"/>
      <c r="C98" s="28">
        <v>2501583</v>
      </c>
      <c r="D98" s="28">
        <v>2501583</v>
      </c>
    </row>
    <row r="99" spans="1:4" x14ac:dyDescent="0.3">
      <c r="A99" s="10">
        <v>22</v>
      </c>
      <c r="B99" s="28"/>
      <c r="C99" s="28">
        <v>429808</v>
      </c>
      <c r="D99" s="28">
        <v>429808</v>
      </c>
    </row>
    <row r="100" spans="1:4" x14ac:dyDescent="0.3">
      <c r="A100" s="10">
        <v>23</v>
      </c>
      <c r="B100" s="28"/>
      <c r="C100" s="28">
        <v>7045733</v>
      </c>
      <c r="D100" s="28">
        <v>7045733</v>
      </c>
    </row>
    <row r="101" spans="1:4" x14ac:dyDescent="0.3">
      <c r="A101" s="10">
        <v>24</v>
      </c>
      <c r="B101" s="28"/>
      <c r="C101" s="28">
        <v>1112831</v>
      </c>
      <c r="D101" s="28">
        <v>1112831</v>
      </c>
    </row>
    <row r="102" spans="1:4" x14ac:dyDescent="0.3">
      <c r="A102" s="10">
        <v>25</v>
      </c>
      <c r="B102" s="28">
        <v>3839973</v>
      </c>
      <c r="C102" s="28">
        <v>964398</v>
      </c>
      <c r="D102" s="28">
        <v>4804371</v>
      </c>
    </row>
    <row r="103" spans="1:4" x14ac:dyDescent="0.3">
      <c r="A103" s="10">
        <v>26</v>
      </c>
      <c r="B103" s="28"/>
      <c r="C103" s="28">
        <v>501243</v>
      </c>
      <c r="D103" s="28">
        <v>501243</v>
      </c>
    </row>
    <row r="104" spans="1:4" x14ac:dyDescent="0.3">
      <c r="A104" s="10" t="s">
        <v>270</v>
      </c>
      <c r="B104" s="28">
        <v>3839973</v>
      </c>
      <c r="C104" s="28">
        <v>12555596</v>
      </c>
      <c r="D104" s="28">
        <v>16395569</v>
      </c>
    </row>
    <row r="108" spans="1:4" x14ac:dyDescent="0.3">
      <c r="A108" s="4" t="s">
        <v>638</v>
      </c>
      <c r="B108" s="4" t="s">
        <v>265</v>
      </c>
    </row>
    <row r="109" spans="1:4" x14ac:dyDescent="0.3">
      <c r="A109" s="4" t="s">
        <v>261</v>
      </c>
      <c r="B109" t="s">
        <v>501</v>
      </c>
      <c r="C109" t="s">
        <v>269</v>
      </c>
      <c r="D109" t="s">
        <v>270</v>
      </c>
    </row>
    <row r="110" spans="1:4" x14ac:dyDescent="0.3">
      <c r="A110" s="10" t="s">
        <v>639</v>
      </c>
      <c r="B110" s="28"/>
      <c r="C110" s="28">
        <v>2506282</v>
      </c>
      <c r="D110" s="28">
        <v>2506282</v>
      </c>
    </row>
    <row r="111" spans="1:4" x14ac:dyDescent="0.3">
      <c r="A111" s="10" t="s">
        <v>174</v>
      </c>
      <c r="B111" s="28"/>
      <c r="C111" s="28">
        <v>170922</v>
      </c>
      <c r="D111" s="28">
        <v>170922</v>
      </c>
    </row>
    <row r="112" spans="1:4" x14ac:dyDescent="0.3">
      <c r="A112" s="10" t="s">
        <v>58</v>
      </c>
      <c r="B112" s="28"/>
      <c r="C112" s="28">
        <v>3440664</v>
      </c>
      <c r="D112" s="28">
        <v>3440664</v>
      </c>
    </row>
    <row r="113" spans="1:5" x14ac:dyDescent="0.3">
      <c r="A113" s="10" t="s">
        <v>35</v>
      </c>
      <c r="B113" s="28"/>
      <c r="C113" s="28">
        <v>2367998</v>
      </c>
      <c r="D113" s="28">
        <v>2367998</v>
      </c>
    </row>
    <row r="114" spans="1:5" x14ac:dyDescent="0.3">
      <c r="A114" s="10" t="s">
        <v>87</v>
      </c>
      <c r="B114" s="28"/>
      <c r="C114" s="28">
        <v>2020618</v>
      </c>
      <c r="D114" s="28">
        <v>2020618</v>
      </c>
    </row>
    <row r="115" spans="1:5" x14ac:dyDescent="0.3">
      <c r="A115" s="10" t="s">
        <v>102</v>
      </c>
      <c r="B115" s="28">
        <v>3839973</v>
      </c>
      <c r="C115" s="28">
        <v>1485908</v>
      </c>
      <c r="D115" s="28">
        <v>5325881</v>
      </c>
      <c r="E115">
        <f>+GETPIVOTDATA("[Measures].[Suma de Monto Orden 2]",$A$108,"[Control].[Contrato Solicitante]","[Control].[Contrato Solicitante].&amp;[Servicio Atención Emergencia (SAE)]")/GETPIVOTDATA("[Measures].[Suma de Monto Orden 2]",$A$108)</f>
        <v>0.32483660676857268</v>
      </c>
    </row>
    <row r="116" spans="1:5" x14ac:dyDescent="0.3">
      <c r="A116" s="10" t="s">
        <v>124</v>
      </c>
      <c r="B116" s="28"/>
      <c r="C116" s="28">
        <v>563204</v>
      </c>
      <c r="D116" s="28">
        <v>563204</v>
      </c>
    </row>
    <row r="117" spans="1:5" x14ac:dyDescent="0.3">
      <c r="A117" s="10" t="s">
        <v>270</v>
      </c>
      <c r="B117" s="28">
        <v>3839973</v>
      </c>
      <c r="C117" s="28">
        <v>12555596</v>
      </c>
      <c r="D117" s="28">
        <v>16395569</v>
      </c>
    </row>
    <row r="122" spans="1:5" x14ac:dyDescent="0.3">
      <c r="A122" s="4" t="s">
        <v>638</v>
      </c>
      <c r="B122" s="4" t="s">
        <v>265</v>
      </c>
    </row>
    <row r="123" spans="1:5" x14ac:dyDescent="0.3">
      <c r="A123" s="4" t="s">
        <v>261</v>
      </c>
      <c r="B123" t="s">
        <v>501</v>
      </c>
      <c r="C123" t="s">
        <v>269</v>
      </c>
      <c r="D123" t="s">
        <v>270</v>
      </c>
    </row>
    <row r="124" spans="1:5" x14ac:dyDescent="0.3">
      <c r="A124" s="10" t="s">
        <v>238</v>
      </c>
      <c r="B124" s="28"/>
      <c r="C124" s="28">
        <v>818446</v>
      </c>
      <c r="D124" s="28">
        <v>818446</v>
      </c>
    </row>
    <row r="125" spans="1:5" x14ac:dyDescent="0.3">
      <c r="A125" s="10" t="s">
        <v>76</v>
      </c>
      <c r="B125" s="28"/>
      <c r="C125" s="28">
        <v>3448708</v>
      </c>
      <c r="D125" s="28">
        <v>3448708</v>
      </c>
    </row>
    <row r="126" spans="1:5" x14ac:dyDescent="0.3">
      <c r="A126" s="10" t="s">
        <v>36</v>
      </c>
      <c r="B126" s="28"/>
      <c r="C126" s="28">
        <v>1506328</v>
      </c>
      <c r="D126" s="28">
        <v>1506328</v>
      </c>
    </row>
    <row r="127" spans="1:5" x14ac:dyDescent="0.3">
      <c r="A127" s="10" t="s">
        <v>125</v>
      </c>
      <c r="B127" s="28">
        <v>3839973</v>
      </c>
      <c r="C127" s="28">
        <v>3827196</v>
      </c>
      <c r="D127" s="28">
        <v>7667169</v>
      </c>
      <c r="E127">
        <f>+GETPIVOTDATA("[Measures].[Suma de Monto Orden 2]",$A$122,"[Control].[Zona requisición]","[Control].[Zona requisición].&amp;[09 Maule Norte]")/GETPIVOTDATA("[Measures].[Suma de Monto Orden 2]",$A$122)</f>
        <v>0.46763665231746454</v>
      </c>
    </row>
    <row r="128" spans="1:5" x14ac:dyDescent="0.3">
      <c r="A128" s="10" t="s">
        <v>59</v>
      </c>
      <c r="B128" s="28"/>
      <c r="C128" s="28">
        <v>2954918</v>
      </c>
      <c r="D128" s="28">
        <v>2954918</v>
      </c>
    </row>
    <row r="129" spans="1:4" x14ac:dyDescent="0.3">
      <c r="A129" s="10" t="s">
        <v>270</v>
      </c>
      <c r="B129" s="28">
        <v>3839973</v>
      </c>
      <c r="C129" s="28">
        <v>12555596</v>
      </c>
      <c r="D129" s="28">
        <v>16395569</v>
      </c>
    </row>
    <row r="133" spans="1:4" x14ac:dyDescent="0.3">
      <c r="A133" s="4" t="s">
        <v>638</v>
      </c>
      <c r="B133" s="4" t="s">
        <v>265</v>
      </c>
    </row>
    <row r="134" spans="1:4" x14ac:dyDescent="0.3">
      <c r="A134" s="4" t="s">
        <v>261</v>
      </c>
      <c r="B134" t="s">
        <v>501</v>
      </c>
      <c r="C134" t="s">
        <v>269</v>
      </c>
      <c r="D134" t="s">
        <v>270</v>
      </c>
    </row>
    <row r="135" spans="1:4" x14ac:dyDescent="0.3">
      <c r="A135" s="10" t="s">
        <v>212</v>
      </c>
      <c r="B135" s="28">
        <v>3287381</v>
      </c>
      <c r="C135" s="28">
        <v>2609979</v>
      </c>
      <c r="D135" s="28">
        <v>5897360</v>
      </c>
    </row>
    <row r="136" spans="1:4" x14ac:dyDescent="0.3">
      <c r="A136" s="10" t="s">
        <v>33</v>
      </c>
      <c r="B136" s="28"/>
      <c r="C136" s="28">
        <v>2143266</v>
      </c>
      <c r="D136" s="28">
        <v>2143266</v>
      </c>
    </row>
    <row r="137" spans="1:4" x14ac:dyDescent="0.3">
      <c r="A137" s="10" t="s">
        <v>41</v>
      </c>
      <c r="B137" s="28">
        <v>127330</v>
      </c>
      <c r="C137" s="28">
        <v>1818972</v>
      </c>
      <c r="D137" s="28">
        <v>1946302</v>
      </c>
    </row>
    <row r="138" spans="1:4" x14ac:dyDescent="0.3">
      <c r="A138" s="10" t="s">
        <v>185</v>
      </c>
      <c r="B138" s="28"/>
      <c r="C138" s="28">
        <v>1895829</v>
      </c>
      <c r="D138" s="28">
        <v>1895829</v>
      </c>
    </row>
    <row r="139" spans="1:4" x14ac:dyDescent="0.3">
      <c r="A139" s="10" t="s">
        <v>75</v>
      </c>
      <c r="B139" s="28"/>
      <c r="C139" s="28">
        <v>1481027</v>
      </c>
      <c r="D139" s="28">
        <v>1481027</v>
      </c>
    </row>
    <row r="140" spans="1:4" x14ac:dyDescent="0.3">
      <c r="A140" s="10" t="s">
        <v>164</v>
      </c>
      <c r="B140" s="28"/>
      <c r="C140" s="28">
        <v>971730</v>
      </c>
      <c r="D140" s="28">
        <v>971730</v>
      </c>
    </row>
    <row r="141" spans="1:4" x14ac:dyDescent="0.3">
      <c r="A141" s="10" t="s">
        <v>122</v>
      </c>
      <c r="B141" s="28"/>
      <c r="C141" s="28">
        <v>498805</v>
      </c>
      <c r="D141" s="28">
        <v>498805</v>
      </c>
    </row>
    <row r="142" spans="1:4" x14ac:dyDescent="0.3">
      <c r="A142" s="10" t="s">
        <v>516</v>
      </c>
      <c r="B142" s="28"/>
      <c r="C142" s="28">
        <v>336502</v>
      </c>
      <c r="D142" s="28">
        <v>336502</v>
      </c>
    </row>
    <row r="143" spans="1:4" x14ac:dyDescent="0.3">
      <c r="A143" s="10" t="s">
        <v>149</v>
      </c>
      <c r="B143" s="28">
        <v>238455</v>
      </c>
      <c r="C143" s="28">
        <v>47558</v>
      </c>
      <c r="D143" s="28">
        <v>286013</v>
      </c>
    </row>
    <row r="144" spans="1:4" x14ac:dyDescent="0.3">
      <c r="A144" s="10" t="s">
        <v>172</v>
      </c>
      <c r="B144" s="28"/>
      <c r="C144" s="28">
        <v>273217</v>
      </c>
      <c r="D144" s="28">
        <v>273217</v>
      </c>
    </row>
    <row r="145" spans="1:4" x14ac:dyDescent="0.3">
      <c r="A145" s="10" t="s">
        <v>540</v>
      </c>
      <c r="B145" s="28">
        <v>186807</v>
      </c>
      <c r="C145" s="28">
        <v>68900</v>
      </c>
      <c r="D145" s="28">
        <v>255707</v>
      </c>
    </row>
    <row r="146" spans="1:4" x14ac:dyDescent="0.3">
      <c r="A146" s="10" t="s">
        <v>215</v>
      </c>
      <c r="B146" s="28"/>
      <c r="C146" s="28">
        <v>164277</v>
      </c>
      <c r="D146" s="28">
        <v>164277</v>
      </c>
    </row>
    <row r="147" spans="1:4" x14ac:dyDescent="0.3">
      <c r="A147" s="10" t="s">
        <v>109</v>
      </c>
      <c r="B147" s="28"/>
      <c r="C147" s="28">
        <v>142182</v>
      </c>
      <c r="D147" s="28">
        <v>142182</v>
      </c>
    </row>
    <row r="148" spans="1:4" x14ac:dyDescent="0.3">
      <c r="A148" s="10" t="s">
        <v>644</v>
      </c>
      <c r="B148" s="28"/>
      <c r="C148" s="28">
        <v>64172</v>
      </c>
      <c r="D148" s="28">
        <v>64172</v>
      </c>
    </row>
    <row r="149" spans="1:4" x14ac:dyDescent="0.3">
      <c r="A149" s="10" t="s">
        <v>44</v>
      </c>
      <c r="B149" s="28"/>
      <c r="C149" s="28">
        <v>19990</v>
      </c>
      <c r="D149" s="28">
        <v>19990</v>
      </c>
    </row>
    <row r="150" spans="1:4" x14ac:dyDescent="0.3">
      <c r="A150" s="10" t="s">
        <v>47</v>
      </c>
      <c r="B150" s="28"/>
      <c r="C150" s="28">
        <v>19190</v>
      </c>
      <c r="D150" s="28">
        <v>19190</v>
      </c>
    </row>
    <row r="151" spans="1:4" x14ac:dyDescent="0.3">
      <c r="A151" s="10" t="s">
        <v>270</v>
      </c>
      <c r="B151" s="28">
        <v>3839973</v>
      </c>
      <c r="C151" s="28">
        <v>12555596</v>
      </c>
      <c r="D151" s="28">
        <v>16395569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32"/>
  <sheetViews>
    <sheetView topLeftCell="A37" workbookViewId="0">
      <selection activeCell="G88" sqref="G88"/>
    </sheetView>
  </sheetViews>
  <sheetFormatPr baseColWidth="10" defaultColWidth="11.44140625" defaultRowHeight="14.4" x14ac:dyDescent="0.3"/>
  <cols>
    <col min="1" max="1" width="16.88671875" bestFit="1" customWidth="1"/>
    <col min="2" max="2" width="31.21875" bestFit="1" customWidth="1"/>
    <col min="3" max="3" width="33.21875" bestFit="1" customWidth="1"/>
    <col min="4" max="4" width="14" bestFit="1" customWidth="1"/>
    <col min="5" max="5" width="19.109375" bestFit="1" customWidth="1"/>
    <col min="6" max="6" width="12.77734375" bestFit="1" customWidth="1"/>
    <col min="7" max="7" width="17.21875" bestFit="1" customWidth="1"/>
    <col min="9" max="9" width="23.77734375" bestFit="1" customWidth="1"/>
    <col min="10" max="10" width="18.5546875" bestFit="1" customWidth="1"/>
    <col min="11" max="11" width="7" bestFit="1" customWidth="1"/>
    <col min="12" max="13" width="8" bestFit="1" customWidth="1"/>
    <col min="14" max="14" width="16.88671875" bestFit="1" customWidth="1"/>
    <col min="15" max="15" width="14.44140625" bestFit="1" customWidth="1"/>
    <col min="16" max="16" width="8" bestFit="1" customWidth="1"/>
    <col min="17" max="17" width="11.77734375" bestFit="1" customWidth="1"/>
    <col min="18" max="18" width="24.5546875" bestFit="1" customWidth="1"/>
    <col min="19" max="19" width="21.5546875" bestFit="1" customWidth="1"/>
    <col min="20" max="20" width="12" bestFit="1" customWidth="1"/>
    <col min="21" max="21" width="7.88671875" bestFit="1" customWidth="1"/>
    <col min="22" max="22" width="19.109375" bestFit="1" customWidth="1"/>
    <col min="23" max="23" width="12" bestFit="1" customWidth="1"/>
    <col min="24" max="24" width="8" bestFit="1" customWidth="1"/>
    <col min="25" max="25" width="24.5546875" bestFit="1" customWidth="1"/>
    <col min="26" max="26" width="24" bestFit="1" customWidth="1"/>
    <col min="27" max="28" width="8" bestFit="1" customWidth="1"/>
    <col min="29" max="29" width="11.77734375" bestFit="1" customWidth="1"/>
  </cols>
  <sheetData>
    <row r="1" spans="1:26" x14ac:dyDescent="0.3">
      <c r="A1" s="4" t="s">
        <v>261</v>
      </c>
      <c r="B1" t="s">
        <v>262</v>
      </c>
      <c r="N1" s="4" t="s">
        <v>261</v>
      </c>
      <c r="O1" t="s">
        <v>263</v>
      </c>
      <c r="R1" s="4" t="s">
        <v>264</v>
      </c>
      <c r="S1" s="4" t="s">
        <v>265</v>
      </c>
    </row>
    <row r="2" spans="1:26" x14ac:dyDescent="0.3">
      <c r="A2" s="10" t="s">
        <v>266</v>
      </c>
      <c r="B2">
        <v>22</v>
      </c>
      <c r="N2" s="10" t="s">
        <v>29</v>
      </c>
      <c r="O2">
        <v>4</v>
      </c>
      <c r="R2" s="4" t="s">
        <v>261</v>
      </c>
      <c r="S2" t="s">
        <v>267</v>
      </c>
      <c r="T2" t="s">
        <v>501</v>
      </c>
      <c r="U2" t="s">
        <v>268</v>
      </c>
      <c r="V2" t="s">
        <v>269</v>
      </c>
      <c r="W2" t="s">
        <v>270</v>
      </c>
    </row>
    <row r="3" spans="1:26" x14ac:dyDescent="0.3">
      <c r="A3" s="13" t="s">
        <v>271</v>
      </c>
      <c r="B3">
        <v>22</v>
      </c>
      <c r="N3" s="10" t="s">
        <v>53</v>
      </c>
      <c r="O3">
        <v>1</v>
      </c>
      <c r="R3" s="10" t="s">
        <v>238</v>
      </c>
      <c r="U3">
        <v>1</v>
      </c>
      <c r="V3">
        <v>4</v>
      </c>
      <c r="W3">
        <v>5</v>
      </c>
      <c r="Y3" s="4" t="s">
        <v>261</v>
      </c>
      <c r="Z3" t="s">
        <v>272</v>
      </c>
    </row>
    <row r="4" spans="1:26" x14ac:dyDescent="0.3">
      <c r="A4" s="10" t="s">
        <v>273</v>
      </c>
      <c r="B4">
        <v>40</v>
      </c>
      <c r="N4" s="10" t="s">
        <v>66</v>
      </c>
      <c r="O4">
        <v>1</v>
      </c>
      <c r="R4" s="10" t="s">
        <v>76</v>
      </c>
      <c r="S4">
        <v>1</v>
      </c>
      <c r="V4">
        <v>8</v>
      </c>
      <c r="W4">
        <v>9</v>
      </c>
      <c r="Y4" s="10" t="s">
        <v>238</v>
      </c>
      <c r="Z4">
        <v>5</v>
      </c>
    </row>
    <row r="5" spans="1:26" x14ac:dyDescent="0.3">
      <c r="A5" s="10" t="s">
        <v>640</v>
      </c>
      <c r="B5">
        <v>2</v>
      </c>
      <c r="N5" s="10" t="s">
        <v>74</v>
      </c>
      <c r="O5">
        <v>2</v>
      </c>
      <c r="R5" s="10" t="s">
        <v>36</v>
      </c>
      <c r="U5">
        <v>1</v>
      </c>
      <c r="V5">
        <v>8</v>
      </c>
      <c r="W5">
        <v>9</v>
      </c>
      <c r="Y5" s="10" t="s">
        <v>76</v>
      </c>
      <c r="Z5">
        <v>9</v>
      </c>
    </row>
    <row r="6" spans="1:26" x14ac:dyDescent="0.3">
      <c r="A6" s="10" t="s">
        <v>270</v>
      </c>
      <c r="B6">
        <v>64</v>
      </c>
      <c r="N6" s="10" t="s">
        <v>84</v>
      </c>
      <c r="O6">
        <v>1</v>
      </c>
      <c r="R6" s="10" t="s">
        <v>125</v>
      </c>
      <c r="S6">
        <v>1</v>
      </c>
      <c r="T6">
        <v>4</v>
      </c>
      <c r="U6">
        <v>4</v>
      </c>
      <c r="V6">
        <v>12</v>
      </c>
      <c r="W6">
        <v>21</v>
      </c>
      <c r="Y6" s="10" t="s">
        <v>36</v>
      </c>
      <c r="Z6">
        <v>9</v>
      </c>
    </row>
    <row r="7" spans="1:26" x14ac:dyDescent="0.3">
      <c r="N7" s="10" t="s">
        <v>93</v>
      </c>
      <c r="O7">
        <v>1</v>
      </c>
      <c r="R7" s="10" t="s">
        <v>59</v>
      </c>
      <c r="U7">
        <v>6</v>
      </c>
      <c r="V7">
        <v>14</v>
      </c>
      <c r="W7">
        <v>20</v>
      </c>
      <c r="Y7" s="10" t="s">
        <v>125</v>
      </c>
      <c r="Z7">
        <v>21</v>
      </c>
    </row>
    <row r="8" spans="1:26" x14ac:dyDescent="0.3">
      <c r="N8" s="10" t="s">
        <v>101</v>
      </c>
      <c r="O8">
        <v>1</v>
      </c>
      <c r="R8" s="10" t="s">
        <v>270</v>
      </c>
      <c r="S8">
        <v>2</v>
      </c>
      <c r="T8">
        <v>4</v>
      </c>
      <c r="U8">
        <v>12</v>
      </c>
      <c r="V8">
        <v>46</v>
      </c>
      <c r="W8">
        <v>64</v>
      </c>
      <c r="Y8" s="10" t="s">
        <v>59</v>
      </c>
      <c r="Z8">
        <v>20</v>
      </c>
    </row>
    <row r="9" spans="1:26" x14ac:dyDescent="0.3">
      <c r="N9" s="10" t="s">
        <v>108</v>
      </c>
      <c r="O9">
        <v>1</v>
      </c>
      <c r="Y9" s="10" t="s">
        <v>270</v>
      </c>
      <c r="Z9">
        <v>64</v>
      </c>
    </row>
    <row r="10" spans="1:26" x14ac:dyDescent="0.3">
      <c r="N10" s="10" t="s">
        <v>115</v>
      </c>
      <c r="O10">
        <v>1</v>
      </c>
      <c r="U10" s="2"/>
    </row>
    <row r="11" spans="1:26" x14ac:dyDescent="0.3">
      <c r="N11" s="10" t="s">
        <v>121</v>
      </c>
      <c r="O11">
        <v>3</v>
      </c>
      <c r="U11" s="2"/>
    </row>
    <row r="12" spans="1:26" x14ac:dyDescent="0.3">
      <c r="N12" s="10" t="s">
        <v>135</v>
      </c>
      <c r="O12">
        <v>2</v>
      </c>
      <c r="U12" s="2"/>
    </row>
    <row r="13" spans="1:26" x14ac:dyDescent="0.3">
      <c r="N13" s="10" t="s">
        <v>145</v>
      </c>
      <c r="O13">
        <v>3</v>
      </c>
      <c r="U13" s="2"/>
    </row>
    <row r="14" spans="1:26" x14ac:dyDescent="0.3">
      <c r="N14" s="10" t="s">
        <v>156</v>
      </c>
      <c r="O14">
        <v>1</v>
      </c>
      <c r="U14" s="2"/>
    </row>
    <row r="15" spans="1:26" x14ac:dyDescent="0.3">
      <c r="N15" s="10" t="s">
        <v>162</v>
      </c>
      <c r="O15">
        <v>1</v>
      </c>
      <c r="U15" s="2"/>
    </row>
    <row r="16" spans="1:26" x14ac:dyDescent="0.3">
      <c r="N16" s="10" t="s">
        <v>171</v>
      </c>
      <c r="O16">
        <v>3</v>
      </c>
      <c r="U16" s="2"/>
    </row>
    <row r="17" spans="14:21" x14ac:dyDescent="0.3">
      <c r="N17" s="10" t="s">
        <v>184</v>
      </c>
      <c r="O17">
        <v>1</v>
      </c>
      <c r="U17" s="2"/>
    </row>
    <row r="18" spans="14:21" x14ac:dyDescent="0.3">
      <c r="N18" s="10" t="s">
        <v>191</v>
      </c>
      <c r="O18">
        <v>1</v>
      </c>
      <c r="U18" s="2"/>
    </row>
    <row r="19" spans="14:21" x14ac:dyDescent="0.3">
      <c r="N19" s="10" t="s">
        <v>205</v>
      </c>
      <c r="O19">
        <v>1</v>
      </c>
      <c r="U19" s="2"/>
    </row>
    <row r="20" spans="14:21" x14ac:dyDescent="0.3">
      <c r="N20" s="10" t="s">
        <v>210</v>
      </c>
      <c r="O20">
        <v>3</v>
      </c>
      <c r="U20" s="2"/>
    </row>
    <row r="21" spans="14:21" x14ac:dyDescent="0.3">
      <c r="N21" s="10" t="s">
        <v>226</v>
      </c>
      <c r="O21">
        <v>1</v>
      </c>
      <c r="U21" s="2"/>
    </row>
    <row r="22" spans="14:21" x14ac:dyDescent="0.3">
      <c r="N22" s="10" t="s">
        <v>233</v>
      </c>
      <c r="O22">
        <v>3</v>
      </c>
      <c r="U22" s="2"/>
    </row>
    <row r="23" spans="14:21" x14ac:dyDescent="0.3">
      <c r="N23" s="10" t="s">
        <v>237</v>
      </c>
      <c r="O23">
        <v>3</v>
      </c>
      <c r="U23" s="2"/>
    </row>
    <row r="24" spans="14:21" x14ac:dyDescent="0.3">
      <c r="N24" s="10" t="s">
        <v>242</v>
      </c>
      <c r="O24">
        <v>1</v>
      </c>
      <c r="U24" s="2"/>
    </row>
    <row r="25" spans="14:21" x14ac:dyDescent="0.3">
      <c r="N25" s="10" t="s">
        <v>514</v>
      </c>
      <c r="O25">
        <v>1</v>
      </c>
      <c r="U25" s="2"/>
    </row>
    <row r="26" spans="14:21" x14ac:dyDescent="0.3">
      <c r="N26" s="10" t="s">
        <v>521</v>
      </c>
      <c r="O26">
        <v>1</v>
      </c>
      <c r="U26" s="2"/>
    </row>
    <row r="27" spans="14:21" x14ac:dyDescent="0.3">
      <c r="N27" s="10" t="s">
        <v>547</v>
      </c>
      <c r="O27">
        <v>1</v>
      </c>
      <c r="U27" s="2"/>
    </row>
    <row r="28" spans="14:21" x14ac:dyDescent="0.3">
      <c r="N28" s="10" t="s">
        <v>553</v>
      </c>
      <c r="O28">
        <v>5</v>
      </c>
      <c r="U28" s="2"/>
    </row>
    <row r="29" spans="14:21" x14ac:dyDescent="0.3">
      <c r="N29" s="10" t="s">
        <v>558</v>
      </c>
      <c r="O29">
        <v>1</v>
      </c>
      <c r="U29" s="2"/>
    </row>
    <row r="30" spans="14:21" x14ac:dyDescent="0.3">
      <c r="N30" s="10" t="s">
        <v>606</v>
      </c>
      <c r="O30">
        <v>1</v>
      </c>
      <c r="U30" s="2"/>
    </row>
    <row r="31" spans="14:21" x14ac:dyDescent="0.3">
      <c r="N31" s="10" t="s">
        <v>270</v>
      </c>
      <c r="O31">
        <v>50</v>
      </c>
      <c r="U31" s="2"/>
    </row>
    <row r="32" spans="14:21" x14ac:dyDescent="0.3">
      <c r="U32" s="2"/>
    </row>
    <row r="33" spans="1:21" x14ac:dyDescent="0.3">
      <c r="A33" s="4" t="s">
        <v>261</v>
      </c>
      <c r="B33" t="s">
        <v>274</v>
      </c>
      <c r="U33" s="2"/>
    </row>
    <row r="34" spans="1:21" x14ac:dyDescent="0.3">
      <c r="A34" s="10" t="s">
        <v>267</v>
      </c>
      <c r="B34">
        <v>2</v>
      </c>
      <c r="U34" s="2"/>
    </row>
    <row r="35" spans="1:21" x14ac:dyDescent="0.3">
      <c r="A35" s="10" t="s">
        <v>268</v>
      </c>
      <c r="B35">
        <v>13</v>
      </c>
      <c r="U35" s="2"/>
    </row>
    <row r="36" spans="1:21" x14ac:dyDescent="0.3">
      <c r="A36" s="10" t="s">
        <v>501</v>
      </c>
      <c r="B36">
        <v>18</v>
      </c>
      <c r="U36" s="2"/>
    </row>
    <row r="37" spans="1:21" x14ac:dyDescent="0.3">
      <c r="A37" s="10" t="s">
        <v>269</v>
      </c>
      <c r="B37">
        <v>31</v>
      </c>
      <c r="U37" s="2"/>
    </row>
    <row r="38" spans="1:21" x14ac:dyDescent="0.3">
      <c r="A38" s="10" t="s">
        <v>270</v>
      </c>
      <c r="B38">
        <v>64</v>
      </c>
      <c r="U38" s="2"/>
    </row>
    <row r="39" spans="1:21" x14ac:dyDescent="0.3">
      <c r="U39" s="2"/>
    </row>
    <row r="40" spans="1:21" x14ac:dyDescent="0.3">
      <c r="U40" s="2"/>
    </row>
    <row r="41" spans="1:21" x14ac:dyDescent="0.3">
      <c r="U41" s="2"/>
    </row>
    <row r="42" spans="1:21" x14ac:dyDescent="0.3">
      <c r="U42" s="2"/>
    </row>
    <row r="43" spans="1:21" x14ac:dyDescent="0.3">
      <c r="U43" s="2"/>
    </row>
    <row r="44" spans="1:21" x14ac:dyDescent="0.3">
      <c r="U44" s="2"/>
    </row>
    <row r="45" spans="1:21" x14ac:dyDescent="0.3">
      <c r="U45" s="2"/>
    </row>
    <row r="46" spans="1:21" x14ac:dyDescent="0.3">
      <c r="U46" s="2"/>
    </row>
    <row r="47" spans="1:21" x14ac:dyDescent="0.3">
      <c r="U47" s="2"/>
    </row>
    <row r="48" spans="1:21" x14ac:dyDescent="0.3">
      <c r="U48" s="2"/>
    </row>
    <row r="49" spans="1:21" x14ac:dyDescent="0.3">
      <c r="U49" s="2"/>
    </row>
    <row r="50" spans="1:21" x14ac:dyDescent="0.3">
      <c r="U50" s="2"/>
    </row>
    <row r="51" spans="1:21" x14ac:dyDescent="0.3">
      <c r="U51" s="2"/>
    </row>
    <row r="52" spans="1:21" x14ac:dyDescent="0.3">
      <c r="U52" s="2"/>
    </row>
    <row r="53" spans="1:21" x14ac:dyDescent="0.3">
      <c r="U53" s="2"/>
    </row>
    <row r="54" spans="1:21" x14ac:dyDescent="0.3">
      <c r="U54" s="2"/>
    </row>
    <row r="55" spans="1:21" x14ac:dyDescent="0.3">
      <c r="U55" s="2"/>
    </row>
    <row r="56" spans="1:21" x14ac:dyDescent="0.3">
      <c r="A56" s="4" t="s">
        <v>261</v>
      </c>
      <c r="B56" t="s">
        <v>275</v>
      </c>
      <c r="U56" s="2"/>
    </row>
    <row r="57" spans="1:21" x14ac:dyDescent="0.3">
      <c r="A57" s="10" t="s">
        <v>266</v>
      </c>
      <c r="B57">
        <v>13</v>
      </c>
      <c r="U57" s="2"/>
    </row>
    <row r="58" spans="1:21" x14ac:dyDescent="0.3">
      <c r="A58" s="10" t="s">
        <v>273</v>
      </c>
      <c r="B58">
        <v>28</v>
      </c>
      <c r="U58" s="2"/>
    </row>
    <row r="59" spans="1:21" x14ac:dyDescent="0.3">
      <c r="A59" s="10" t="s">
        <v>640</v>
      </c>
      <c r="B59">
        <v>2</v>
      </c>
      <c r="U59" s="2"/>
    </row>
    <row r="60" spans="1:21" x14ac:dyDescent="0.3">
      <c r="A60" s="10" t="s">
        <v>270</v>
      </c>
      <c r="B60">
        <v>43</v>
      </c>
      <c r="U60" s="2"/>
    </row>
    <row r="61" spans="1:21" x14ac:dyDescent="0.3">
      <c r="U61" s="2"/>
    </row>
    <row r="62" spans="1:21" x14ac:dyDescent="0.3">
      <c r="U62" s="2"/>
    </row>
    <row r="63" spans="1:21" x14ac:dyDescent="0.3">
      <c r="U63" s="2"/>
    </row>
    <row r="64" spans="1:21" x14ac:dyDescent="0.3">
      <c r="U64" s="2"/>
    </row>
    <row r="65" spans="4:21" x14ac:dyDescent="0.3">
      <c r="U65" s="2"/>
    </row>
    <row r="66" spans="4:21" x14ac:dyDescent="0.3">
      <c r="U66" s="2"/>
    </row>
    <row r="67" spans="4:21" x14ac:dyDescent="0.3">
      <c r="U67" s="2"/>
    </row>
    <row r="68" spans="4:21" x14ac:dyDescent="0.3">
      <c r="U68" s="2"/>
    </row>
    <row r="74" spans="4:21" x14ac:dyDescent="0.3">
      <c r="D74" s="11" t="s">
        <v>276</v>
      </c>
      <c r="E74" s="26" t="s">
        <v>277</v>
      </c>
      <c r="F74" s="26" t="s">
        <v>278</v>
      </c>
      <c r="G74" s="26" t="s">
        <v>279</v>
      </c>
      <c r="I74" t="s">
        <v>280</v>
      </c>
    </row>
    <row r="75" spans="4:21" x14ac:dyDescent="0.3">
      <c r="D75" t="s">
        <v>29</v>
      </c>
      <c r="E75" s="7">
        <v>607125</v>
      </c>
      <c r="F75" s="7">
        <v>607126</v>
      </c>
      <c r="G75" s="7" t="str">
        <f>+IF(Monto_Pendiente[[#This Row],[Monto OC]]&lt;&gt;"","",Monto_Pendiente[[#This Row],[Monto Cotizacion]])</f>
        <v/>
      </c>
      <c r="I75" s="25">
        <v>24260334</v>
      </c>
    </row>
    <row r="76" spans="4:21" x14ac:dyDescent="0.3">
      <c r="D76" t="s">
        <v>53</v>
      </c>
      <c r="E76" s="7">
        <v>49990</v>
      </c>
      <c r="F76" s="7">
        <v>227646</v>
      </c>
      <c r="G76" s="7" t="str">
        <f>+IF(Monto_Pendiente[[#This Row],[Monto OC]]&lt;&gt;"","",Monto_Pendiente[[#This Row],[Monto Cotizacion]])</f>
        <v/>
      </c>
    </row>
    <row r="77" spans="4:21" x14ac:dyDescent="0.3">
      <c r="D77" t="s">
        <v>66</v>
      </c>
      <c r="E77" s="7">
        <v>65695</v>
      </c>
      <c r="F77" s="7">
        <v>65695</v>
      </c>
      <c r="G77" s="7" t="str">
        <f>+IF(Monto_Pendiente[[#This Row],[Monto OC]]&lt;&gt;"","",Monto_Pendiente[[#This Row],[Monto Cotizacion]])</f>
        <v/>
      </c>
    </row>
    <row r="78" spans="4:21" x14ac:dyDescent="0.3">
      <c r="D78" t="s">
        <v>74</v>
      </c>
      <c r="E78" s="7">
        <v>428402</v>
      </c>
      <c r="F78" s="7">
        <v>404591</v>
      </c>
      <c r="G78" s="7" t="str">
        <f>+IF(Monto_Pendiente[[#This Row],[Monto OC]]&lt;&gt;"","",Monto_Pendiente[[#This Row],[Monto Cotizacion]])</f>
        <v/>
      </c>
    </row>
    <row r="79" spans="4:21" x14ac:dyDescent="0.3">
      <c r="D79" t="s">
        <v>84</v>
      </c>
      <c r="E79" s="7">
        <v>756638</v>
      </c>
      <c r="F79" s="7">
        <v>227646</v>
      </c>
      <c r="G79" s="7" t="str">
        <f>+IF(Monto_Pendiente[[#This Row],[Monto OC]]&lt;&gt;"","",Monto_Pendiente[[#This Row],[Monto Cotizacion]])</f>
        <v/>
      </c>
    </row>
    <row r="80" spans="4:21" x14ac:dyDescent="0.3">
      <c r="D80" t="s">
        <v>93</v>
      </c>
      <c r="E80" s="7">
        <v>29990</v>
      </c>
      <c r="F80" s="7">
        <v>29990</v>
      </c>
      <c r="G80" s="7" t="str">
        <f>+IF(Monto_Pendiente[[#This Row],[Monto OC]]&lt;&gt;"","",Monto_Pendiente[[#This Row],[Monto Cotizacion]])</f>
        <v/>
      </c>
    </row>
    <row r="81" spans="2:7" x14ac:dyDescent="0.3">
      <c r="D81" t="s">
        <v>108</v>
      </c>
      <c r="E81" s="7">
        <v>71091</v>
      </c>
      <c r="F81" s="7">
        <v>71091</v>
      </c>
      <c r="G81" s="7" t="str">
        <f>+IF(Monto_Pendiente[[#This Row],[Monto OC]]&lt;&gt;"","",Monto_Pendiente[[#This Row],[Monto Cotizacion]])</f>
        <v/>
      </c>
    </row>
    <row r="82" spans="2:7" x14ac:dyDescent="0.3">
      <c r="D82" t="s">
        <v>115</v>
      </c>
      <c r="E82" s="7">
        <v>71091</v>
      </c>
      <c r="F82" s="7">
        <v>71091</v>
      </c>
      <c r="G82" s="7" t="str">
        <f>+IF(Monto_Pendiente[[#This Row],[Monto OC]]&lt;&gt;"","",Monto_Pendiente[[#This Row],[Monto Cotizacion]])</f>
        <v/>
      </c>
    </row>
    <row r="83" spans="2:7" x14ac:dyDescent="0.3">
      <c r="D83" t="s">
        <v>121</v>
      </c>
      <c r="E83" s="7">
        <v>547689</v>
      </c>
      <c r="F83" s="7">
        <v>563204</v>
      </c>
      <c r="G83" s="7" t="str">
        <f>+IF(Monto_Pendiente[[#This Row],[Monto OC]]&lt;&gt;"","",Monto_Pendiente[[#This Row],[Monto Cotizacion]])</f>
        <v/>
      </c>
    </row>
    <row r="84" spans="2:7" x14ac:dyDescent="0.3">
      <c r="D84" t="s">
        <v>135</v>
      </c>
      <c r="E84" s="7">
        <v>69017</v>
      </c>
      <c r="F84" s="7">
        <v>85631</v>
      </c>
      <c r="G84" s="7" t="str">
        <f>+IF(Monto_Pendiente[[#This Row],[Monto OC]]&lt;&gt;"","",Monto_Pendiente[[#This Row],[Monto Cotizacion]])</f>
        <v/>
      </c>
    </row>
    <row r="85" spans="2:7" x14ac:dyDescent="0.3">
      <c r="D85" t="s">
        <v>145</v>
      </c>
      <c r="E85" s="7">
        <v>547689</v>
      </c>
      <c r="F85" s="7">
        <v>547690</v>
      </c>
      <c r="G85" s="7" t="str">
        <f>+IF(Monto_Pendiente[[#This Row],[Monto OC]]&lt;&gt;"","",Monto_Pendiente[[#This Row],[Monto Cotizacion]])</f>
        <v/>
      </c>
    </row>
    <row r="86" spans="2:7" x14ac:dyDescent="0.3">
      <c r="D86" t="s">
        <v>162</v>
      </c>
      <c r="E86" s="7">
        <v>728280</v>
      </c>
      <c r="F86" s="7">
        <v>728280</v>
      </c>
      <c r="G86" s="7" t="str">
        <f>+IF(Monto_Pendiente[[#This Row],[Monto OC]]&lt;&gt;"","",Monto_Pendiente[[#This Row],[Monto Cotizacion]])</f>
        <v/>
      </c>
    </row>
    <row r="87" spans="2:7" x14ac:dyDescent="0.3">
      <c r="D87" t="s">
        <v>171</v>
      </c>
      <c r="E87" s="7">
        <v>170924</v>
      </c>
      <c r="F87" s="7">
        <v>170922</v>
      </c>
      <c r="G87" s="7" t="str">
        <f>+IF(Monto_Pendiente[[#This Row],[Monto OC]]&lt;&gt;"","",Monto_Pendiente[[#This Row],[Monto Cotizacion]])</f>
        <v/>
      </c>
    </row>
    <row r="88" spans="2:7" x14ac:dyDescent="0.3">
      <c r="D88" t="s">
        <v>199</v>
      </c>
      <c r="E88" s="7">
        <v>2654479</v>
      </c>
      <c r="F88" s="7"/>
      <c r="G88" s="7">
        <f>+IF(Monto_Pendiente[[#This Row],[Monto OC]]&lt;&gt;"","",Monto_Pendiente[[#This Row],[Monto Cotizacion]])</f>
        <v>2654479</v>
      </c>
    </row>
    <row r="89" spans="2:7" x14ac:dyDescent="0.3">
      <c r="D89" t="s">
        <v>205</v>
      </c>
      <c r="E89" s="7">
        <v>174204</v>
      </c>
      <c r="F89" s="7">
        <v>174204</v>
      </c>
      <c r="G89" s="7" t="str">
        <f>+IF(Monto_Pendiente[[#This Row],[Monto OC]]&lt;&gt;"","",Monto_Pendiente[[#This Row],[Monto Cotizacion]])</f>
        <v/>
      </c>
    </row>
    <row r="90" spans="2:7" x14ac:dyDescent="0.3">
      <c r="D90" t="s">
        <v>210</v>
      </c>
      <c r="E90" s="7">
        <v>1921302</v>
      </c>
      <c r="F90" s="7">
        <v>1921302</v>
      </c>
      <c r="G90" s="7" t="str">
        <f>+IF(Monto_Pendiente[[#This Row],[Monto OC]]&lt;&gt;"","",Monto_Pendiente[[#This Row],[Monto Cotizacion]])</f>
        <v/>
      </c>
    </row>
    <row r="91" spans="2:7" x14ac:dyDescent="0.3">
      <c r="D91" t="s">
        <v>226</v>
      </c>
      <c r="E91" s="7">
        <v>305488</v>
      </c>
      <c r="F91" s="7">
        <v>305487</v>
      </c>
      <c r="G91" s="7" t="str">
        <f>+IF(Monto_Pendiente[[#This Row],[Monto OC]]&lt;&gt;"","",Monto_Pendiente[[#This Row],[Monto Cotizacion]])</f>
        <v/>
      </c>
    </row>
    <row r="92" spans="2:7" x14ac:dyDescent="0.3">
      <c r="D92" t="s">
        <v>233</v>
      </c>
      <c r="E92" s="7">
        <v>1321173</v>
      </c>
      <c r="F92" s="7">
        <v>1570216</v>
      </c>
      <c r="G92" s="7" t="str">
        <f>+IF(Monto_Pendiente[[#This Row],[Monto OC]]&lt;&gt;"","",Monto_Pendiente[[#This Row],[Monto Cotizacion]])</f>
        <v/>
      </c>
    </row>
    <row r="93" spans="2:7" x14ac:dyDescent="0.3">
      <c r="D93" t="s">
        <v>237</v>
      </c>
      <c r="E93" s="7">
        <v>574996</v>
      </c>
      <c r="F93" s="7">
        <v>574996</v>
      </c>
      <c r="G93" s="7" t="str">
        <f>+IF(Monto_Pendiente[[#This Row],[Monto OC]]&lt;&gt;"","",Monto_Pendiente[[#This Row],[Monto Cotizacion]])</f>
        <v/>
      </c>
    </row>
    <row r="94" spans="2:7" x14ac:dyDescent="0.3">
      <c r="D94" t="s">
        <v>242</v>
      </c>
      <c r="E94" s="7">
        <v>278818</v>
      </c>
      <c r="F94" s="7">
        <v>232348</v>
      </c>
      <c r="G94" s="7" t="str">
        <f>+IF(Monto_Pendiente[[#This Row],[Monto OC]]&lt;&gt;"","",Monto_Pendiente[[#This Row],[Monto Cotizacion]])</f>
        <v/>
      </c>
    </row>
    <row r="95" spans="2:7" x14ac:dyDescent="0.3">
      <c r="B95" s="25">
        <f>+Monto_Pendiente[[#This Row],[Monto Cotizacion]]+E98+E106</f>
        <v>6048686</v>
      </c>
      <c r="C95" t="str">
        <f>+'[1]Tabla Control'!$A$43</f>
        <v>026_15062026_Sae_Maule norte.xlsx</v>
      </c>
      <c r="D95" t="s">
        <v>247</v>
      </c>
      <c r="E95" s="7">
        <v>3838571</v>
      </c>
      <c r="F95" s="7"/>
      <c r="G95" s="7">
        <f>+IF(Monto_Pendiente[[#This Row],[Monto OC]]&lt;&gt;"","",Monto_Pendiente[[#This Row],[Monto Cotizacion]])</f>
        <v>3838571</v>
      </c>
    </row>
    <row r="96" spans="2:7" x14ac:dyDescent="0.3">
      <c r="C96" t="str">
        <f>+'[1]Tabla Control'!$A$44</f>
        <v>027_12062026_Sae_Maule Norte.xlsx</v>
      </c>
      <c r="D96" t="s">
        <v>252</v>
      </c>
      <c r="E96" s="7">
        <v>1748924</v>
      </c>
      <c r="F96" s="7"/>
      <c r="G96" s="7">
        <f>+IF(Monto_Pendiente[[#This Row],[Monto OC]]&lt;&gt;"","",Monto_Pendiente[[#This Row],[Monto Cotizacion]])</f>
        <v>1748924</v>
      </c>
    </row>
    <row r="97" spans="3:7" x14ac:dyDescent="0.3">
      <c r="C97" t="str">
        <f>+'[1]Tabla Control'!$A$45</f>
        <v>028_12062026_CYM_Maule Norte.xlsx</v>
      </c>
      <c r="D97" t="s">
        <v>257</v>
      </c>
      <c r="E97" s="7">
        <v>363163</v>
      </c>
      <c r="F97" s="7"/>
      <c r="G97" s="7">
        <f>+IF(Monto_Pendiente[[#This Row],[Monto OC]]&lt;&gt;"","",Monto_Pendiente[[#This Row],[Monto Cotizacion]])</f>
        <v>363163</v>
      </c>
    </row>
    <row r="98" spans="3:7" x14ac:dyDescent="0.3">
      <c r="C98" t="str">
        <f>+'[1]Tabla Control'!$A$46</f>
        <v>029_15062026_Sae_Maule Norte.xlsx</v>
      </c>
      <c r="D98" t="s">
        <v>260</v>
      </c>
      <c r="E98" s="7">
        <v>1153252</v>
      </c>
      <c r="F98" s="7"/>
      <c r="G98" s="7">
        <f>+IF(Monto_Pendiente[[#This Row],[Monto OC]]&lt;&gt;"","",Monto_Pendiente[[#This Row],[Monto Cotizacion]])</f>
        <v>1153252</v>
      </c>
    </row>
    <row r="99" spans="3:7" x14ac:dyDescent="0.3">
      <c r="D99" t="s">
        <v>521</v>
      </c>
      <c r="E99" s="7">
        <v>48552</v>
      </c>
      <c r="F99" s="7">
        <v>48552</v>
      </c>
      <c r="G99" s="7" t="str">
        <f>+IF(Monto_Pendiente[[#This Row],[Monto OC]]&lt;&gt;"","",Monto_Pendiente[[#This Row],[Monto Cotizacion]])</f>
        <v/>
      </c>
    </row>
    <row r="100" spans="3:7" x14ac:dyDescent="0.3">
      <c r="C100" t="str">
        <f>+'[1]Tabla Control'!$A$50</f>
        <v>033_17062026_Control perdida_Rancagua.xlsx</v>
      </c>
      <c r="D100" t="s">
        <v>547</v>
      </c>
      <c r="E100" s="7">
        <v>243450</v>
      </c>
      <c r="F100" s="7">
        <v>243450</v>
      </c>
      <c r="G100" s="7" t="str">
        <f>+IF(Monto_Pendiente[[#This Row],[Monto OC]]&lt;&gt;"","",Monto_Pendiente[[#This Row],[Monto Cotizacion]])</f>
        <v/>
      </c>
    </row>
    <row r="101" spans="3:7" x14ac:dyDescent="0.3">
      <c r="C101" t="str">
        <f>+'[1]Tabla Control'!$A$51</f>
        <v>034_19062026_SAE_Maule Norte.xlsx</v>
      </c>
      <c r="D101" t="s">
        <v>553</v>
      </c>
      <c r="E101" s="7">
        <v>4175867</v>
      </c>
      <c r="F101" s="7">
        <v>4175867</v>
      </c>
      <c r="G101" s="7" t="str">
        <f>+IF(Monto_Pendiente[[#This Row],[Monto OC]]&lt;&gt;"","",Monto_Pendiente[[#This Row],[Monto Cotizacion]])</f>
        <v/>
      </c>
    </row>
    <row r="102" spans="3:7" x14ac:dyDescent="0.3">
      <c r="D102" t="s">
        <v>563</v>
      </c>
      <c r="E102" s="7">
        <v>98440</v>
      </c>
      <c r="F102" s="7"/>
      <c r="G102" s="7">
        <f>+IF(Monto_Pendiente[[#This Row],[Monto OC]]&lt;&gt;"","",Monto_Pendiente[[#This Row],[Monto Cotizacion]])</f>
        <v>98440</v>
      </c>
    </row>
    <row r="103" spans="3:7" x14ac:dyDescent="0.3">
      <c r="D103" t="s">
        <v>613</v>
      </c>
      <c r="E103" s="7">
        <v>35196</v>
      </c>
      <c r="F103" s="7"/>
      <c r="G103" s="7">
        <f>+IF(Monto_Pendiente[[#This Row],[Monto OC]]&lt;&gt;"","",Monto_Pendiente[[#This Row],[Monto Cotizacion]])</f>
        <v>35196</v>
      </c>
    </row>
    <row r="104" spans="3:7" x14ac:dyDescent="0.3">
      <c r="D104" t="s">
        <v>618</v>
      </c>
      <c r="E104" s="7">
        <v>35196</v>
      </c>
      <c r="F104" s="7"/>
      <c r="G104" s="7">
        <f>+IF(Monto_Pendiente[[#This Row],[Monto OC]]&lt;&gt;"","",Monto_Pendiente[[#This Row],[Monto Cotizacion]])</f>
        <v>35196</v>
      </c>
    </row>
    <row r="105" spans="3:7" x14ac:dyDescent="0.3">
      <c r="C105" s="7">
        <f>+E95+E96+E98+E106</f>
        <v>7797610</v>
      </c>
      <c r="D105" t="s">
        <v>606</v>
      </c>
      <c r="E105" s="7">
        <v>398948</v>
      </c>
      <c r="F105" s="7">
        <v>398948</v>
      </c>
      <c r="G105" s="7" t="str">
        <f>+IF(Monto_Pendiente[[#This Row],[Monto OC]]&lt;&gt;"","",Monto_Pendiente[[#This Row],[Monto Cotizacion]])</f>
        <v/>
      </c>
    </row>
    <row r="106" spans="3:7" x14ac:dyDescent="0.3">
      <c r="D106" t="s">
        <v>625</v>
      </c>
      <c r="E106" s="7">
        <v>1056863</v>
      </c>
      <c r="F106" s="7"/>
      <c r="G106" s="7">
        <f>+IF(Monto_Pendiente[[#This Row],[Monto OC]]&lt;&gt;"","",Monto_Pendiente[[#This Row],[Monto Cotizacion]])</f>
        <v>1056863</v>
      </c>
    </row>
    <row r="107" spans="3:7" x14ac:dyDescent="0.3">
      <c r="E107" s="7"/>
      <c r="F107" s="7"/>
    </row>
    <row r="108" spans="3:7" x14ac:dyDescent="0.3">
      <c r="E108" s="7"/>
      <c r="F108" s="7"/>
    </row>
    <row r="109" spans="3:7" x14ac:dyDescent="0.3">
      <c r="E109" s="7"/>
      <c r="F109" s="7"/>
    </row>
    <row r="110" spans="3:7" x14ac:dyDescent="0.3">
      <c r="F110" s="7"/>
    </row>
    <row r="111" spans="3:7" x14ac:dyDescent="0.3">
      <c r="E111" s="7"/>
      <c r="F111" s="7"/>
    </row>
    <row r="112" spans="3:7" x14ac:dyDescent="0.3">
      <c r="E112" s="7"/>
      <c r="F112" s="7"/>
    </row>
    <row r="113" spans="5:6" x14ac:dyDescent="0.3">
      <c r="E113" s="7"/>
      <c r="F113" s="7"/>
    </row>
    <row r="114" spans="5:6" x14ac:dyDescent="0.3">
      <c r="E114" s="7"/>
      <c r="F114" s="7"/>
    </row>
    <row r="115" spans="5:6" x14ac:dyDescent="0.3">
      <c r="E115" s="7"/>
      <c r="F115" s="7"/>
    </row>
    <row r="116" spans="5:6" x14ac:dyDescent="0.3">
      <c r="E116" s="7"/>
      <c r="F116" s="7"/>
    </row>
    <row r="117" spans="5:6" x14ac:dyDescent="0.3">
      <c r="E117" s="7"/>
      <c r="F117" s="7"/>
    </row>
    <row r="118" spans="5:6" x14ac:dyDescent="0.3">
      <c r="E118" s="7"/>
      <c r="F118" s="7"/>
    </row>
    <row r="119" spans="5:6" x14ac:dyDescent="0.3">
      <c r="E119" s="7"/>
      <c r="F119" s="7"/>
    </row>
    <row r="120" spans="5:6" x14ac:dyDescent="0.3">
      <c r="E120" s="7"/>
      <c r="F120" s="7"/>
    </row>
    <row r="121" spans="5:6" x14ac:dyDescent="0.3">
      <c r="E121" s="7"/>
      <c r="F121" s="7"/>
    </row>
    <row r="122" spans="5:6" x14ac:dyDescent="0.3">
      <c r="E122" s="7"/>
      <c r="F122" s="7"/>
    </row>
    <row r="123" spans="5:6" x14ac:dyDescent="0.3">
      <c r="E123" s="7"/>
      <c r="F123" s="7"/>
    </row>
    <row r="124" spans="5:6" x14ac:dyDescent="0.3">
      <c r="E124" s="7"/>
      <c r="F124" s="7"/>
    </row>
    <row r="125" spans="5:6" x14ac:dyDescent="0.3">
      <c r="E125" s="7"/>
      <c r="F125" s="7"/>
    </row>
    <row r="126" spans="5:6" x14ac:dyDescent="0.3">
      <c r="E126" s="7"/>
      <c r="F126" s="7"/>
    </row>
    <row r="127" spans="5:6" x14ac:dyDescent="0.3">
      <c r="E127" s="7"/>
      <c r="F127" s="7"/>
    </row>
    <row r="128" spans="5:6" x14ac:dyDescent="0.3">
      <c r="E128" s="7"/>
      <c r="F128" s="7"/>
    </row>
    <row r="129" spans="5:6" x14ac:dyDescent="0.3">
      <c r="E129" s="7"/>
      <c r="F129" s="7"/>
    </row>
    <row r="130" spans="5:6" x14ac:dyDescent="0.3">
      <c r="E130" s="7"/>
      <c r="F130" s="7"/>
    </row>
    <row r="131" spans="5:6" x14ac:dyDescent="0.3">
      <c r="E131" s="7"/>
      <c r="F131" s="7"/>
    </row>
    <row r="132" spans="5:6" x14ac:dyDescent="0.3">
      <c r="E132" s="7"/>
      <c r="F132" s="7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66F3-45BA-4997-8AAC-501B7A88668B}">
  <dimension ref="A1:C65"/>
  <sheetViews>
    <sheetView topLeftCell="A18" workbookViewId="0">
      <selection activeCell="I30" sqref="I30"/>
    </sheetView>
  </sheetViews>
  <sheetFormatPr baseColWidth="10" defaultColWidth="11.44140625" defaultRowHeight="14.4" x14ac:dyDescent="0.3"/>
  <cols>
    <col min="1" max="1" width="75.88671875" bestFit="1" customWidth="1"/>
    <col min="2" max="2" width="22.6640625" bestFit="1" customWidth="1"/>
  </cols>
  <sheetData>
    <row r="1" spans="1:3" ht="15" thickBot="1" x14ac:dyDescent="0.35">
      <c r="A1" s="29" t="s">
        <v>5</v>
      </c>
      <c r="B1" t="s">
        <v>642</v>
      </c>
      <c r="C1" t="s">
        <v>643</v>
      </c>
    </row>
    <row r="2" spans="1:3" x14ac:dyDescent="0.3">
      <c r="A2" s="31" t="s">
        <v>28</v>
      </c>
    </row>
    <row r="3" spans="1:3" x14ac:dyDescent="0.3">
      <c r="A3" s="30" t="s">
        <v>39</v>
      </c>
    </row>
    <row r="4" spans="1:3" x14ac:dyDescent="0.3">
      <c r="A4" s="31" t="s">
        <v>43</v>
      </c>
    </row>
    <row r="5" spans="1:3" x14ac:dyDescent="0.3">
      <c r="A5" s="30" t="s">
        <v>46</v>
      </c>
    </row>
    <row r="6" spans="1:3" x14ac:dyDescent="0.3">
      <c r="A6" s="31" t="s">
        <v>52</v>
      </c>
    </row>
    <row r="7" spans="1:3" x14ac:dyDescent="0.3">
      <c r="A7" s="30" t="s">
        <v>65</v>
      </c>
    </row>
    <row r="8" spans="1:3" x14ac:dyDescent="0.3">
      <c r="A8" s="31" t="s">
        <v>73</v>
      </c>
    </row>
    <row r="9" spans="1:3" x14ac:dyDescent="0.3">
      <c r="A9" s="30" t="s">
        <v>78</v>
      </c>
    </row>
    <row r="10" spans="1:3" x14ac:dyDescent="0.3">
      <c r="A10" s="31" t="s">
        <v>83</v>
      </c>
    </row>
    <row r="11" spans="1:3" x14ac:dyDescent="0.3">
      <c r="A11" s="30" t="s">
        <v>92</v>
      </c>
    </row>
    <row r="12" spans="1:3" x14ac:dyDescent="0.3">
      <c r="A12" s="31" t="s">
        <v>100</v>
      </c>
    </row>
    <row r="13" spans="1:3" x14ac:dyDescent="0.3">
      <c r="A13" s="30" t="s">
        <v>107</v>
      </c>
    </row>
    <row r="14" spans="1:3" x14ac:dyDescent="0.3">
      <c r="A14" s="31" t="s">
        <v>114</v>
      </c>
    </row>
    <row r="15" spans="1:3" x14ac:dyDescent="0.3">
      <c r="A15" s="30" t="s">
        <v>120</v>
      </c>
    </row>
    <row r="16" spans="1:3" x14ac:dyDescent="0.3">
      <c r="A16" s="31" t="s">
        <v>127</v>
      </c>
    </row>
    <row r="17" spans="1:1" x14ac:dyDescent="0.3">
      <c r="A17" s="30" t="s">
        <v>129</v>
      </c>
    </row>
    <row r="18" spans="1:1" x14ac:dyDescent="0.3">
      <c r="A18" s="31" t="s">
        <v>134</v>
      </c>
    </row>
    <row r="19" spans="1:1" x14ac:dyDescent="0.3">
      <c r="A19" s="30" t="s">
        <v>138</v>
      </c>
    </row>
    <row r="20" spans="1:1" x14ac:dyDescent="0.3">
      <c r="A20" s="31" t="s">
        <v>144</v>
      </c>
    </row>
    <row r="21" spans="1:1" x14ac:dyDescent="0.3">
      <c r="A21" s="30" t="s">
        <v>148</v>
      </c>
    </row>
    <row r="22" spans="1:1" x14ac:dyDescent="0.3">
      <c r="A22" s="31" t="s">
        <v>151</v>
      </c>
    </row>
    <row r="23" spans="1:1" x14ac:dyDescent="0.3">
      <c r="A23" s="30" t="s">
        <v>641</v>
      </c>
    </row>
    <row r="24" spans="1:1" x14ac:dyDescent="0.3">
      <c r="A24" s="31" t="s">
        <v>161</v>
      </c>
    </row>
    <row r="25" spans="1:1" x14ac:dyDescent="0.3">
      <c r="A25" s="30" t="s">
        <v>170</v>
      </c>
    </row>
    <row r="26" spans="1:1" x14ac:dyDescent="0.3">
      <c r="A26" s="31" t="s">
        <v>176</v>
      </c>
    </row>
    <row r="27" spans="1:1" x14ac:dyDescent="0.3">
      <c r="A27" s="30" t="s">
        <v>178</v>
      </c>
    </row>
    <row r="28" spans="1:1" x14ac:dyDescent="0.3">
      <c r="A28" s="31" t="s">
        <v>183</v>
      </c>
    </row>
    <row r="29" spans="1:1" x14ac:dyDescent="0.3">
      <c r="A29" s="30" t="s">
        <v>190</v>
      </c>
    </row>
    <row r="30" spans="1:1" x14ac:dyDescent="0.3">
      <c r="A30" s="31"/>
    </row>
    <row r="31" spans="1:1" x14ac:dyDescent="0.3">
      <c r="A31" s="30" t="s">
        <v>502</v>
      </c>
    </row>
    <row r="32" spans="1:1" x14ac:dyDescent="0.3">
      <c r="A32" s="31" t="s">
        <v>209</v>
      </c>
    </row>
    <row r="33" spans="1:1" x14ac:dyDescent="0.3">
      <c r="A33" s="30" t="s">
        <v>214</v>
      </c>
    </row>
    <row r="34" spans="1:1" x14ac:dyDescent="0.3">
      <c r="A34" s="31" t="s">
        <v>217</v>
      </c>
    </row>
    <row r="35" spans="1:1" x14ac:dyDescent="0.3">
      <c r="A35" s="30"/>
    </row>
    <row r="36" spans="1:1" x14ac:dyDescent="0.3">
      <c r="A36" s="31" t="s">
        <v>225</v>
      </c>
    </row>
    <row r="37" spans="1:1" x14ac:dyDescent="0.3">
      <c r="A37" s="30" t="s">
        <v>531</v>
      </c>
    </row>
    <row r="38" spans="1:1" x14ac:dyDescent="0.3">
      <c r="A38" s="31" t="s">
        <v>588</v>
      </c>
    </row>
    <row r="39" spans="1:1" x14ac:dyDescent="0.3">
      <c r="A39" s="30" t="s">
        <v>533</v>
      </c>
    </row>
    <row r="40" spans="1:1" x14ac:dyDescent="0.3">
      <c r="A40" s="31" t="s">
        <v>535</v>
      </c>
    </row>
    <row r="41" spans="1:1" x14ac:dyDescent="0.3">
      <c r="A41" s="30" t="s">
        <v>537</v>
      </c>
    </row>
    <row r="42" spans="1:1" x14ac:dyDescent="0.3">
      <c r="A42" s="31" t="s">
        <v>539</v>
      </c>
    </row>
    <row r="43" spans="1:1" x14ac:dyDescent="0.3">
      <c r="A43" s="30" t="s">
        <v>542</v>
      </c>
    </row>
    <row r="44" spans="1:1" x14ac:dyDescent="0.3">
      <c r="A44" s="31"/>
    </row>
    <row r="45" spans="1:1" x14ac:dyDescent="0.3">
      <c r="A45" s="30"/>
    </row>
    <row r="46" spans="1:1" x14ac:dyDescent="0.3">
      <c r="A46" s="31"/>
    </row>
    <row r="47" spans="1:1" x14ac:dyDescent="0.3">
      <c r="A47" s="30"/>
    </row>
    <row r="48" spans="1:1" x14ac:dyDescent="0.3">
      <c r="A48" s="31"/>
    </row>
    <row r="49" spans="1:1" x14ac:dyDescent="0.3">
      <c r="A49" s="30" t="s">
        <v>505</v>
      </c>
    </row>
    <row r="50" spans="1:1" x14ac:dyDescent="0.3">
      <c r="A50" s="31" t="s">
        <v>509</v>
      </c>
    </row>
    <row r="51" spans="1:1" x14ac:dyDescent="0.3">
      <c r="A51" s="30" t="s">
        <v>590</v>
      </c>
    </row>
    <row r="52" spans="1:1" x14ac:dyDescent="0.3">
      <c r="A52" s="31" t="s">
        <v>592</v>
      </c>
    </row>
    <row r="53" spans="1:1" x14ac:dyDescent="0.3">
      <c r="A53" s="30" t="s">
        <v>594</v>
      </c>
    </row>
    <row r="54" spans="1:1" x14ac:dyDescent="0.3">
      <c r="A54" s="31" t="s">
        <v>596</v>
      </c>
    </row>
    <row r="55" spans="1:1" x14ac:dyDescent="0.3">
      <c r="A55" s="30" t="s">
        <v>598</v>
      </c>
    </row>
    <row r="56" spans="1:1" x14ac:dyDescent="0.3">
      <c r="A56" s="31" t="s">
        <v>600</v>
      </c>
    </row>
    <row r="57" spans="1:1" x14ac:dyDescent="0.3">
      <c r="A57" s="30" t="s">
        <v>557</v>
      </c>
    </row>
    <row r="58" spans="1:1" x14ac:dyDescent="0.3">
      <c r="A58" s="31"/>
    </row>
    <row r="59" spans="1:1" x14ac:dyDescent="0.3">
      <c r="A59" s="30"/>
    </row>
    <row r="60" spans="1:1" x14ac:dyDescent="0.3">
      <c r="A60" s="31"/>
    </row>
    <row r="61" spans="1:1" x14ac:dyDescent="0.3">
      <c r="A61" s="30" t="s">
        <v>605</v>
      </c>
    </row>
    <row r="62" spans="1:1" x14ac:dyDescent="0.3">
      <c r="A62" s="31"/>
    </row>
    <row r="63" spans="1:1" x14ac:dyDescent="0.3">
      <c r="A63" s="30"/>
    </row>
    <row r="64" spans="1:1" x14ac:dyDescent="0.3">
      <c r="A64" s="31"/>
    </row>
    <row r="65" spans="1:1" x14ac:dyDescent="0.3">
      <c r="A65" s="3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F6CA1-6194-413B-9C40-FB3E6018DDD6}">
  <dimension ref="A1:F451"/>
  <sheetViews>
    <sheetView topLeftCell="A416" workbookViewId="0">
      <selection activeCell="B440" sqref="B440"/>
    </sheetView>
  </sheetViews>
  <sheetFormatPr baseColWidth="10" defaultColWidth="11.44140625" defaultRowHeight="14.4" x14ac:dyDescent="0.3"/>
  <cols>
    <col min="1" max="1" width="16.21875" bestFit="1" customWidth="1"/>
    <col min="2" max="2" width="80.77734375" bestFit="1" customWidth="1"/>
    <col min="3" max="3" width="10.77734375" bestFit="1" customWidth="1"/>
    <col min="4" max="4" width="14.77734375" bestFit="1" customWidth="1"/>
    <col min="5" max="5" width="16.77734375" bestFit="1" customWidth="1"/>
    <col min="6" max="6" width="74.44140625" bestFit="1" customWidth="1"/>
  </cols>
  <sheetData>
    <row r="1" spans="1:6" x14ac:dyDescent="0.3">
      <c r="A1" t="s">
        <v>281</v>
      </c>
      <c r="B1" t="s">
        <v>282</v>
      </c>
      <c r="C1" t="s">
        <v>283</v>
      </c>
      <c r="D1" t="s">
        <v>284</v>
      </c>
      <c r="E1" t="s">
        <v>285</v>
      </c>
      <c r="F1" t="s">
        <v>286</v>
      </c>
    </row>
    <row r="2" spans="1:6" x14ac:dyDescent="0.3">
      <c r="A2" t="s">
        <v>287</v>
      </c>
      <c r="B2" t="s">
        <v>33</v>
      </c>
      <c r="F2" t="s">
        <v>28</v>
      </c>
    </row>
    <row r="3" spans="1:6" x14ac:dyDescent="0.3">
      <c r="A3" t="s">
        <v>288</v>
      </c>
      <c r="B3" t="s">
        <v>289</v>
      </c>
      <c r="F3" t="s">
        <v>28</v>
      </c>
    </row>
    <row r="4" spans="1:6" x14ac:dyDescent="0.3">
      <c r="A4" t="s">
        <v>290</v>
      </c>
      <c r="B4" t="s">
        <v>291</v>
      </c>
      <c r="F4" t="s">
        <v>28</v>
      </c>
    </row>
    <row r="5" spans="1:6" x14ac:dyDescent="0.3">
      <c r="A5" t="s">
        <v>292</v>
      </c>
      <c r="B5" t="s">
        <v>31</v>
      </c>
      <c r="F5" t="s">
        <v>28</v>
      </c>
    </row>
    <row r="6" spans="1:6" x14ac:dyDescent="0.3">
      <c r="A6" t="s">
        <v>293</v>
      </c>
      <c r="B6" t="s">
        <v>294</v>
      </c>
      <c r="F6" t="s">
        <v>28</v>
      </c>
    </row>
    <row r="7" spans="1:6" x14ac:dyDescent="0.3">
      <c r="A7" t="s">
        <v>295</v>
      </c>
      <c r="B7" t="s">
        <v>296</v>
      </c>
      <c r="C7" t="s">
        <v>283</v>
      </c>
      <c r="D7" t="s">
        <v>284</v>
      </c>
      <c r="E7" t="s">
        <v>297</v>
      </c>
      <c r="F7" t="s">
        <v>28</v>
      </c>
    </row>
    <row r="8" spans="1:6" x14ac:dyDescent="0.3">
      <c r="B8" t="s">
        <v>298</v>
      </c>
      <c r="C8">
        <v>1</v>
      </c>
      <c r="D8">
        <v>36470</v>
      </c>
      <c r="E8">
        <v>36470</v>
      </c>
      <c r="F8" t="s">
        <v>28</v>
      </c>
    </row>
    <row r="9" spans="1:6" x14ac:dyDescent="0.3">
      <c r="B9" t="s">
        <v>299</v>
      </c>
      <c r="C9">
        <v>1</v>
      </c>
      <c r="D9">
        <v>9990</v>
      </c>
      <c r="E9">
        <v>9990</v>
      </c>
      <c r="F9" t="s">
        <v>28</v>
      </c>
    </row>
    <row r="10" spans="1:6" x14ac:dyDescent="0.3">
      <c r="B10" t="s">
        <v>300</v>
      </c>
      <c r="C10">
        <v>2</v>
      </c>
      <c r="D10">
        <v>34690</v>
      </c>
      <c r="E10">
        <v>69380</v>
      </c>
      <c r="F10" t="s">
        <v>28</v>
      </c>
    </row>
    <row r="11" spans="1:6" x14ac:dyDescent="0.3">
      <c r="B11" t="s">
        <v>301</v>
      </c>
      <c r="C11">
        <v>2</v>
      </c>
      <c r="D11">
        <v>34690</v>
      </c>
      <c r="E11">
        <v>69380</v>
      </c>
      <c r="F11" t="s">
        <v>28</v>
      </c>
    </row>
    <row r="12" spans="1:6" x14ac:dyDescent="0.3">
      <c r="B12" t="s">
        <v>302</v>
      </c>
      <c r="C12">
        <v>4</v>
      </c>
      <c r="D12">
        <v>37790</v>
      </c>
      <c r="E12">
        <v>151160</v>
      </c>
      <c r="F12" t="s">
        <v>28</v>
      </c>
    </row>
    <row r="13" spans="1:6" x14ac:dyDescent="0.3">
      <c r="B13" t="s">
        <v>303</v>
      </c>
      <c r="C13">
        <v>1</v>
      </c>
      <c r="D13">
        <v>35990</v>
      </c>
      <c r="E13">
        <v>35990</v>
      </c>
      <c r="F13" t="s">
        <v>28</v>
      </c>
    </row>
    <row r="14" spans="1:6" x14ac:dyDescent="0.3">
      <c r="B14" t="s">
        <v>304</v>
      </c>
      <c r="C14">
        <v>1</v>
      </c>
      <c r="D14">
        <v>35990</v>
      </c>
      <c r="E14">
        <v>35990</v>
      </c>
      <c r="F14" t="s">
        <v>28</v>
      </c>
    </row>
    <row r="15" spans="1:6" x14ac:dyDescent="0.3">
      <c r="A15" t="s">
        <v>287</v>
      </c>
      <c r="B15" t="s">
        <v>41</v>
      </c>
      <c r="F15" t="s">
        <v>39</v>
      </c>
    </row>
    <row r="16" spans="1:6" x14ac:dyDescent="0.3">
      <c r="A16" t="s">
        <v>288</v>
      </c>
      <c r="B16" t="s">
        <v>305</v>
      </c>
      <c r="F16" t="s">
        <v>39</v>
      </c>
    </row>
    <row r="17" spans="1:6" x14ac:dyDescent="0.3">
      <c r="A17" t="s">
        <v>306</v>
      </c>
      <c r="B17">
        <v>0</v>
      </c>
      <c r="F17" t="s">
        <v>39</v>
      </c>
    </row>
    <row r="18" spans="1:6" x14ac:dyDescent="0.3">
      <c r="A18" t="s">
        <v>290</v>
      </c>
      <c r="B18">
        <v>933754586</v>
      </c>
      <c r="F18" t="s">
        <v>39</v>
      </c>
    </row>
    <row r="19" spans="1:6" x14ac:dyDescent="0.3">
      <c r="A19" t="s">
        <v>292</v>
      </c>
      <c r="B19" t="s">
        <v>40</v>
      </c>
      <c r="F19" t="s">
        <v>39</v>
      </c>
    </row>
    <row r="20" spans="1:6" x14ac:dyDescent="0.3">
      <c r="A20" t="s">
        <v>293</v>
      </c>
      <c r="B20" t="s">
        <v>307</v>
      </c>
      <c r="F20" t="s">
        <v>39</v>
      </c>
    </row>
    <row r="21" spans="1:6" x14ac:dyDescent="0.3">
      <c r="A21" t="s">
        <v>295</v>
      </c>
      <c r="B21" t="s">
        <v>296</v>
      </c>
      <c r="C21" t="s">
        <v>283</v>
      </c>
      <c r="D21" t="s">
        <v>284</v>
      </c>
      <c r="E21" t="s">
        <v>297</v>
      </c>
      <c r="F21" t="s">
        <v>39</v>
      </c>
    </row>
    <row r="22" spans="1:6" x14ac:dyDescent="0.3">
      <c r="B22" t="s">
        <v>308</v>
      </c>
      <c r="C22">
        <v>1</v>
      </c>
      <c r="D22">
        <v>68906</v>
      </c>
      <c r="E22">
        <v>68906</v>
      </c>
      <c r="F22" t="s">
        <v>39</v>
      </c>
    </row>
    <row r="23" spans="1:6" x14ac:dyDescent="0.3">
      <c r="A23" t="s">
        <v>287</v>
      </c>
      <c r="B23" t="s">
        <v>309</v>
      </c>
      <c r="F23" t="s">
        <v>43</v>
      </c>
    </row>
    <row r="24" spans="1:6" x14ac:dyDescent="0.3">
      <c r="A24" t="s">
        <v>288</v>
      </c>
      <c r="B24" t="s">
        <v>310</v>
      </c>
      <c r="F24" t="s">
        <v>43</v>
      </c>
    </row>
    <row r="25" spans="1:6" x14ac:dyDescent="0.3">
      <c r="A25" t="s">
        <v>306</v>
      </c>
      <c r="B25">
        <v>0</v>
      </c>
      <c r="F25" t="s">
        <v>43</v>
      </c>
    </row>
    <row r="26" spans="1:6" x14ac:dyDescent="0.3">
      <c r="A26" t="s">
        <v>290</v>
      </c>
      <c r="B26">
        <v>0</v>
      </c>
      <c r="F26" t="s">
        <v>43</v>
      </c>
    </row>
    <row r="27" spans="1:6" x14ac:dyDescent="0.3">
      <c r="A27" t="s">
        <v>292</v>
      </c>
      <c r="B27" t="s">
        <v>40</v>
      </c>
      <c r="F27" t="s">
        <v>43</v>
      </c>
    </row>
    <row r="28" spans="1:6" x14ac:dyDescent="0.3">
      <c r="A28" t="s">
        <v>293</v>
      </c>
      <c r="B28">
        <v>0</v>
      </c>
      <c r="F28" t="s">
        <v>43</v>
      </c>
    </row>
    <row r="29" spans="1:6" x14ac:dyDescent="0.3">
      <c r="A29" t="s">
        <v>295</v>
      </c>
      <c r="B29" t="s">
        <v>296</v>
      </c>
      <c r="C29" t="s">
        <v>283</v>
      </c>
      <c r="D29" t="s">
        <v>284</v>
      </c>
      <c r="E29" t="s">
        <v>297</v>
      </c>
      <c r="F29" t="s">
        <v>43</v>
      </c>
    </row>
    <row r="30" spans="1:6" x14ac:dyDescent="0.3">
      <c r="B30" t="s">
        <v>311</v>
      </c>
      <c r="C30">
        <v>1</v>
      </c>
      <c r="D30">
        <v>16798</v>
      </c>
      <c r="E30">
        <v>16798</v>
      </c>
      <c r="F30" t="s">
        <v>43</v>
      </c>
    </row>
    <row r="31" spans="1:6" x14ac:dyDescent="0.3">
      <c r="A31" t="s">
        <v>287</v>
      </c>
      <c r="B31" t="s">
        <v>312</v>
      </c>
      <c r="F31" t="s">
        <v>46</v>
      </c>
    </row>
    <row r="32" spans="1:6" x14ac:dyDescent="0.3">
      <c r="A32" t="s">
        <v>288</v>
      </c>
      <c r="B32" t="s">
        <v>313</v>
      </c>
      <c r="F32" t="s">
        <v>46</v>
      </c>
    </row>
    <row r="33" spans="1:6" x14ac:dyDescent="0.3">
      <c r="A33" t="s">
        <v>306</v>
      </c>
      <c r="B33">
        <v>0</v>
      </c>
      <c r="F33" t="s">
        <v>46</v>
      </c>
    </row>
    <row r="34" spans="1:6" x14ac:dyDescent="0.3">
      <c r="A34" t="s">
        <v>290</v>
      </c>
      <c r="B34">
        <v>0</v>
      </c>
      <c r="F34" t="s">
        <v>46</v>
      </c>
    </row>
    <row r="35" spans="1:6" x14ac:dyDescent="0.3">
      <c r="A35" t="s">
        <v>292</v>
      </c>
      <c r="B35" t="s">
        <v>40</v>
      </c>
      <c r="F35" t="s">
        <v>46</v>
      </c>
    </row>
    <row r="36" spans="1:6" x14ac:dyDescent="0.3">
      <c r="A36" t="s">
        <v>293</v>
      </c>
      <c r="B36">
        <v>0</v>
      </c>
      <c r="F36" t="s">
        <v>46</v>
      </c>
    </row>
    <row r="37" spans="1:6" x14ac:dyDescent="0.3">
      <c r="A37" t="s">
        <v>295</v>
      </c>
      <c r="B37" t="s">
        <v>296</v>
      </c>
      <c r="C37" t="s">
        <v>283</v>
      </c>
      <c r="D37" t="s">
        <v>284</v>
      </c>
      <c r="E37" t="s">
        <v>297</v>
      </c>
      <c r="F37" t="s">
        <v>46</v>
      </c>
    </row>
    <row r="38" spans="1:6" x14ac:dyDescent="0.3">
      <c r="B38" t="s">
        <v>314</v>
      </c>
      <c r="C38">
        <v>1</v>
      </c>
      <c r="D38">
        <v>16126</v>
      </c>
      <c r="E38">
        <v>16126</v>
      </c>
      <c r="F38" t="s">
        <v>46</v>
      </c>
    </row>
    <row r="39" spans="1:6" x14ac:dyDescent="0.3">
      <c r="A39" t="s">
        <v>287</v>
      </c>
      <c r="B39" t="s">
        <v>33</v>
      </c>
      <c r="F39" t="s">
        <v>52</v>
      </c>
    </row>
    <row r="40" spans="1:6" x14ac:dyDescent="0.3">
      <c r="A40" t="s">
        <v>288</v>
      </c>
      <c r="B40" t="s">
        <v>289</v>
      </c>
      <c r="F40" t="s">
        <v>52</v>
      </c>
    </row>
    <row r="41" spans="1:6" x14ac:dyDescent="0.3">
      <c r="A41" t="s">
        <v>306</v>
      </c>
      <c r="B41" t="s">
        <v>315</v>
      </c>
      <c r="F41" t="s">
        <v>52</v>
      </c>
    </row>
    <row r="42" spans="1:6" x14ac:dyDescent="0.3">
      <c r="A42" t="s">
        <v>290</v>
      </c>
      <c r="B42" t="s">
        <v>291</v>
      </c>
      <c r="F42" t="s">
        <v>52</v>
      </c>
    </row>
    <row r="43" spans="1:6" x14ac:dyDescent="0.3">
      <c r="A43" t="s">
        <v>292</v>
      </c>
      <c r="B43" t="s">
        <v>40</v>
      </c>
      <c r="F43" t="s">
        <v>52</v>
      </c>
    </row>
    <row r="44" spans="1:6" x14ac:dyDescent="0.3">
      <c r="A44" t="s">
        <v>293</v>
      </c>
      <c r="B44" t="s">
        <v>316</v>
      </c>
      <c r="F44" t="s">
        <v>52</v>
      </c>
    </row>
    <row r="45" spans="1:6" x14ac:dyDescent="0.3">
      <c r="A45" t="s">
        <v>295</v>
      </c>
      <c r="B45" t="s">
        <v>296</v>
      </c>
      <c r="C45" t="s">
        <v>283</v>
      </c>
      <c r="D45" t="s">
        <v>284</v>
      </c>
      <c r="E45" t="s">
        <v>297</v>
      </c>
      <c r="F45" t="s">
        <v>52</v>
      </c>
    </row>
    <row r="46" spans="1:6" x14ac:dyDescent="0.3">
      <c r="B46" t="s">
        <v>317</v>
      </c>
      <c r="C46">
        <v>1</v>
      </c>
      <c r="D46">
        <v>55206</v>
      </c>
      <c r="E46">
        <v>55206</v>
      </c>
      <c r="F46" t="s">
        <v>52</v>
      </c>
    </row>
    <row r="47" spans="1:6" x14ac:dyDescent="0.3">
      <c r="B47" t="s">
        <v>318</v>
      </c>
      <c r="C47">
        <v>1</v>
      </c>
      <c r="D47">
        <v>33613</v>
      </c>
      <c r="E47">
        <v>33613</v>
      </c>
      <c r="F47" t="s">
        <v>52</v>
      </c>
    </row>
    <row r="48" spans="1:6" x14ac:dyDescent="0.3">
      <c r="B48" t="s">
        <v>319</v>
      </c>
      <c r="C48">
        <v>10</v>
      </c>
      <c r="D48">
        <v>4350</v>
      </c>
      <c r="E48">
        <v>43500</v>
      </c>
      <c r="F48" t="s">
        <v>52</v>
      </c>
    </row>
    <row r="49" spans="1:6" x14ac:dyDescent="0.3">
      <c r="B49" t="s">
        <v>319</v>
      </c>
      <c r="C49">
        <v>10</v>
      </c>
      <c r="D49">
        <v>4350</v>
      </c>
      <c r="E49">
        <v>43500</v>
      </c>
      <c r="F49" t="s">
        <v>52</v>
      </c>
    </row>
    <row r="50" spans="1:6" x14ac:dyDescent="0.3">
      <c r="B50" t="s">
        <v>320</v>
      </c>
      <c r="C50">
        <v>20</v>
      </c>
      <c r="D50">
        <v>330</v>
      </c>
      <c r="E50">
        <v>6600</v>
      </c>
      <c r="F50" t="s">
        <v>52</v>
      </c>
    </row>
    <row r="51" spans="1:6" x14ac:dyDescent="0.3">
      <c r="B51" t="s">
        <v>321</v>
      </c>
      <c r="C51">
        <v>12</v>
      </c>
      <c r="D51">
        <v>370</v>
      </c>
      <c r="E51">
        <v>4440</v>
      </c>
      <c r="F51" t="s">
        <v>52</v>
      </c>
    </row>
    <row r="52" spans="1:6" x14ac:dyDescent="0.3">
      <c r="B52" t="s">
        <v>322</v>
      </c>
      <c r="C52">
        <v>12</v>
      </c>
      <c r="D52">
        <v>370</v>
      </c>
      <c r="E52">
        <v>4440</v>
      </c>
      <c r="F52" t="s">
        <v>52</v>
      </c>
    </row>
    <row r="53" spans="1:6" x14ac:dyDescent="0.3">
      <c r="A53" t="s">
        <v>287</v>
      </c>
      <c r="B53" t="s">
        <v>33</v>
      </c>
      <c r="F53" t="s">
        <v>65</v>
      </c>
    </row>
    <row r="54" spans="1:6" x14ac:dyDescent="0.3">
      <c r="A54" t="s">
        <v>288</v>
      </c>
      <c r="B54" t="s">
        <v>289</v>
      </c>
      <c r="F54" t="s">
        <v>65</v>
      </c>
    </row>
    <row r="55" spans="1:6" x14ac:dyDescent="0.3">
      <c r="A55" t="s">
        <v>306</v>
      </c>
      <c r="B55" t="s">
        <v>315</v>
      </c>
      <c r="F55" t="s">
        <v>65</v>
      </c>
    </row>
    <row r="56" spans="1:6" x14ac:dyDescent="0.3">
      <c r="A56" t="s">
        <v>290</v>
      </c>
      <c r="B56" t="s">
        <v>291</v>
      </c>
      <c r="F56" t="s">
        <v>65</v>
      </c>
    </row>
    <row r="57" spans="1:6" x14ac:dyDescent="0.3">
      <c r="A57" t="s">
        <v>292</v>
      </c>
      <c r="B57" t="s">
        <v>40</v>
      </c>
      <c r="F57" t="s">
        <v>65</v>
      </c>
    </row>
    <row r="58" spans="1:6" x14ac:dyDescent="0.3">
      <c r="A58" t="s">
        <v>293</v>
      </c>
      <c r="B58" t="s">
        <v>316</v>
      </c>
      <c r="F58" t="s">
        <v>65</v>
      </c>
    </row>
    <row r="59" spans="1:6" x14ac:dyDescent="0.3">
      <c r="A59" t="s">
        <v>295</v>
      </c>
      <c r="B59" t="s">
        <v>296</v>
      </c>
      <c r="C59" t="s">
        <v>283</v>
      </c>
      <c r="D59" t="s">
        <v>284</v>
      </c>
      <c r="E59" t="s">
        <v>297</v>
      </c>
      <c r="F59" t="s">
        <v>65</v>
      </c>
    </row>
    <row r="60" spans="1:6" x14ac:dyDescent="0.3">
      <c r="B60" t="s">
        <v>317</v>
      </c>
      <c r="C60">
        <v>1</v>
      </c>
      <c r="D60">
        <v>55206</v>
      </c>
      <c r="E60">
        <v>55206</v>
      </c>
      <c r="F60" t="s">
        <v>65</v>
      </c>
    </row>
    <row r="61" spans="1:6" x14ac:dyDescent="0.3">
      <c r="A61" t="s">
        <v>287</v>
      </c>
      <c r="B61" t="s">
        <v>323</v>
      </c>
      <c r="F61" t="s">
        <v>73</v>
      </c>
    </row>
    <row r="62" spans="1:6" x14ac:dyDescent="0.3">
      <c r="A62" t="s">
        <v>288</v>
      </c>
      <c r="B62" t="s">
        <v>324</v>
      </c>
      <c r="F62" t="s">
        <v>73</v>
      </c>
    </row>
    <row r="63" spans="1:6" x14ac:dyDescent="0.3">
      <c r="A63" t="s">
        <v>306</v>
      </c>
      <c r="B63">
        <v>0</v>
      </c>
      <c r="F63" t="s">
        <v>73</v>
      </c>
    </row>
    <row r="64" spans="1:6" x14ac:dyDescent="0.3">
      <c r="A64" t="s">
        <v>290</v>
      </c>
      <c r="B64">
        <v>0</v>
      </c>
      <c r="F64" t="s">
        <v>73</v>
      </c>
    </row>
    <row r="65" spans="1:6" x14ac:dyDescent="0.3">
      <c r="A65" t="s">
        <v>292</v>
      </c>
      <c r="B65" t="s">
        <v>31</v>
      </c>
      <c r="F65" t="s">
        <v>73</v>
      </c>
    </row>
    <row r="66" spans="1:6" x14ac:dyDescent="0.3">
      <c r="A66" t="s">
        <v>293</v>
      </c>
      <c r="B66">
        <v>0</v>
      </c>
      <c r="F66" t="s">
        <v>73</v>
      </c>
    </row>
    <row r="67" spans="1:6" x14ac:dyDescent="0.3">
      <c r="A67" t="s">
        <v>295</v>
      </c>
      <c r="B67" t="s">
        <v>296</v>
      </c>
      <c r="C67" t="s">
        <v>283</v>
      </c>
      <c r="D67" t="s">
        <v>284</v>
      </c>
      <c r="E67" t="s">
        <v>297</v>
      </c>
      <c r="F67" t="s">
        <v>73</v>
      </c>
    </row>
    <row r="68" spans="1:6" x14ac:dyDescent="0.3">
      <c r="B68" t="s">
        <v>325</v>
      </c>
      <c r="C68">
        <v>1</v>
      </c>
      <c r="D68">
        <v>33613</v>
      </c>
      <c r="E68">
        <v>33613</v>
      </c>
      <c r="F68" t="s">
        <v>73</v>
      </c>
    </row>
    <row r="69" spans="1:6" x14ac:dyDescent="0.3">
      <c r="A69" t="s">
        <v>287</v>
      </c>
      <c r="B69" t="s">
        <v>33</v>
      </c>
      <c r="F69" t="s">
        <v>78</v>
      </c>
    </row>
    <row r="70" spans="1:6" x14ac:dyDescent="0.3">
      <c r="A70" t="s">
        <v>288</v>
      </c>
      <c r="B70" t="s">
        <v>289</v>
      </c>
      <c r="F70" t="s">
        <v>78</v>
      </c>
    </row>
    <row r="71" spans="1:6" x14ac:dyDescent="0.3">
      <c r="A71" t="s">
        <v>306</v>
      </c>
      <c r="B71" t="s">
        <v>315</v>
      </c>
      <c r="F71" t="s">
        <v>78</v>
      </c>
    </row>
    <row r="72" spans="1:6" x14ac:dyDescent="0.3">
      <c r="A72" t="s">
        <v>290</v>
      </c>
      <c r="B72" t="s">
        <v>291</v>
      </c>
      <c r="F72" t="s">
        <v>78</v>
      </c>
    </row>
    <row r="73" spans="1:6" x14ac:dyDescent="0.3">
      <c r="A73" t="s">
        <v>292</v>
      </c>
      <c r="B73" t="s">
        <v>31</v>
      </c>
      <c r="F73" t="s">
        <v>78</v>
      </c>
    </row>
    <row r="74" spans="1:6" x14ac:dyDescent="0.3">
      <c r="A74" t="s">
        <v>293</v>
      </c>
      <c r="B74" t="s">
        <v>316</v>
      </c>
      <c r="F74" t="s">
        <v>78</v>
      </c>
    </row>
    <row r="75" spans="1:6" x14ac:dyDescent="0.3">
      <c r="A75" t="s">
        <v>295</v>
      </c>
      <c r="B75" t="s">
        <v>296</v>
      </c>
      <c r="C75" t="s">
        <v>283</v>
      </c>
      <c r="D75" t="s">
        <v>284</v>
      </c>
      <c r="E75" t="s">
        <v>297</v>
      </c>
      <c r="F75" t="s">
        <v>78</v>
      </c>
    </row>
    <row r="76" spans="1:6" x14ac:dyDescent="0.3">
      <c r="B76" t="s">
        <v>326</v>
      </c>
      <c r="C76">
        <v>1</v>
      </c>
      <c r="D76">
        <v>36470</v>
      </c>
      <c r="E76">
        <v>36470</v>
      </c>
      <c r="F76" t="s">
        <v>78</v>
      </c>
    </row>
    <row r="77" spans="1:6" x14ac:dyDescent="0.3">
      <c r="B77" t="s">
        <v>327</v>
      </c>
      <c r="C77">
        <v>2</v>
      </c>
      <c r="D77">
        <v>30990</v>
      </c>
      <c r="E77">
        <v>61980</v>
      </c>
      <c r="F77" t="s">
        <v>78</v>
      </c>
    </row>
    <row r="78" spans="1:6" x14ac:dyDescent="0.3">
      <c r="B78" t="s">
        <v>328</v>
      </c>
      <c r="C78">
        <v>2</v>
      </c>
      <c r="D78">
        <v>32725</v>
      </c>
      <c r="E78">
        <v>65450</v>
      </c>
      <c r="F78" t="s">
        <v>78</v>
      </c>
    </row>
    <row r="79" spans="1:6" x14ac:dyDescent="0.3">
      <c r="B79" t="s">
        <v>329</v>
      </c>
      <c r="C79">
        <v>2</v>
      </c>
      <c r="D79">
        <v>35620</v>
      </c>
      <c r="E79">
        <v>71240</v>
      </c>
      <c r="F79" t="s">
        <v>78</v>
      </c>
    </row>
    <row r="80" spans="1:6" x14ac:dyDescent="0.3">
      <c r="B80" t="s">
        <v>330</v>
      </c>
      <c r="C80">
        <v>2</v>
      </c>
      <c r="D80">
        <v>35620</v>
      </c>
      <c r="E80">
        <v>71240</v>
      </c>
      <c r="F80" t="s">
        <v>78</v>
      </c>
    </row>
    <row r="81" spans="1:6" x14ac:dyDescent="0.3">
      <c r="A81" t="s">
        <v>287</v>
      </c>
      <c r="B81" t="s">
        <v>33</v>
      </c>
      <c r="F81" t="s">
        <v>83</v>
      </c>
    </row>
    <row r="82" spans="1:6" x14ac:dyDescent="0.3">
      <c r="A82" t="s">
        <v>288</v>
      </c>
      <c r="B82" t="s">
        <v>289</v>
      </c>
      <c r="F82" t="s">
        <v>83</v>
      </c>
    </row>
    <row r="83" spans="1:6" x14ac:dyDescent="0.3">
      <c r="A83" t="s">
        <v>306</v>
      </c>
      <c r="B83" t="s">
        <v>315</v>
      </c>
      <c r="F83" t="s">
        <v>83</v>
      </c>
    </row>
    <row r="84" spans="1:6" x14ac:dyDescent="0.3">
      <c r="A84" t="s">
        <v>290</v>
      </c>
      <c r="B84" t="s">
        <v>291</v>
      </c>
      <c r="F84" t="s">
        <v>83</v>
      </c>
    </row>
    <row r="85" spans="1:6" x14ac:dyDescent="0.3">
      <c r="A85" t="s">
        <v>292</v>
      </c>
      <c r="B85" t="s">
        <v>31</v>
      </c>
      <c r="F85" t="s">
        <v>83</v>
      </c>
    </row>
    <row r="86" spans="1:6" x14ac:dyDescent="0.3">
      <c r="A86" t="s">
        <v>293</v>
      </c>
      <c r="B86" t="s">
        <v>316</v>
      </c>
      <c r="F86" t="s">
        <v>83</v>
      </c>
    </row>
    <row r="87" spans="1:6" x14ac:dyDescent="0.3">
      <c r="A87" t="s">
        <v>295</v>
      </c>
      <c r="B87" t="s">
        <v>296</v>
      </c>
      <c r="C87" t="s">
        <v>283</v>
      </c>
      <c r="D87" t="s">
        <v>284</v>
      </c>
      <c r="E87" t="s">
        <v>297</v>
      </c>
      <c r="F87" t="s">
        <v>83</v>
      </c>
    </row>
    <row r="88" spans="1:6" x14ac:dyDescent="0.3">
      <c r="B88" t="s">
        <v>317</v>
      </c>
      <c r="C88">
        <v>1</v>
      </c>
      <c r="D88">
        <v>55206</v>
      </c>
      <c r="E88">
        <v>55206</v>
      </c>
      <c r="F88" t="s">
        <v>83</v>
      </c>
    </row>
    <row r="89" spans="1:6" x14ac:dyDescent="0.3">
      <c r="B89" t="s">
        <v>318</v>
      </c>
      <c r="C89">
        <v>1</v>
      </c>
      <c r="D89">
        <v>33613</v>
      </c>
      <c r="E89">
        <v>33613</v>
      </c>
      <c r="F89" t="s">
        <v>83</v>
      </c>
    </row>
    <row r="90" spans="1:6" x14ac:dyDescent="0.3">
      <c r="B90" t="s">
        <v>319</v>
      </c>
      <c r="C90">
        <v>10</v>
      </c>
      <c r="D90">
        <v>4350</v>
      </c>
      <c r="E90">
        <v>43500</v>
      </c>
      <c r="F90" t="s">
        <v>83</v>
      </c>
    </row>
    <row r="91" spans="1:6" x14ac:dyDescent="0.3">
      <c r="B91" t="s">
        <v>319</v>
      </c>
      <c r="C91">
        <v>10</v>
      </c>
      <c r="D91">
        <v>4350</v>
      </c>
      <c r="E91">
        <v>43500</v>
      </c>
      <c r="F91" t="s">
        <v>83</v>
      </c>
    </row>
    <row r="92" spans="1:6" x14ac:dyDescent="0.3">
      <c r="B92" t="s">
        <v>320</v>
      </c>
      <c r="C92">
        <v>20</v>
      </c>
      <c r="D92">
        <v>330</v>
      </c>
      <c r="E92">
        <v>6600</v>
      </c>
      <c r="F92" t="s">
        <v>83</v>
      </c>
    </row>
    <row r="93" spans="1:6" x14ac:dyDescent="0.3">
      <c r="B93" t="s">
        <v>321</v>
      </c>
      <c r="C93">
        <v>12</v>
      </c>
      <c r="D93">
        <v>370</v>
      </c>
      <c r="E93">
        <v>4440</v>
      </c>
      <c r="F93" t="s">
        <v>83</v>
      </c>
    </row>
    <row r="94" spans="1:6" x14ac:dyDescent="0.3">
      <c r="B94" t="s">
        <v>322</v>
      </c>
      <c r="C94">
        <v>12</v>
      </c>
      <c r="D94">
        <v>370</v>
      </c>
      <c r="E94">
        <v>4440</v>
      </c>
      <c r="F94" t="s">
        <v>83</v>
      </c>
    </row>
    <row r="95" spans="1:6" x14ac:dyDescent="0.3">
      <c r="A95" t="s">
        <v>287</v>
      </c>
      <c r="B95" t="s">
        <v>323</v>
      </c>
      <c r="F95" t="s">
        <v>92</v>
      </c>
    </row>
    <row r="96" spans="1:6" x14ac:dyDescent="0.3">
      <c r="A96" t="s">
        <v>288</v>
      </c>
      <c r="B96" t="s">
        <v>324</v>
      </c>
      <c r="F96" t="s">
        <v>92</v>
      </c>
    </row>
    <row r="97" spans="1:6" x14ac:dyDescent="0.3">
      <c r="A97" t="s">
        <v>306</v>
      </c>
      <c r="B97">
        <v>0</v>
      </c>
      <c r="F97" t="s">
        <v>92</v>
      </c>
    </row>
    <row r="98" spans="1:6" x14ac:dyDescent="0.3">
      <c r="A98" t="s">
        <v>290</v>
      </c>
      <c r="B98">
        <v>0</v>
      </c>
      <c r="F98" t="s">
        <v>92</v>
      </c>
    </row>
    <row r="99" spans="1:6" x14ac:dyDescent="0.3">
      <c r="A99" t="s">
        <v>292</v>
      </c>
      <c r="B99" t="s">
        <v>40</v>
      </c>
      <c r="F99" t="s">
        <v>92</v>
      </c>
    </row>
    <row r="100" spans="1:6" x14ac:dyDescent="0.3">
      <c r="A100" t="s">
        <v>293</v>
      </c>
      <c r="B100">
        <v>0</v>
      </c>
      <c r="F100" t="s">
        <v>92</v>
      </c>
    </row>
    <row r="101" spans="1:6" x14ac:dyDescent="0.3">
      <c r="A101" t="s">
        <v>295</v>
      </c>
      <c r="B101" t="s">
        <v>296</v>
      </c>
      <c r="C101" t="s">
        <v>283</v>
      </c>
      <c r="D101" t="s">
        <v>284</v>
      </c>
      <c r="E101" t="s">
        <v>297</v>
      </c>
      <c r="F101" t="s">
        <v>92</v>
      </c>
    </row>
    <row r="102" spans="1:6" x14ac:dyDescent="0.3">
      <c r="B102" t="s">
        <v>331</v>
      </c>
      <c r="C102">
        <v>1</v>
      </c>
      <c r="D102">
        <v>25202</v>
      </c>
      <c r="E102">
        <v>25202</v>
      </c>
      <c r="F102" t="s">
        <v>92</v>
      </c>
    </row>
    <row r="103" spans="1:6" x14ac:dyDescent="0.3">
      <c r="A103" t="s">
        <v>287</v>
      </c>
      <c r="B103" t="s">
        <v>323</v>
      </c>
      <c r="F103" t="s">
        <v>100</v>
      </c>
    </row>
    <row r="104" spans="1:6" x14ac:dyDescent="0.3">
      <c r="A104" t="s">
        <v>288</v>
      </c>
      <c r="B104" t="s">
        <v>324</v>
      </c>
      <c r="F104" t="s">
        <v>100</v>
      </c>
    </row>
    <row r="105" spans="1:6" x14ac:dyDescent="0.3">
      <c r="A105" t="s">
        <v>306</v>
      </c>
      <c r="B105">
        <v>0</v>
      </c>
      <c r="F105" t="s">
        <v>100</v>
      </c>
    </row>
    <row r="106" spans="1:6" x14ac:dyDescent="0.3">
      <c r="A106" t="s">
        <v>290</v>
      </c>
      <c r="B106">
        <v>0</v>
      </c>
      <c r="F106" t="s">
        <v>100</v>
      </c>
    </row>
    <row r="107" spans="1:6" x14ac:dyDescent="0.3">
      <c r="A107" t="s">
        <v>292</v>
      </c>
      <c r="B107" t="s">
        <v>40</v>
      </c>
      <c r="F107" t="s">
        <v>100</v>
      </c>
    </row>
    <row r="108" spans="1:6" x14ac:dyDescent="0.3">
      <c r="A108" t="s">
        <v>293</v>
      </c>
      <c r="B108">
        <v>0</v>
      </c>
      <c r="F108" t="s">
        <v>100</v>
      </c>
    </row>
    <row r="109" spans="1:6" x14ac:dyDescent="0.3">
      <c r="A109" t="s">
        <v>295</v>
      </c>
      <c r="B109" t="s">
        <v>296</v>
      </c>
      <c r="C109" t="s">
        <v>283</v>
      </c>
      <c r="D109" t="s">
        <v>284</v>
      </c>
      <c r="E109" t="s">
        <v>297</v>
      </c>
      <c r="F109" t="s">
        <v>100</v>
      </c>
    </row>
    <row r="110" spans="1:6" x14ac:dyDescent="0.3">
      <c r="B110" t="s">
        <v>331</v>
      </c>
      <c r="C110">
        <v>1</v>
      </c>
      <c r="D110">
        <v>25202</v>
      </c>
      <c r="E110">
        <v>25202</v>
      </c>
      <c r="F110" t="s">
        <v>100</v>
      </c>
    </row>
    <row r="111" spans="1:6" x14ac:dyDescent="0.3">
      <c r="A111" t="s">
        <v>287</v>
      </c>
      <c r="B111" t="s">
        <v>109</v>
      </c>
      <c r="F111" t="s">
        <v>107</v>
      </c>
    </row>
    <row r="112" spans="1:6" x14ac:dyDescent="0.3">
      <c r="A112" t="s">
        <v>288</v>
      </c>
      <c r="B112" t="s">
        <v>332</v>
      </c>
      <c r="F112" t="s">
        <v>107</v>
      </c>
    </row>
    <row r="113" spans="1:6" x14ac:dyDescent="0.3">
      <c r="A113" t="s">
        <v>306</v>
      </c>
      <c r="B113" t="s">
        <v>333</v>
      </c>
      <c r="F113" t="s">
        <v>107</v>
      </c>
    </row>
    <row r="114" spans="1:6" x14ac:dyDescent="0.3">
      <c r="A114" t="s">
        <v>290</v>
      </c>
      <c r="B114" t="s">
        <v>333</v>
      </c>
      <c r="F114" t="s">
        <v>107</v>
      </c>
    </row>
    <row r="115" spans="1:6" x14ac:dyDescent="0.3">
      <c r="A115" t="s">
        <v>292</v>
      </c>
      <c r="B115" t="s">
        <v>40</v>
      </c>
      <c r="F115" t="s">
        <v>107</v>
      </c>
    </row>
    <row r="116" spans="1:6" x14ac:dyDescent="0.3">
      <c r="A116" t="s">
        <v>293</v>
      </c>
      <c r="B116" t="s">
        <v>333</v>
      </c>
      <c r="F116" t="s">
        <v>107</v>
      </c>
    </row>
    <row r="117" spans="1:6" x14ac:dyDescent="0.3">
      <c r="A117" t="s">
        <v>295</v>
      </c>
      <c r="B117" t="s">
        <v>296</v>
      </c>
      <c r="C117" t="s">
        <v>283</v>
      </c>
      <c r="D117" t="s">
        <v>284</v>
      </c>
      <c r="E117" t="s">
        <v>297</v>
      </c>
      <c r="F117" t="s">
        <v>107</v>
      </c>
    </row>
    <row r="118" spans="1:6" x14ac:dyDescent="0.3">
      <c r="B118" t="s">
        <v>334</v>
      </c>
      <c r="C118">
        <v>1</v>
      </c>
      <c r="D118">
        <v>59740</v>
      </c>
      <c r="E118">
        <v>59740</v>
      </c>
      <c r="F118" t="s">
        <v>107</v>
      </c>
    </row>
    <row r="119" spans="1:6" x14ac:dyDescent="0.3">
      <c r="A119" t="s">
        <v>287</v>
      </c>
      <c r="B119" t="s">
        <v>109</v>
      </c>
      <c r="F119" t="s">
        <v>114</v>
      </c>
    </row>
    <row r="120" spans="1:6" x14ac:dyDescent="0.3">
      <c r="A120" t="s">
        <v>288</v>
      </c>
      <c r="B120" t="s">
        <v>332</v>
      </c>
      <c r="F120" t="s">
        <v>114</v>
      </c>
    </row>
    <row r="121" spans="1:6" x14ac:dyDescent="0.3">
      <c r="A121" t="s">
        <v>306</v>
      </c>
      <c r="B121" t="s">
        <v>333</v>
      </c>
      <c r="F121" t="s">
        <v>114</v>
      </c>
    </row>
    <row r="122" spans="1:6" x14ac:dyDescent="0.3">
      <c r="A122" t="s">
        <v>290</v>
      </c>
      <c r="B122" t="s">
        <v>333</v>
      </c>
      <c r="F122" t="s">
        <v>114</v>
      </c>
    </row>
    <row r="123" spans="1:6" x14ac:dyDescent="0.3">
      <c r="A123" t="s">
        <v>292</v>
      </c>
      <c r="B123" t="s">
        <v>40</v>
      </c>
      <c r="F123" t="s">
        <v>114</v>
      </c>
    </row>
    <row r="124" spans="1:6" x14ac:dyDescent="0.3">
      <c r="A124" t="s">
        <v>293</v>
      </c>
      <c r="B124" t="s">
        <v>333</v>
      </c>
      <c r="F124" t="s">
        <v>114</v>
      </c>
    </row>
    <row r="125" spans="1:6" x14ac:dyDescent="0.3">
      <c r="A125" t="s">
        <v>295</v>
      </c>
      <c r="B125" t="s">
        <v>296</v>
      </c>
      <c r="C125" t="s">
        <v>283</v>
      </c>
      <c r="D125" t="s">
        <v>284</v>
      </c>
      <c r="E125" t="s">
        <v>297</v>
      </c>
      <c r="F125" t="s">
        <v>114</v>
      </c>
    </row>
    <row r="126" spans="1:6" x14ac:dyDescent="0.3">
      <c r="B126" t="s">
        <v>334</v>
      </c>
      <c r="C126">
        <v>1</v>
      </c>
      <c r="D126">
        <v>59740</v>
      </c>
      <c r="E126">
        <v>59740</v>
      </c>
      <c r="F126" t="s">
        <v>114</v>
      </c>
    </row>
    <row r="127" spans="1:6" x14ac:dyDescent="0.3">
      <c r="A127" t="s">
        <v>287</v>
      </c>
      <c r="B127" t="s">
        <v>122</v>
      </c>
      <c r="F127" t="s">
        <v>120</v>
      </c>
    </row>
    <row r="128" spans="1:6" x14ac:dyDescent="0.3">
      <c r="A128" t="s">
        <v>288</v>
      </c>
      <c r="B128" t="s">
        <v>335</v>
      </c>
      <c r="F128" t="s">
        <v>120</v>
      </c>
    </row>
    <row r="129" spans="1:6" x14ac:dyDescent="0.3">
      <c r="A129" t="s">
        <v>306</v>
      </c>
      <c r="B129">
        <v>0</v>
      </c>
      <c r="F129" t="s">
        <v>120</v>
      </c>
    </row>
    <row r="130" spans="1:6" x14ac:dyDescent="0.3">
      <c r="A130" t="s">
        <v>290</v>
      </c>
      <c r="B130">
        <v>954151437</v>
      </c>
      <c r="F130" t="s">
        <v>120</v>
      </c>
    </row>
    <row r="131" spans="1:6" x14ac:dyDescent="0.3">
      <c r="A131" t="s">
        <v>292</v>
      </c>
      <c r="B131" t="s">
        <v>31</v>
      </c>
      <c r="F131" t="s">
        <v>120</v>
      </c>
    </row>
    <row r="132" spans="1:6" x14ac:dyDescent="0.3">
      <c r="A132" t="s">
        <v>293</v>
      </c>
      <c r="B132">
        <v>0</v>
      </c>
      <c r="F132" t="s">
        <v>120</v>
      </c>
    </row>
    <row r="133" spans="1:6" x14ac:dyDescent="0.3">
      <c r="A133" t="s">
        <v>295</v>
      </c>
      <c r="B133" t="s">
        <v>296</v>
      </c>
      <c r="C133" t="s">
        <v>283</v>
      </c>
      <c r="D133" t="s">
        <v>284</v>
      </c>
      <c r="E133" t="s">
        <v>297</v>
      </c>
      <c r="F133" t="s">
        <v>120</v>
      </c>
    </row>
    <row r="134" spans="1:6" x14ac:dyDescent="0.3">
      <c r="B134" t="s">
        <v>336</v>
      </c>
      <c r="C134">
        <v>1</v>
      </c>
      <c r="D134" t="s">
        <v>337</v>
      </c>
      <c r="E134">
        <v>5100</v>
      </c>
      <c r="F134" t="s">
        <v>120</v>
      </c>
    </row>
    <row r="135" spans="1:6" x14ac:dyDescent="0.3">
      <c r="B135" t="s">
        <v>338</v>
      </c>
      <c r="C135">
        <v>1</v>
      </c>
      <c r="D135" t="s">
        <v>339</v>
      </c>
      <c r="E135">
        <v>12933</v>
      </c>
      <c r="F135" t="s">
        <v>120</v>
      </c>
    </row>
    <row r="136" spans="1:6" x14ac:dyDescent="0.3">
      <c r="B136" t="s">
        <v>340</v>
      </c>
      <c r="C136">
        <v>1</v>
      </c>
      <c r="D136">
        <v>6105.29</v>
      </c>
      <c r="E136">
        <v>6105.29</v>
      </c>
      <c r="F136" t="s">
        <v>120</v>
      </c>
    </row>
    <row r="137" spans="1:6" x14ac:dyDescent="0.3">
      <c r="B137" t="s">
        <v>341</v>
      </c>
      <c r="C137">
        <v>1</v>
      </c>
      <c r="D137">
        <v>18828.599999999999</v>
      </c>
      <c r="E137">
        <v>18828.599999999999</v>
      </c>
      <c r="F137" t="s">
        <v>120</v>
      </c>
    </row>
    <row r="138" spans="1:6" x14ac:dyDescent="0.3">
      <c r="A138" t="s">
        <v>287</v>
      </c>
      <c r="B138" t="s">
        <v>122</v>
      </c>
      <c r="F138" t="s">
        <v>127</v>
      </c>
    </row>
    <row r="139" spans="1:6" x14ac:dyDescent="0.3">
      <c r="A139" t="s">
        <v>288</v>
      </c>
      <c r="B139" t="s">
        <v>335</v>
      </c>
      <c r="F139" t="s">
        <v>127</v>
      </c>
    </row>
    <row r="140" spans="1:6" x14ac:dyDescent="0.3">
      <c r="A140" t="s">
        <v>306</v>
      </c>
      <c r="B140">
        <v>0</v>
      </c>
      <c r="F140" t="s">
        <v>127</v>
      </c>
    </row>
    <row r="141" spans="1:6" x14ac:dyDescent="0.3">
      <c r="A141" t="s">
        <v>290</v>
      </c>
      <c r="B141">
        <v>954151437</v>
      </c>
      <c r="F141" t="s">
        <v>127</v>
      </c>
    </row>
    <row r="142" spans="1:6" x14ac:dyDescent="0.3">
      <c r="A142" t="s">
        <v>292</v>
      </c>
      <c r="B142" t="s">
        <v>40</v>
      </c>
      <c r="F142" t="s">
        <v>127</v>
      </c>
    </row>
    <row r="143" spans="1:6" x14ac:dyDescent="0.3">
      <c r="A143" t="s">
        <v>293</v>
      </c>
      <c r="B143">
        <v>0</v>
      </c>
      <c r="F143" t="s">
        <v>127</v>
      </c>
    </row>
    <row r="144" spans="1:6" x14ac:dyDescent="0.3">
      <c r="A144" t="s">
        <v>295</v>
      </c>
      <c r="B144" t="s">
        <v>296</v>
      </c>
      <c r="C144" t="s">
        <v>283</v>
      </c>
      <c r="D144" t="s">
        <v>284</v>
      </c>
      <c r="E144" t="s">
        <v>297</v>
      </c>
      <c r="F144" t="s">
        <v>127</v>
      </c>
    </row>
    <row r="145" spans="1:6" x14ac:dyDescent="0.3">
      <c r="B145" t="s">
        <v>336</v>
      </c>
      <c r="C145">
        <v>1</v>
      </c>
      <c r="D145" t="s">
        <v>337</v>
      </c>
      <c r="E145">
        <v>5100</v>
      </c>
      <c r="F145" t="s">
        <v>127</v>
      </c>
    </row>
    <row r="146" spans="1:6" x14ac:dyDescent="0.3">
      <c r="B146" t="s">
        <v>338</v>
      </c>
      <c r="C146">
        <v>1</v>
      </c>
      <c r="D146" t="s">
        <v>339</v>
      </c>
      <c r="E146">
        <v>12933</v>
      </c>
      <c r="F146" t="s">
        <v>127</v>
      </c>
    </row>
    <row r="147" spans="1:6" x14ac:dyDescent="0.3">
      <c r="B147" t="s">
        <v>340</v>
      </c>
      <c r="C147">
        <v>1</v>
      </c>
      <c r="D147">
        <v>6105.29</v>
      </c>
      <c r="E147">
        <v>6105.29</v>
      </c>
      <c r="F147" t="s">
        <v>127</v>
      </c>
    </row>
    <row r="148" spans="1:6" x14ac:dyDescent="0.3">
      <c r="B148" t="s">
        <v>341</v>
      </c>
      <c r="C148">
        <v>1</v>
      </c>
      <c r="D148">
        <v>18828.599999999999</v>
      </c>
      <c r="E148">
        <v>18828.599999999999</v>
      </c>
      <c r="F148" t="s">
        <v>127</v>
      </c>
    </row>
    <row r="149" spans="1:6" x14ac:dyDescent="0.3">
      <c r="A149" t="s">
        <v>287</v>
      </c>
      <c r="B149" t="s">
        <v>41</v>
      </c>
      <c r="F149" t="s">
        <v>129</v>
      </c>
    </row>
    <row r="150" spans="1:6" x14ac:dyDescent="0.3">
      <c r="A150" t="s">
        <v>288</v>
      </c>
      <c r="B150" t="s">
        <v>305</v>
      </c>
      <c r="F150" t="s">
        <v>129</v>
      </c>
    </row>
    <row r="151" spans="1:6" x14ac:dyDescent="0.3">
      <c r="A151" t="s">
        <v>306</v>
      </c>
      <c r="B151">
        <v>0</v>
      </c>
      <c r="F151" t="s">
        <v>129</v>
      </c>
    </row>
    <row r="152" spans="1:6" x14ac:dyDescent="0.3">
      <c r="A152" t="s">
        <v>290</v>
      </c>
      <c r="B152">
        <v>933754586</v>
      </c>
      <c r="F152" t="s">
        <v>129</v>
      </c>
    </row>
    <row r="153" spans="1:6" x14ac:dyDescent="0.3">
      <c r="A153" t="s">
        <v>292</v>
      </c>
      <c r="B153" t="s">
        <v>40</v>
      </c>
      <c r="F153" t="s">
        <v>129</v>
      </c>
    </row>
    <row r="154" spans="1:6" x14ac:dyDescent="0.3">
      <c r="A154" t="s">
        <v>293</v>
      </c>
      <c r="B154" t="s">
        <v>307</v>
      </c>
      <c r="F154" t="s">
        <v>129</v>
      </c>
    </row>
    <row r="155" spans="1:6" x14ac:dyDescent="0.3">
      <c r="A155" t="s">
        <v>295</v>
      </c>
      <c r="B155" t="s">
        <v>296</v>
      </c>
      <c r="C155" t="s">
        <v>283</v>
      </c>
      <c r="D155" t="s">
        <v>284</v>
      </c>
      <c r="E155" t="s">
        <v>297</v>
      </c>
      <c r="F155" t="s">
        <v>129</v>
      </c>
    </row>
    <row r="156" spans="1:6" x14ac:dyDescent="0.3">
      <c r="B156" t="s">
        <v>342</v>
      </c>
      <c r="C156">
        <v>1</v>
      </c>
      <c r="D156">
        <v>79560</v>
      </c>
      <c r="E156">
        <v>79560</v>
      </c>
      <c r="F156" t="s">
        <v>129</v>
      </c>
    </row>
    <row r="157" spans="1:6" x14ac:dyDescent="0.3">
      <c r="B157" t="s">
        <v>343</v>
      </c>
      <c r="C157">
        <v>1</v>
      </c>
      <c r="D157">
        <v>73195</v>
      </c>
      <c r="E157">
        <v>73195</v>
      </c>
      <c r="F157" t="s">
        <v>129</v>
      </c>
    </row>
    <row r="158" spans="1:6" x14ac:dyDescent="0.3">
      <c r="B158" t="s">
        <v>344</v>
      </c>
      <c r="C158">
        <v>1</v>
      </c>
      <c r="D158">
        <v>121176</v>
      </c>
      <c r="E158">
        <v>121176</v>
      </c>
      <c r="F158" t="s">
        <v>129</v>
      </c>
    </row>
    <row r="159" spans="1:6" x14ac:dyDescent="0.3">
      <c r="B159" t="s">
        <v>345</v>
      </c>
      <c r="C159">
        <v>1</v>
      </c>
      <c r="D159">
        <v>99454</v>
      </c>
      <c r="E159">
        <v>99454</v>
      </c>
      <c r="F159" t="s">
        <v>129</v>
      </c>
    </row>
    <row r="160" spans="1:6" x14ac:dyDescent="0.3">
      <c r="B160" t="s">
        <v>346</v>
      </c>
      <c r="C160">
        <v>1</v>
      </c>
      <c r="D160">
        <v>8611</v>
      </c>
      <c r="E160">
        <v>8611</v>
      </c>
      <c r="F160" t="s">
        <v>129</v>
      </c>
    </row>
    <row r="161" spans="1:6" x14ac:dyDescent="0.3">
      <c r="B161" t="s">
        <v>347</v>
      </c>
      <c r="C161">
        <v>1</v>
      </c>
      <c r="D161">
        <v>5350</v>
      </c>
      <c r="E161">
        <v>5350</v>
      </c>
      <c r="F161" t="s">
        <v>129</v>
      </c>
    </row>
    <row r="162" spans="1:6" x14ac:dyDescent="0.3">
      <c r="A162" t="s">
        <v>287</v>
      </c>
      <c r="B162" t="s">
        <v>122</v>
      </c>
      <c r="F162" t="s">
        <v>134</v>
      </c>
    </row>
    <row r="163" spans="1:6" x14ac:dyDescent="0.3">
      <c r="A163" t="s">
        <v>288</v>
      </c>
      <c r="B163" t="s">
        <v>335</v>
      </c>
      <c r="F163" t="s">
        <v>134</v>
      </c>
    </row>
    <row r="164" spans="1:6" x14ac:dyDescent="0.3">
      <c r="A164" t="s">
        <v>306</v>
      </c>
      <c r="B164">
        <v>0</v>
      </c>
      <c r="F164" t="s">
        <v>134</v>
      </c>
    </row>
    <row r="165" spans="1:6" x14ac:dyDescent="0.3">
      <c r="A165" t="s">
        <v>290</v>
      </c>
      <c r="B165">
        <v>954151437</v>
      </c>
      <c r="F165" t="s">
        <v>134</v>
      </c>
    </row>
    <row r="166" spans="1:6" x14ac:dyDescent="0.3">
      <c r="A166" t="s">
        <v>292</v>
      </c>
      <c r="B166" t="s">
        <v>40</v>
      </c>
      <c r="F166" t="s">
        <v>134</v>
      </c>
    </row>
    <row r="167" spans="1:6" x14ac:dyDescent="0.3">
      <c r="A167" t="s">
        <v>293</v>
      </c>
      <c r="B167">
        <v>0</v>
      </c>
      <c r="F167" t="s">
        <v>134</v>
      </c>
    </row>
    <row r="168" spans="1:6" x14ac:dyDescent="0.3">
      <c r="A168" t="s">
        <v>295</v>
      </c>
      <c r="B168" t="s">
        <v>296</v>
      </c>
      <c r="C168" t="s">
        <v>283</v>
      </c>
      <c r="D168" t="s">
        <v>284</v>
      </c>
      <c r="E168" t="s">
        <v>297</v>
      </c>
      <c r="F168" t="s">
        <v>134</v>
      </c>
    </row>
    <row r="169" spans="1:6" x14ac:dyDescent="0.3">
      <c r="B169" t="s">
        <v>336</v>
      </c>
      <c r="C169">
        <v>1</v>
      </c>
      <c r="D169" t="s">
        <v>337</v>
      </c>
      <c r="E169">
        <v>5100</v>
      </c>
      <c r="F169" t="s">
        <v>134</v>
      </c>
    </row>
    <row r="170" spans="1:6" x14ac:dyDescent="0.3">
      <c r="B170" t="s">
        <v>338</v>
      </c>
      <c r="C170">
        <v>1</v>
      </c>
      <c r="D170" t="s">
        <v>339</v>
      </c>
      <c r="E170">
        <v>12933</v>
      </c>
      <c r="F170" t="s">
        <v>134</v>
      </c>
    </row>
    <row r="171" spans="1:6" x14ac:dyDescent="0.3">
      <c r="A171" t="s">
        <v>287</v>
      </c>
      <c r="B171" t="s">
        <v>348</v>
      </c>
      <c r="F171" t="s">
        <v>138</v>
      </c>
    </row>
    <row r="172" spans="1:6" x14ac:dyDescent="0.3">
      <c r="A172" t="s">
        <v>288</v>
      </c>
      <c r="B172" t="s">
        <v>349</v>
      </c>
      <c r="F172" t="s">
        <v>138</v>
      </c>
    </row>
    <row r="173" spans="1:6" x14ac:dyDescent="0.3">
      <c r="A173" t="s">
        <v>306</v>
      </c>
      <c r="B173" t="s">
        <v>333</v>
      </c>
      <c r="F173" t="s">
        <v>138</v>
      </c>
    </row>
    <row r="174" spans="1:6" x14ac:dyDescent="0.3">
      <c r="A174" t="s">
        <v>290</v>
      </c>
      <c r="B174" t="s">
        <v>333</v>
      </c>
      <c r="F174" t="s">
        <v>138</v>
      </c>
    </row>
    <row r="175" spans="1:6" x14ac:dyDescent="0.3">
      <c r="A175" t="s">
        <v>292</v>
      </c>
      <c r="B175" t="s">
        <v>40</v>
      </c>
      <c r="F175" t="s">
        <v>138</v>
      </c>
    </row>
    <row r="176" spans="1:6" x14ac:dyDescent="0.3">
      <c r="A176" t="s">
        <v>293</v>
      </c>
      <c r="B176" t="s">
        <v>333</v>
      </c>
      <c r="F176" t="s">
        <v>138</v>
      </c>
    </row>
    <row r="177" spans="1:6" x14ac:dyDescent="0.3">
      <c r="A177" t="s">
        <v>295</v>
      </c>
      <c r="B177" t="s">
        <v>296</v>
      </c>
      <c r="C177" t="s">
        <v>283</v>
      </c>
      <c r="D177" t="s">
        <v>284</v>
      </c>
      <c r="E177" t="s">
        <v>297</v>
      </c>
      <c r="F177" t="s">
        <v>138</v>
      </c>
    </row>
    <row r="178" spans="1:6" x14ac:dyDescent="0.3">
      <c r="B178" t="s">
        <v>350</v>
      </c>
      <c r="C178">
        <v>1</v>
      </c>
      <c r="D178" t="s">
        <v>351</v>
      </c>
      <c r="E178">
        <v>8518</v>
      </c>
      <c r="F178" t="s">
        <v>138</v>
      </c>
    </row>
    <row r="179" spans="1:6" x14ac:dyDescent="0.3">
      <c r="B179" t="s">
        <v>352</v>
      </c>
      <c r="C179">
        <v>1</v>
      </c>
      <c r="D179" t="s">
        <v>353</v>
      </c>
      <c r="E179">
        <v>6513</v>
      </c>
      <c r="F179" t="s">
        <v>138</v>
      </c>
    </row>
    <row r="180" spans="1:6" x14ac:dyDescent="0.3">
      <c r="B180" t="s">
        <v>354</v>
      </c>
      <c r="C180">
        <v>1</v>
      </c>
      <c r="D180" t="s">
        <v>355</v>
      </c>
      <c r="E180">
        <v>6105</v>
      </c>
      <c r="F180" t="s">
        <v>138</v>
      </c>
    </row>
    <row r="181" spans="1:6" x14ac:dyDescent="0.3">
      <c r="B181" t="s">
        <v>356</v>
      </c>
      <c r="C181">
        <v>1</v>
      </c>
      <c r="D181" t="s">
        <v>357</v>
      </c>
      <c r="E181">
        <v>18829</v>
      </c>
      <c r="F181" t="s">
        <v>138</v>
      </c>
    </row>
    <row r="182" spans="1:6" x14ac:dyDescent="0.3">
      <c r="B182" t="s">
        <v>346</v>
      </c>
      <c r="C182">
        <v>1</v>
      </c>
      <c r="D182">
        <v>8611</v>
      </c>
      <c r="E182">
        <v>8611</v>
      </c>
      <c r="F182" t="s">
        <v>138</v>
      </c>
    </row>
    <row r="183" spans="1:6" x14ac:dyDescent="0.3">
      <c r="B183" t="s">
        <v>347</v>
      </c>
      <c r="C183">
        <v>1</v>
      </c>
      <c r="D183">
        <v>5350</v>
      </c>
      <c r="E183">
        <v>5350</v>
      </c>
      <c r="F183" t="s">
        <v>138</v>
      </c>
    </row>
    <row r="184" spans="1:6" x14ac:dyDescent="0.3">
      <c r="A184" t="s">
        <v>287</v>
      </c>
      <c r="B184" t="s">
        <v>122</v>
      </c>
      <c r="F184" t="s">
        <v>144</v>
      </c>
    </row>
    <row r="185" spans="1:6" x14ac:dyDescent="0.3">
      <c r="A185" t="s">
        <v>288</v>
      </c>
      <c r="B185" t="s">
        <v>335</v>
      </c>
      <c r="F185" t="s">
        <v>144</v>
      </c>
    </row>
    <row r="186" spans="1:6" x14ac:dyDescent="0.3">
      <c r="A186" t="s">
        <v>306</v>
      </c>
      <c r="B186">
        <v>0</v>
      </c>
      <c r="F186" t="s">
        <v>144</v>
      </c>
    </row>
    <row r="187" spans="1:6" x14ac:dyDescent="0.3">
      <c r="A187" t="s">
        <v>290</v>
      </c>
      <c r="B187">
        <v>954151437</v>
      </c>
      <c r="F187" t="s">
        <v>144</v>
      </c>
    </row>
    <row r="188" spans="1:6" x14ac:dyDescent="0.3">
      <c r="A188" t="s">
        <v>292</v>
      </c>
      <c r="B188" t="s">
        <v>40</v>
      </c>
      <c r="F188" t="s">
        <v>144</v>
      </c>
    </row>
    <row r="189" spans="1:6" x14ac:dyDescent="0.3">
      <c r="A189" t="s">
        <v>293</v>
      </c>
      <c r="B189">
        <v>0</v>
      </c>
      <c r="F189" t="s">
        <v>144</v>
      </c>
    </row>
    <row r="190" spans="1:6" x14ac:dyDescent="0.3">
      <c r="A190" t="s">
        <v>295</v>
      </c>
      <c r="B190" t="s">
        <v>296</v>
      </c>
      <c r="C190" t="s">
        <v>283</v>
      </c>
      <c r="D190" t="s">
        <v>284</v>
      </c>
      <c r="E190" t="s">
        <v>297</v>
      </c>
      <c r="F190" t="s">
        <v>144</v>
      </c>
    </row>
    <row r="191" spans="1:6" x14ac:dyDescent="0.3">
      <c r="B191" t="s">
        <v>358</v>
      </c>
      <c r="C191">
        <v>1</v>
      </c>
      <c r="D191">
        <v>14900</v>
      </c>
      <c r="E191">
        <v>14900</v>
      </c>
      <c r="F191" t="s">
        <v>144</v>
      </c>
    </row>
    <row r="192" spans="1:6" x14ac:dyDescent="0.3">
      <c r="B192" t="s">
        <v>359</v>
      </c>
      <c r="C192">
        <v>1</v>
      </c>
      <c r="D192">
        <v>12933</v>
      </c>
      <c r="E192">
        <v>12933</v>
      </c>
      <c r="F192" t="s">
        <v>144</v>
      </c>
    </row>
    <row r="193" spans="1:6" x14ac:dyDescent="0.3">
      <c r="B193" t="s">
        <v>336</v>
      </c>
      <c r="C193">
        <v>1</v>
      </c>
      <c r="D193">
        <v>5100</v>
      </c>
      <c r="E193">
        <v>5100</v>
      </c>
      <c r="F193" t="s">
        <v>144</v>
      </c>
    </row>
    <row r="194" spans="1:6" x14ac:dyDescent="0.3">
      <c r="A194" t="s">
        <v>287</v>
      </c>
      <c r="B194" t="s">
        <v>149</v>
      </c>
      <c r="F194" t="s">
        <v>148</v>
      </c>
    </row>
    <row r="195" spans="1:6" x14ac:dyDescent="0.3">
      <c r="A195" t="s">
        <v>288</v>
      </c>
      <c r="B195" t="s">
        <v>360</v>
      </c>
      <c r="F195" t="s">
        <v>148</v>
      </c>
    </row>
    <row r="196" spans="1:6" x14ac:dyDescent="0.3">
      <c r="A196" t="s">
        <v>306</v>
      </c>
      <c r="B196">
        <v>0</v>
      </c>
      <c r="F196" t="s">
        <v>148</v>
      </c>
    </row>
    <row r="197" spans="1:6" x14ac:dyDescent="0.3">
      <c r="A197" t="s">
        <v>290</v>
      </c>
      <c r="B197">
        <v>954807533</v>
      </c>
      <c r="F197" t="s">
        <v>148</v>
      </c>
    </row>
    <row r="198" spans="1:6" x14ac:dyDescent="0.3">
      <c r="A198" t="s">
        <v>292</v>
      </c>
      <c r="B198" t="s">
        <v>40</v>
      </c>
      <c r="F198" t="s">
        <v>148</v>
      </c>
    </row>
    <row r="199" spans="1:6" x14ac:dyDescent="0.3">
      <c r="A199" t="s">
        <v>293</v>
      </c>
      <c r="B199" t="s">
        <v>361</v>
      </c>
      <c r="F199" t="s">
        <v>148</v>
      </c>
    </row>
    <row r="200" spans="1:6" x14ac:dyDescent="0.3">
      <c r="A200" t="s">
        <v>295</v>
      </c>
      <c r="B200" t="s">
        <v>296</v>
      </c>
      <c r="C200" t="s">
        <v>283</v>
      </c>
      <c r="D200" t="s">
        <v>284</v>
      </c>
      <c r="E200" t="s">
        <v>297</v>
      </c>
      <c r="F200" t="s">
        <v>148</v>
      </c>
    </row>
    <row r="201" spans="1:6" x14ac:dyDescent="0.3">
      <c r="B201" t="s">
        <v>362</v>
      </c>
      <c r="C201">
        <v>1</v>
      </c>
      <c r="D201">
        <v>8518.07</v>
      </c>
      <c r="E201">
        <v>8518.07</v>
      </c>
      <c r="F201" t="s">
        <v>148</v>
      </c>
    </row>
    <row r="202" spans="1:6" x14ac:dyDescent="0.3">
      <c r="B202" t="s">
        <v>363</v>
      </c>
      <c r="C202">
        <v>1</v>
      </c>
      <c r="D202">
        <v>6512.86</v>
      </c>
      <c r="E202">
        <v>6512.86</v>
      </c>
      <c r="F202" t="s">
        <v>148</v>
      </c>
    </row>
    <row r="203" spans="1:6" x14ac:dyDescent="0.3">
      <c r="B203" t="s">
        <v>340</v>
      </c>
      <c r="C203">
        <v>1</v>
      </c>
      <c r="D203">
        <v>6105.29</v>
      </c>
      <c r="E203">
        <v>6105.29</v>
      </c>
      <c r="F203" t="s">
        <v>148</v>
      </c>
    </row>
    <row r="204" spans="1:6" x14ac:dyDescent="0.3">
      <c r="B204" t="s">
        <v>341</v>
      </c>
      <c r="C204">
        <v>1</v>
      </c>
      <c r="D204">
        <v>18828.599999999999</v>
      </c>
      <c r="E204">
        <v>18828.599999999999</v>
      </c>
      <c r="F204" t="s">
        <v>148</v>
      </c>
    </row>
    <row r="205" spans="1:6" x14ac:dyDescent="0.3">
      <c r="A205" t="s">
        <v>287</v>
      </c>
      <c r="B205" t="s">
        <v>41</v>
      </c>
      <c r="F205" t="s">
        <v>151</v>
      </c>
    </row>
    <row r="206" spans="1:6" x14ac:dyDescent="0.3">
      <c r="A206" t="s">
        <v>288</v>
      </c>
      <c r="B206" t="s">
        <v>305</v>
      </c>
      <c r="F206" t="s">
        <v>151</v>
      </c>
    </row>
    <row r="207" spans="1:6" x14ac:dyDescent="0.3">
      <c r="A207" t="s">
        <v>306</v>
      </c>
      <c r="B207">
        <v>0</v>
      </c>
      <c r="F207" t="s">
        <v>151</v>
      </c>
    </row>
    <row r="208" spans="1:6" x14ac:dyDescent="0.3">
      <c r="A208" t="s">
        <v>290</v>
      </c>
      <c r="B208">
        <v>933754586</v>
      </c>
      <c r="F208" t="s">
        <v>151</v>
      </c>
    </row>
    <row r="209" spans="1:6" x14ac:dyDescent="0.3">
      <c r="A209" t="s">
        <v>292</v>
      </c>
      <c r="B209" t="s">
        <v>40</v>
      </c>
      <c r="F209" t="s">
        <v>151</v>
      </c>
    </row>
    <row r="210" spans="1:6" x14ac:dyDescent="0.3">
      <c r="A210" t="s">
        <v>293</v>
      </c>
      <c r="B210" t="s">
        <v>307</v>
      </c>
      <c r="F210" t="s">
        <v>151</v>
      </c>
    </row>
    <row r="211" spans="1:6" x14ac:dyDescent="0.3">
      <c r="A211" t="s">
        <v>295</v>
      </c>
      <c r="B211" t="s">
        <v>296</v>
      </c>
      <c r="C211" t="s">
        <v>283</v>
      </c>
      <c r="D211" t="s">
        <v>284</v>
      </c>
      <c r="E211" t="s">
        <v>297</v>
      </c>
      <c r="F211" t="s">
        <v>151</v>
      </c>
    </row>
    <row r="212" spans="1:6" x14ac:dyDescent="0.3">
      <c r="B212" t="s">
        <v>342</v>
      </c>
      <c r="C212">
        <v>1</v>
      </c>
      <c r="D212">
        <v>79560</v>
      </c>
      <c r="E212">
        <v>79560</v>
      </c>
      <c r="F212" t="s">
        <v>151</v>
      </c>
    </row>
    <row r="213" spans="1:6" x14ac:dyDescent="0.3">
      <c r="B213" t="s">
        <v>343</v>
      </c>
      <c r="C213">
        <v>1</v>
      </c>
      <c r="D213">
        <v>73195</v>
      </c>
      <c r="E213">
        <v>73195</v>
      </c>
      <c r="F213" t="s">
        <v>151</v>
      </c>
    </row>
    <row r="214" spans="1:6" x14ac:dyDescent="0.3">
      <c r="B214" t="s">
        <v>344</v>
      </c>
      <c r="C214">
        <v>1</v>
      </c>
      <c r="D214">
        <v>121176</v>
      </c>
      <c r="E214">
        <v>121176</v>
      </c>
      <c r="F214" t="s">
        <v>151</v>
      </c>
    </row>
    <row r="215" spans="1:6" x14ac:dyDescent="0.3">
      <c r="B215" t="s">
        <v>345</v>
      </c>
      <c r="C215">
        <v>1</v>
      </c>
      <c r="D215">
        <v>99454</v>
      </c>
      <c r="E215">
        <v>99454</v>
      </c>
      <c r="F215" t="s">
        <v>151</v>
      </c>
    </row>
    <row r="216" spans="1:6" x14ac:dyDescent="0.3">
      <c r="B216" t="s">
        <v>346</v>
      </c>
      <c r="C216">
        <v>1</v>
      </c>
      <c r="D216">
        <v>8611</v>
      </c>
      <c r="E216">
        <v>8611</v>
      </c>
      <c r="F216" t="s">
        <v>151</v>
      </c>
    </row>
    <row r="217" spans="1:6" x14ac:dyDescent="0.3">
      <c r="B217" t="s">
        <v>347</v>
      </c>
      <c r="C217">
        <v>1</v>
      </c>
      <c r="D217">
        <v>5350</v>
      </c>
      <c r="E217">
        <v>5350</v>
      </c>
      <c r="F217" t="s">
        <v>151</v>
      </c>
    </row>
    <row r="218" spans="1:6" x14ac:dyDescent="0.3">
      <c r="A218" t="s">
        <v>287</v>
      </c>
      <c r="B218" t="s">
        <v>323</v>
      </c>
      <c r="F218" t="s">
        <v>364</v>
      </c>
    </row>
    <row r="219" spans="1:6" x14ac:dyDescent="0.3">
      <c r="A219" t="s">
        <v>288</v>
      </c>
      <c r="B219" t="s">
        <v>324</v>
      </c>
      <c r="F219" t="s">
        <v>364</v>
      </c>
    </row>
    <row r="220" spans="1:6" x14ac:dyDescent="0.3">
      <c r="A220" t="s">
        <v>306</v>
      </c>
      <c r="B220">
        <v>0</v>
      </c>
      <c r="F220" t="s">
        <v>364</v>
      </c>
    </row>
    <row r="221" spans="1:6" x14ac:dyDescent="0.3">
      <c r="A221" t="s">
        <v>290</v>
      </c>
      <c r="B221">
        <v>0</v>
      </c>
      <c r="F221" t="s">
        <v>364</v>
      </c>
    </row>
    <row r="222" spans="1:6" x14ac:dyDescent="0.3">
      <c r="A222" t="s">
        <v>292</v>
      </c>
      <c r="B222" t="s">
        <v>31</v>
      </c>
      <c r="F222" t="s">
        <v>364</v>
      </c>
    </row>
    <row r="223" spans="1:6" x14ac:dyDescent="0.3">
      <c r="A223" t="s">
        <v>293</v>
      </c>
      <c r="B223">
        <v>0</v>
      </c>
      <c r="F223" t="s">
        <v>364</v>
      </c>
    </row>
    <row r="224" spans="1:6" x14ac:dyDescent="0.3">
      <c r="A224" t="s">
        <v>295</v>
      </c>
      <c r="B224" t="s">
        <v>296</v>
      </c>
      <c r="C224" t="s">
        <v>283</v>
      </c>
      <c r="D224" t="s">
        <v>284</v>
      </c>
      <c r="E224" t="s">
        <v>297</v>
      </c>
      <c r="F224" t="s">
        <v>364</v>
      </c>
    </row>
    <row r="225" spans="1:6" x14ac:dyDescent="0.3">
      <c r="B225" t="s">
        <v>365</v>
      </c>
      <c r="C225">
        <v>3</v>
      </c>
      <c r="D225">
        <v>7941</v>
      </c>
      <c r="E225">
        <v>23823</v>
      </c>
      <c r="F225" t="s">
        <v>364</v>
      </c>
    </row>
    <row r="226" spans="1:6" x14ac:dyDescent="0.3">
      <c r="B226" t="s">
        <v>366</v>
      </c>
      <c r="C226">
        <v>3</v>
      </c>
      <c r="D226">
        <v>28563</v>
      </c>
      <c r="E226">
        <v>85689</v>
      </c>
      <c r="F226" t="s">
        <v>364</v>
      </c>
    </row>
    <row r="227" spans="1:6" x14ac:dyDescent="0.3">
      <c r="A227" t="s">
        <v>287</v>
      </c>
      <c r="B227" t="s">
        <v>164</v>
      </c>
      <c r="F227" t="s">
        <v>161</v>
      </c>
    </row>
    <row r="228" spans="1:6" x14ac:dyDescent="0.3">
      <c r="A228" t="s">
        <v>288</v>
      </c>
      <c r="B228" t="s">
        <v>367</v>
      </c>
      <c r="F228" t="s">
        <v>161</v>
      </c>
    </row>
    <row r="229" spans="1:6" x14ac:dyDescent="0.3">
      <c r="A229" t="s">
        <v>306</v>
      </c>
      <c r="B229">
        <v>0</v>
      </c>
      <c r="F229" t="s">
        <v>161</v>
      </c>
    </row>
    <row r="230" spans="1:6" x14ac:dyDescent="0.3">
      <c r="A230" t="s">
        <v>290</v>
      </c>
      <c r="B230">
        <v>939183051</v>
      </c>
      <c r="F230" t="s">
        <v>161</v>
      </c>
    </row>
    <row r="231" spans="1:6" x14ac:dyDescent="0.3">
      <c r="A231" t="s">
        <v>292</v>
      </c>
      <c r="B231" t="s">
        <v>31</v>
      </c>
      <c r="F231" t="s">
        <v>161</v>
      </c>
    </row>
    <row r="232" spans="1:6" x14ac:dyDescent="0.3">
      <c r="A232" t="s">
        <v>293</v>
      </c>
      <c r="B232" t="s">
        <v>368</v>
      </c>
      <c r="F232" t="s">
        <v>161</v>
      </c>
    </row>
    <row r="233" spans="1:6" x14ac:dyDescent="0.3">
      <c r="A233" t="s">
        <v>295</v>
      </c>
      <c r="B233" t="s">
        <v>296</v>
      </c>
      <c r="C233" t="s">
        <v>283</v>
      </c>
      <c r="D233" t="s">
        <v>284</v>
      </c>
      <c r="E233" t="s">
        <v>297</v>
      </c>
      <c r="F233" t="s">
        <v>161</v>
      </c>
    </row>
    <row r="234" spans="1:6" x14ac:dyDescent="0.3">
      <c r="B234" t="s">
        <v>369</v>
      </c>
      <c r="C234">
        <v>12</v>
      </c>
      <c r="D234">
        <v>24500</v>
      </c>
      <c r="E234">
        <v>294000</v>
      </c>
      <c r="F234" t="s">
        <v>161</v>
      </c>
    </row>
    <row r="235" spans="1:6" x14ac:dyDescent="0.3">
      <c r="B235" t="s">
        <v>370</v>
      </c>
      <c r="C235">
        <v>12</v>
      </c>
      <c r="D235">
        <v>6100</v>
      </c>
      <c r="E235">
        <v>73200</v>
      </c>
      <c r="F235" t="s">
        <v>161</v>
      </c>
    </row>
    <row r="236" spans="1:6" x14ac:dyDescent="0.3">
      <c r="B236" t="s">
        <v>371</v>
      </c>
      <c r="C236">
        <v>12</v>
      </c>
      <c r="D236">
        <v>13500</v>
      </c>
      <c r="E236">
        <v>162000</v>
      </c>
      <c r="F236" t="s">
        <v>161</v>
      </c>
    </row>
    <row r="237" spans="1:6" x14ac:dyDescent="0.3">
      <c r="B237" t="s">
        <v>372</v>
      </c>
      <c r="C237">
        <v>12</v>
      </c>
      <c r="D237">
        <v>6900</v>
      </c>
      <c r="E237">
        <v>82800</v>
      </c>
      <c r="F237" t="s">
        <v>161</v>
      </c>
    </row>
    <row r="238" spans="1:6" x14ac:dyDescent="0.3">
      <c r="A238" t="s">
        <v>287</v>
      </c>
      <c r="B238" t="s">
        <v>172</v>
      </c>
      <c r="F238" t="s">
        <v>170</v>
      </c>
    </row>
    <row r="239" spans="1:6" x14ac:dyDescent="0.3">
      <c r="A239" t="s">
        <v>288</v>
      </c>
      <c r="B239" t="s">
        <v>373</v>
      </c>
      <c r="F239" t="s">
        <v>170</v>
      </c>
    </row>
    <row r="240" spans="1:6" x14ac:dyDescent="0.3">
      <c r="A240" t="s">
        <v>306</v>
      </c>
      <c r="B240">
        <v>0</v>
      </c>
      <c r="F240" t="s">
        <v>170</v>
      </c>
    </row>
    <row r="241" spans="1:6" x14ac:dyDescent="0.3">
      <c r="A241" t="s">
        <v>290</v>
      </c>
      <c r="B241">
        <v>0</v>
      </c>
      <c r="F241" t="s">
        <v>170</v>
      </c>
    </row>
    <row r="242" spans="1:6" x14ac:dyDescent="0.3">
      <c r="A242" t="s">
        <v>292</v>
      </c>
      <c r="B242" t="s">
        <v>31</v>
      </c>
      <c r="F242" t="s">
        <v>170</v>
      </c>
    </row>
    <row r="243" spans="1:6" x14ac:dyDescent="0.3">
      <c r="A243" t="s">
        <v>293</v>
      </c>
      <c r="B243">
        <v>0</v>
      </c>
      <c r="F243" t="s">
        <v>170</v>
      </c>
    </row>
    <row r="244" spans="1:6" x14ac:dyDescent="0.3">
      <c r="A244" t="s">
        <v>295</v>
      </c>
      <c r="B244" t="s">
        <v>296</v>
      </c>
      <c r="C244" t="s">
        <v>283</v>
      </c>
      <c r="D244" t="s">
        <v>284</v>
      </c>
      <c r="E244" t="s">
        <v>297</v>
      </c>
      <c r="F244" t="s">
        <v>170</v>
      </c>
    </row>
    <row r="245" spans="1:6" x14ac:dyDescent="0.3">
      <c r="B245" t="s">
        <v>374</v>
      </c>
      <c r="C245">
        <v>10</v>
      </c>
      <c r="D245">
        <v>5404</v>
      </c>
      <c r="E245">
        <v>54040</v>
      </c>
      <c r="F245" t="s">
        <v>170</v>
      </c>
    </row>
    <row r="246" spans="1:6" x14ac:dyDescent="0.3">
      <c r="B246" t="s">
        <v>375</v>
      </c>
      <c r="C246">
        <v>1</v>
      </c>
      <c r="D246">
        <v>8981</v>
      </c>
      <c r="E246">
        <v>8981</v>
      </c>
      <c r="F246" t="s">
        <v>170</v>
      </c>
    </row>
    <row r="247" spans="1:6" x14ac:dyDescent="0.3">
      <c r="B247" t="s">
        <v>376</v>
      </c>
      <c r="C247">
        <v>8</v>
      </c>
      <c r="D247">
        <v>484</v>
      </c>
      <c r="E247">
        <v>3872</v>
      </c>
      <c r="F247" t="s">
        <v>170</v>
      </c>
    </row>
    <row r="248" spans="1:6" x14ac:dyDescent="0.3">
      <c r="B248" t="s">
        <v>377</v>
      </c>
      <c r="C248">
        <v>2</v>
      </c>
      <c r="D248">
        <v>1095</v>
      </c>
      <c r="E248">
        <v>2190</v>
      </c>
      <c r="F248" t="s">
        <v>170</v>
      </c>
    </row>
    <row r="249" spans="1:6" x14ac:dyDescent="0.3">
      <c r="B249" t="s">
        <v>378</v>
      </c>
      <c r="C249">
        <v>2</v>
      </c>
      <c r="D249">
        <v>370</v>
      </c>
      <c r="E249">
        <v>740</v>
      </c>
      <c r="F249" t="s">
        <v>170</v>
      </c>
    </row>
    <row r="250" spans="1:6" x14ac:dyDescent="0.3">
      <c r="B250" t="s">
        <v>379</v>
      </c>
      <c r="C250">
        <v>2</v>
      </c>
      <c r="D250">
        <v>2161</v>
      </c>
      <c r="E250">
        <v>4322</v>
      </c>
      <c r="F250" t="s">
        <v>170</v>
      </c>
    </row>
    <row r="251" spans="1:6" x14ac:dyDescent="0.3">
      <c r="B251" t="s">
        <v>380</v>
      </c>
      <c r="C251">
        <v>3</v>
      </c>
      <c r="D251">
        <v>1150</v>
      </c>
      <c r="E251">
        <v>3450</v>
      </c>
      <c r="F251" t="s">
        <v>170</v>
      </c>
    </row>
    <row r="252" spans="1:6" x14ac:dyDescent="0.3">
      <c r="B252" t="s">
        <v>381</v>
      </c>
      <c r="C252">
        <v>1</v>
      </c>
      <c r="D252">
        <v>978</v>
      </c>
      <c r="E252">
        <v>978</v>
      </c>
      <c r="F252" t="s">
        <v>170</v>
      </c>
    </row>
    <row r="253" spans="1:6" x14ac:dyDescent="0.3">
      <c r="B253" t="s">
        <v>382</v>
      </c>
      <c r="C253">
        <v>4</v>
      </c>
      <c r="D253">
        <v>570</v>
      </c>
      <c r="E253">
        <v>2280</v>
      </c>
      <c r="F253" t="s">
        <v>170</v>
      </c>
    </row>
    <row r="254" spans="1:6" x14ac:dyDescent="0.3">
      <c r="B254" t="s">
        <v>383</v>
      </c>
      <c r="C254">
        <v>4</v>
      </c>
      <c r="D254">
        <v>184</v>
      </c>
      <c r="E254">
        <v>736</v>
      </c>
      <c r="F254" t="s">
        <v>170</v>
      </c>
    </row>
    <row r="255" spans="1:6" x14ac:dyDescent="0.3">
      <c r="A255" t="s">
        <v>384</v>
      </c>
      <c r="B255" t="s">
        <v>385</v>
      </c>
      <c r="C255">
        <v>3</v>
      </c>
      <c r="D255">
        <v>943</v>
      </c>
      <c r="E255">
        <v>2829</v>
      </c>
      <c r="F255" t="s">
        <v>170</v>
      </c>
    </row>
    <row r="256" spans="1:6" x14ac:dyDescent="0.3">
      <c r="A256" t="s">
        <v>384</v>
      </c>
      <c r="B256" t="s">
        <v>386</v>
      </c>
      <c r="C256">
        <v>10</v>
      </c>
      <c r="D256">
        <v>122</v>
      </c>
      <c r="E256">
        <v>1220</v>
      </c>
      <c r="F256" t="s">
        <v>170</v>
      </c>
    </row>
    <row r="257" spans="1:6" x14ac:dyDescent="0.3">
      <c r="A257" t="s">
        <v>287</v>
      </c>
      <c r="B257" t="s">
        <v>172</v>
      </c>
      <c r="F257" t="s">
        <v>176</v>
      </c>
    </row>
    <row r="258" spans="1:6" x14ac:dyDescent="0.3">
      <c r="A258" t="s">
        <v>288</v>
      </c>
      <c r="B258" t="s">
        <v>373</v>
      </c>
      <c r="F258" t="s">
        <v>176</v>
      </c>
    </row>
    <row r="259" spans="1:6" x14ac:dyDescent="0.3">
      <c r="A259" t="s">
        <v>306</v>
      </c>
      <c r="B259">
        <v>0</v>
      </c>
      <c r="F259" t="s">
        <v>176</v>
      </c>
    </row>
    <row r="260" spans="1:6" x14ac:dyDescent="0.3">
      <c r="A260" t="s">
        <v>290</v>
      </c>
      <c r="B260">
        <v>0</v>
      </c>
      <c r="F260" t="s">
        <v>176</v>
      </c>
    </row>
    <row r="261" spans="1:6" x14ac:dyDescent="0.3">
      <c r="A261" t="s">
        <v>292</v>
      </c>
      <c r="B261" t="s">
        <v>31</v>
      </c>
      <c r="F261" t="s">
        <v>176</v>
      </c>
    </row>
    <row r="262" spans="1:6" x14ac:dyDescent="0.3">
      <c r="A262" t="s">
        <v>293</v>
      </c>
      <c r="B262">
        <v>0</v>
      </c>
      <c r="F262" t="s">
        <v>176</v>
      </c>
    </row>
    <row r="263" spans="1:6" x14ac:dyDescent="0.3">
      <c r="A263" t="s">
        <v>295</v>
      </c>
      <c r="B263" t="s">
        <v>296</v>
      </c>
      <c r="C263" t="s">
        <v>283</v>
      </c>
      <c r="D263" t="s">
        <v>284</v>
      </c>
      <c r="E263" t="s">
        <v>297</v>
      </c>
      <c r="F263" t="s">
        <v>176</v>
      </c>
    </row>
    <row r="264" spans="1:6" x14ac:dyDescent="0.3">
      <c r="B264" t="s">
        <v>387</v>
      </c>
      <c r="C264">
        <v>10</v>
      </c>
      <c r="D264">
        <v>122</v>
      </c>
      <c r="E264">
        <v>1220</v>
      </c>
      <c r="F264" t="s">
        <v>176</v>
      </c>
    </row>
    <row r="265" spans="1:6" x14ac:dyDescent="0.3">
      <c r="B265" t="s">
        <v>388</v>
      </c>
      <c r="C265">
        <v>3</v>
      </c>
      <c r="D265">
        <v>1247</v>
      </c>
      <c r="E265">
        <v>3741</v>
      </c>
      <c r="F265" t="s">
        <v>176</v>
      </c>
    </row>
    <row r="266" spans="1:6" x14ac:dyDescent="0.3">
      <c r="B266" t="s">
        <v>389</v>
      </c>
      <c r="C266">
        <v>4</v>
      </c>
      <c r="D266">
        <v>421</v>
      </c>
      <c r="E266">
        <v>1684</v>
      </c>
      <c r="F266" t="s">
        <v>176</v>
      </c>
    </row>
    <row r="267" spans="1:6" x14ac:dyDescent="0.3">
      <c r="B267" t="s">
        <v>390</v>
      </c>
      <c r="C267">
        <v>3</v>
      </c>
      <c r="D267">
        <v>2690</v>
      </c>
      <c r="E267">
        <v>8070</v>
      </c>
      <c r="F267" t="s">
        <v>176</v>
      </c>
    </row>
    <row r="268" spans="1:6" x14ac:dyDescent="0.3">
      <c r="B268" t="s">
        <v>391</v>
      </c>
      <c r="C268">
        <v>1</v>
      </c>
      <c r="D268">
        <v>2872</v>
      </c>
      <c r="E268">
        <v>2872</v>
      </c>
      <c r="F268" t="s">
        <v>176</v>
      </c>
    </row>
    <row r="269" spans="1:6" x14ac:dyDescent="0.3">
      <c r="B269" t="s">
        <v>392</v>
      </c>
      <c r="C269">
        <v>1</v>
      </c>
      <c r="D269">
        <v>1061</v>
      </c>
      <c r="E269">
        <v>1061</v>
      </c>
      <c r="F269" t="s">
        <v>176</v>
      </c>
    </row>
    <row r="270" spans="1:6" x14ac:dyDescent="0.3">
      <c r="B270" t="s">
        <v>393</v>
      </c>
      <c r="C270">
        <v>3</v>
      </c>
      <c r="D270">
        <v>435</v>
      </c>
      <c r="E270">
        <v>1305</v>
      </c>
      <c r="F270" t="s">
        <v>176</v>
      </c>
    </row>
    <row r="271" spans="1:6" x14ac:dyDescent="0.3">
      <c r="B271" t="s">
        <v>394</v>
      </c>
      <c r="C271">
        <v>2</v>
      </c>
      <c r="D271">
        <v>2245</v>
      </c>
      <c r="E271">
        <v>4490</v>
      </c>
      <c r="F271" t="s">
        <v>176</v>
      </c>
    </row>
    <row r="272" spans="1:6" x14ac:dyDescent="0.3">
      <c r="B272" t="s">
        <v>395</v>
      </c>
      <c r="C272">
        <v>2</v>
      </c>
      <c r="D272">
        <v>2245</v>
      </c>
      <c r="E272">
        <v>4490</v>
      </c>
      <c r="F272" t="s">
        <v>176</v>
      </c>
    </row>
    <row r="273" spans="1:6" x14ac:dyDescent="0.3">
      <c r="B273" t="s">
        <v>396</v>
      </c>
      <c r="C273">
        <v>4</v>
      </c>
      <c r="D273">
        <v>570</v>
      </c>
      <c r="E273">
        <v>2280</v>
      </c>
      <c r="F273" t="s">
        <v>176</v>
      </c>
    </row>
    <row r="274" spans="1:6" x14ac:dyDescent="0.3">
      <c r="A274" t="s">
        <v>384</v>
      </c>
      <c r="B274" t="s">
        <v>397</v>
      </c>
      <c r="C274">
        <v>4</v>
      </c>
      <c r="D274">
        <v>570</v>
      </c>
      <c r="E274">
        <v>2280</v>
      </c>
      <c r="F274" t="s">
        <v>176</v>
      </c>
    </row>
    <row r="275" spans="1:6" x14ac:dyDescent="0.3">
      <c r="A275" t="s">
        <v>384</v>
      </c>
      <c r="B275" t="s">
        <v>398</v>
      </c>
      <c r="C275">
        <v>1</v>
      </c>
      <c r="D275">
        <v>2942</v>
      </c>
      <c r="E275">
        <v>2942</v>
      </c>
      <c r="F275" t="s">
        <v>176</v>
      </c>
    </row>
    <row r="276" spans="1:6" x14ac:dyDescent="0.3">
      <c r="A276" t="s">
        <v>287</v>
      </c>
      <c r="B276" t="s">
        <v>172</v>
      </c>
      <c r="F276" t="s">
        <v>178</v>
      </c>
    </row>
    <row r="277" spans="1:6" x14ac:dyDescent="0.3">
      <c r="A277" t="s">
        <v>288</v>
      </c>
      <c r="B277" t="s">
        <v>373</v>
      </c>
      <c r="F277" t="s">
        <v>178</v>
      </c>
    </row>
    <row r="278" spans="1:6" x14ac:dyDescent="0.3">
      <c r="A278" t="s">
        <v>306</v>
      </c>
      <c r="B278">
        <v>0</v>
      </c>
      <c r="F278" t="s">
        <v>178</v>
      </c>
    </row>
    <row r="279" spans="1:6" x14ac:dyDescent="0.3">
      <c r="A279" t="s">
        <v>290</v>
      </c>
      <c r="B279">
        <v>0</v>
      </c>
      <c r="F279" t="s">
        <v>178</v>
      </c>
    </row>
    <row r="280" spans="1:6" x14ac:dyDescent="0.3">
      <c r="A280" t="s">
        <v>292</v>
      </c>
      <c r="B280" t="s">
        <v>31</v>
      </c>
      <c r="F280" t="s">
        <v>178</v>
      </c>
    </row>
    <row r="281" spans="1:6" x14ac:dyDescent="0.3">
      <c r="A281" t="s">
        <v>293</v>
      </c>
      <c r="B281">
        <v>0</v>
      </c>
      <c r="F281" t="s">
        <v>178</v>
      </c>
    </row>
    <row r="282" spans="1:6" x14ac:dyDescent="0.3">
      <c r="A282" t="s">
        <v>295</v>
      </c>
      <c r="B282" t="s">
        <v>296</v>
      </c>
      <c r="C282" t="s">
        <v>283</v>
      </c>
      <c r="D282" t="s">
        <v>284</v>
      </c>
      <c r="E282" t="s">
        <v>297</v>
      </c>
      <c r="F282" t="s">
        <v>178</v>
      </c>
    </row>
    <row r="283" spans="1:6" x14ac:dyDescent="0.3">
      <c r="B283" t="s">
        <v>399</v>
      </c>
      <c r="C283">
        <v>2</v>
      </c>
      <c r="D283">
        <v>544</v>
      </c>
      <c r="E283">
        <v>1088</v>
      </c>
      <c r="F283" t="s">
        <v>178</v>
      </c>
    </row>
    <row r="284" spans="1:6" x14ac:dyDescent="0.3">
      <c r="B284" t="s">
        <v>400</v>
      </c>
      <c r="C284">
        <v>2</v>
      </c>
      <c r="D284">
        <v>96</v>
      </c>
      <c r="E284">
        <v>192</v>
      </c>
      <c r="F284" t="s">
        <v>178</v>
      </c>
    </row>
    <row r="285" spans="1:6" x14ac:dyDescent="0.3">
      <c r="B285" t="s">
        <v>401</v>
      </c>
      <c r="C285">
        <v>2</v>
      </c>
      <c r="D285">
        <v>2146</v>
      </c>
      <c r="E285">
        <v>4292</v>
      </c>
      <c r="F285" t="s">
        <v>178</v>
      </c>
    </row>
    <row r="286" spans="1:6" x14ac:dyDescent="0.3">
      <c r="B286" t="s">
        <v>402</v>
      </c>
      <c r="C286">
        <v>1</v>
      </c>
      <c r="D286">
        <v>1343</v>
      </c>
      <c r="E286">
        <v>1343</v>
      </c>
      <c r="F286" t="s">
        <v>178</v>
      </c>
    </row>
    <row r="287" spans="1:6" x14ac:dyDescent="0.3">
      <c r="B287" t="s">
        <v>403</v>
      </c>
      <c r="C287">
        <v>1</v>
      </c>
      <c r="D287">
        <v>1555</v>
      </c>
      <c r="E287">
        <v>1555</v>
      </c>
      <c r="F287" t="s">
        <v>178</v>
      </c>
    </row>
    <row r="288" spans="1:6" x14ac:dyDescent="0.3">
      <c r="B288" t="s">
        <v>404</v>
      </c>
      <c r="C288">
        <v>1</v>
      </c>
      <c r="D288">
        <v>7067</v>
      </c>
      <c r="E288">
        <v>7067</v>
      </c>
      <c r="F288" t="s">
        <v>178</v>
      </c>
    </row>
    <row r="289" spans="1:6" x14ac:dyDescent="0.3">
      <c r="B289" t="s">
        <v>405</v>
      </c>
      <c r="C289">
        <v>2</v>
      </c>
      <c r="D289">
        <v>781</v>
      </c>
      <c r="E289">
        <v>1562</v>
      </c>
      <c r="F289" t="s">
        <v>178</v>
      </c>
    </row>
    <row r="290" spans="1:6" x14ac:dyDescent="0.3">
      <c r="B290" t="s">
        <v>406</v>
      </c>
      <c r="C290">
        <v>4</v>
      </c>
      <c r="D290">
        <v>378</v>
      </c>
      <c r="E290">
        <v>1512</v>
      </c>
      <c r="F290" t="s">
        <v>178</v>
      </c>
    </row>
    <row r="291" spans="1:6" x14ac:dyDescent="0.3">
      <c r="B291" t="s">
        <v>407</v>
      </c>
      <c r="C291">
        <v>2</v>
      </c>
      <c r="D291">
        <v>103</v>
      </c>
      <c r="E291">
        <v>206</v>
      </c>
      <c r="F291" t="s">
        <v>178</v>
      </c>
    </row>
    <row r="292" spans="1:6" x14ac:dyDescent="0.3">
      <c r="B292" t="s">
        <v>408</v>
      </c>
      <c r="C292">
        <v>2</v>
      </c>
      <c r="D292">
        <v>354</v>
      </c>
      <c r="E292">
        <v>708</v>
      </c>
      <c r="F292" t="s">
        <v>178</v>
      </c>
    </row>
    <row r="293" spans="1:6" x14ac:dyDescent="0.3">
      <c r="B293" t="s">
        <v>409</v>
      </c>
      <c r="C293">
        <v>1</v>
      </c>
      <c r="D293">
        <v>606</v>
      </c>
      <c r="E293">
        <v>606</v>
      </c>
      <c r="F293" t="s">
        <v>178</v>
      </c>
    </row>
    <row r="294" spans="1:6" x14ac:dyDescent="0.3">
      <c r="A294" t="s">
        <v>384</v>
      </c>
      <c r="B294" t="s">
        <v>410</v>
      </c>
      <c r="C294">
        <v>2</v>
      </c>
      <c r="D294">
        <v>281</v>
      </c>
      <c r="E294">
        <v>562</v>
      </c>
      <c r="F294" t="s">
        <v>178</v>
      </c>
    </row>
    <row r="295" spans="1:6" x14ac:dyDescent="0.3">
      <c r="A295" t="s">
        <v>384</v>
      </c>
      <c r="B295" t="s">
        <v>411</v>
      </c>
      <c r="C295">
        <v>1</v>
      </c>
      <c r="D295">
        <v>866</v>
      </c>
      <c r="E295">
        <v>866</v>
      </c>
      <c r="F295" t="s">
        <v>178</v>
      </c>
    </row>
    <row r="296" spans="1:6" x14ac:dyDescent="0.3">
      <c r="A296" t="s">
        <v>287</v>
      </c>
      <c r="B296" t="s">
        <v>412</v>
      </c>
      <c r="F296" t="s">
        <v>183</v>
      </c>
    </row>
    <row r="297" spans="1:6" x14ac:dyDescent="0.3">
      <c r="A297" t="s">
        <v>288</v>
      </c>
      <c r="B297" t="s">
        <v>413</v>
      </c>
      <c r="F297" t="s">
        <v>183</v>
      </c>
    </row>
    <row r="298" spans="1:6" x14ac:dyDescent="0.3">
      <c r="A298" t="s">
        <v>306</v>
      </c>
      <c r="B298" t="s">
        <v>414</v>
      </c>
      <c r="F298" t="s">
        <v>183</v>
      </c>
    </row>
    <row r="299" spans="1:6" x14ac:dyDescent="0.3">
      <c r="A299" t="s">
        <v>290</v>
      </c>
      <c r="B299" t="s">
        <v>333</v>
      </c>
      <c r="F299" t="s">
        <v>183</v>
      </c>
    </row>
    <row r="300" spans="1:6" x14ac:dyDescent="0.3">
      <c r="A300" t="s">
        <v>292</v>
      </c>
      <c r="B300" t="s">
        <v>40</v>
      </c>
      <c r="F300" t="s">
        <v>183</v>
      </c>
    </row>
    <row r="301" spans="1:6" x14ac:dyDescent="0.3">
      <c r="A301" t="s">
        <v>293</v>
      </c>
      <c r="B301" t="s">
        <v>415</v>
      </c>
      <c r="F301" t="s">
        <v>183</v>
      </c>
    </row>
    <row r="302" spans="1:6" x14ac:dyDescent="0.3">
      <c r="A302" t="s">
        <v>295</v>
      </c>
      <c r="B302" t="s">
        <v>296</v>
      </c>
      <c r="C302" t="s">
        <v>283</v>
      </c>
      <c r="D302" t="s">
        <v>284</v>
      </c>
      <c r="E302" t="s">
        <v>297</v>
      </c>
      <c r="F302" t="s">
        <v>183</v>
      </c>
    </row>
    <row r="303" spans="1:6" x14ac:dyDescent="0.3">
      <c r="B303" t="s">
        <v>416</v>
      </c>
      <c r="C303">
        <v>1</v>
      </c>
      <c r="D303">
        <v>1593134</v>
      </c>
      <c r="E303">
        <v>1593134</v>
      </c>
      <c r="F303" t="s">
        <v>183</v>
      </c>
    </row>
    <row r="304" spans="1:6" x14ac:dyDescent="0.3">
      <c r="A304" t="s">
        <v>287</v>
      </c>
      <c r="B304" t="s">
        <v>323</v>
      </c>
      <c r="F304" t="s">
        <v>190</v>
      </c>
    </row>
    <row r="305" spans="1:6" x14ac:dyDescent="0.3">
      <c r="A305" t="s">
        <v>288</v>
      </c>
      <c r="B305" t="s">
        <v>324</v>
      </c>
      <c r="F305" t="s">
        <v>190</v>
      </c>
    </row>
    <row r="306" spans="1:6" x14ac:dyDescent="0.3">
      <c r="A306" t="s">
        <v>306</v>
      </c>
      <c r="B306">
        <v>0</v>
      </c>
      <c r="F306" t="s">
        <v>190</v>
      </c>
    </row>
    <row r="307" spans="1:6" x14ac:dyDescent="0.3">
      <c r="A307" t="s">
        <v>290</v>
      </c>
      <c r="B307">
        <v>0</v>
      </c>
      <c r="F307" t="s">
        <v>190</v>
      </c>
    </row>
    <row r="308" spans="1:6" x14ac:dyDescent="0.3">
      <c r="A308" t="s">
        <v>292</v>
      </c>
      <c r="B308" t="s">
        <v>40</v>
      </c>
      <c r="F308" t="s">
        <v>190</v>
      </c>
    </row>
    <row r="309" spans="1:6" x14ac:dyDescent="0.3">
      <c r="A309" t="s">
        <v>293</v>
      </c>
      <c r="B309">
        <v>0</v>
      </c>
      <c r="F309" t="s">
        <v>190</v>
      </c>
    </row>
    <row r="310" spans="1:6" x14ac:dyDescent="0.3">
      <c r="A310" t="s">
        <v>295</v>
      </c>
      <c r="B310" t="s">
        <v>296</v>
      </c>
      <c r="C310" t="s">
        <v>283</v>
      </c>
      <c r="D310" t="s">
        <v>284</v>
      </c>
      <c r="E310" t="s">
        <v>297</v>
      </c>
      <c r="F310" t="s">
        <v>190</v>
      </c>
    </row>
    <row r="311" spans="1:6" x14ac:dyDescent="0.3">
      <c r="B311" t="s">
        <v>417</v>
      </c>
      <c r="C311">
        <v>1</v>
      </c>
      <c r="D311">
        <v>390748</v>
      </c>
      <c r="E311">
        <v>390748</v>
      </c>
      <c r="F311" t="s">
        <v>190</v>
      </c>
    </row>
    <row r="312" spans="1:6" x14ac:dyDescent="0.3">
      <c r="B312" t="s">
        <v>418</v>
      </c>
      <c r="C312">
        <v>1</v>
      </c>
      <c r="D312">
        <v>100832</v>
      </c>
      <c r="E312">
        <v>100832</v>
      </c>
      <c r="F312" t="s">
        <v>190</v>
      </c>
    </row>
    <row r="313" spans="1:6" x14ac:dyDescent="0.3">
      <c r="A313" t="s">
        <v>287</v>
      </c>
      <c r="B313" t="s">
        <v>41</v>
      </c>
      <c r="F313" t="s">
        <v>502</v>
      </c>
    </row>
    <row r="314" spans="1:6" x14ac:dyDescent="0.3">
      <c r="A314" t="s">
        <v>288</v>
      </c>
      <c r="B314" t="s">
        <v>305</v>
      </c>
      <c r="F314" t="s">
        <v>502</v>
      </c>
    </row>
    <row r="315" spans="1:6" x14ac:dyDescent="0.3">
      <c r="A315" t="s">
        <v>306</v>
      </c>
      <c r="B315">
        <v>0</v>
      </c>
      <c r="F315" t="s">
        <v>502</v>
      </c>
    </row>
    <row r="316" spans="1:6" x14ac:dyDescent="0.3">
      <c r="A316" t="s">
        <v>290</v>
      </c>
      <c r="B316">
        <v>933754586</v>
      </c>
      <c r="F316" t="s">
        <v>502</v>
      </c>
    </row>
    <row r="317" spans="1:6" x14ac:dyDescent="0.3">
      <c r="A317" t="s">
        <v>292</v>
      </c>
      <c r="B317" t="s">
        <v>40</v>
      </c>
      <c r="F317" t="s">
        <v>502</v>
      </c>
    </row>
    <row r="318" spans="1:6" x14ac:dyDescent="0.3">
      <c r="A318" t="s">
        <v>293</v>
      </c>
      <c r="B318" t="s">
        <v>307</v>
      </c>
      <c r="F318" t="s">
        <v>502</v>
      </c>
    </row>
    <row r="319" spans="1:6" x14ac:dyDescent="0.3">
      <c r="A319" t="s">
        <v>295</v>
      </c>
      <c r="B319" t="s">
        <v>296</v>
      </c>
      <c r="C319" t="s">
        <v>283</v>
      </c>
      <c r="D319" t="s">
        <v>284</v>
      </c>
      <c r="E319" t="s">
        <v>297</v>
      </c>
      <c r="F319" t="s">
        <v>502</v>
      </c>
    </row>
    <row r="320" spans="1:6" x14ac:dyDescent="0.3">
      <c r="B320" t="s">
        <v>503</v>
      </c>
      <c r="C320">
        <v>2</v>
      </c>
      <c r="D320">
        <v>73195</v>
      </c>
      <c r="E320">
        <v>146390</v>
      </c>
      <c r="F320" t="s">
        <v>502</v>
      </c>
    </row>
    <row r="321" spans="1:6" x14ac:dyDescent="0.3">
      <c r="A321" t="s">
        <v>287</v>
      </c>
      <c r="B321" t="s">
        <v>212</v>
      </c>
      <c r="F321" t="s">
        <v>209</v>
      </c>
    </row>
    <row r="322" spans="1:6" x14ac:dyDescent="0.3">
      <c r="A322" t="s">
        <v>288</v>
      </c>
      <c r="B322" t="s">
        <v>419</v>
      </c>
      <c r="F322" t="s">
        <v>209</v>
      </c>
    </row>
    <row r="323" spans="1:6" x14ac:dyDescent="0.3">
      <c r="A323" t="s">
        <v>306</v>
      </c>
      <c r="B323">
        <v>0</v>
      </c>
      <c r="F323" t="s">
        <v>209</v>
      </c>
    </row>
    <row r="324" spans="1:6" x14ac:dyDescent="0.3">
      <c r="A324" t="s">
        <v>290</v>
      </c>
      <c r="B324">
        <v>226399401</v>
      </c>
      <c r="F324" t="s">
        <v>209</v>
      </c>
    </row>
    <row r="325" spans="1:6" x14ac:dyDescent="0.3">
      <c r="A325" t="s">
        <v>292</v>
      </c>
      <c r="B325" t="s">
        <v>31</v>
      </c>
      <c r="F325" t="s">
        <v>209</v>
      </c>
    </row>
    <row r="326" spans="1:6" x14ac:dyDescent="0.3">
      <c r="A326" t="s">
        <v>420</v>
      </c>
      <c r="B326" t="s">
        <v>421</v>
      </c>
      <c r="F326" t="s">
        <v>209</v>
      </c>
    </row>
    <row r="327" spans="1:6" x14ac:dyDescent="0.3">
      <c r="A327" t="s">
        <v>293</v>
      </c>
      <c r="B327" t="s">
        <v>422</v>
      </c>
      <c r="F327" t="s">
        <v>209</v>
      </c>
    </row>
    <row r="328" spans="1:6" x14ac:dyDescent="0.3">
      <c r="A328" t="s">
        <v>295</v>
      </c>
      <c r="B328" t="s">
        <v>296</v>
      </c>
      <c r="C328" t="s">
        <v>283</v>
      </c>
      <c r="D328" t="s">
        <v>284</v>
      </c>
      <c r="E328" t="s">
        <v>297</v>
      </c>
      <c r="F328" t="s">
        <v>209</v>
      </c>
    </row>
    <row r="329" spans="1:6" x14ac:dyDescent="0.3">
      <c r="B329" t="s">
        <v>423</v>
      </c>
      <c r="C329">
        <v>2</v>
      </c>
      <c r="D329">
        <v>370000</v>
      </c>
      <c r="E329">
        <v>740000</v>
      </c>
      <c r="F329" t="s">
        <v>209</v>
      </c>
    </row>
    <row r="330" spans="1:6" x14ac:dyDescent="0.3">
      <c r="B330" t="s">
        <v>424</v>
      </c>
      <c r="C330">
        <v>4</v>
      </c>
      <c r="D330">
        <v>73545</v>
      </c>
      <c r="E330">
        <v>294180</v>
      </c>
      <c r="F330" t="s">
        <v>209</v>
      </c>
    </row>
    <row r="331" spans="1:6" x14ac:dyDescent="0.3">
      <c r="B331" t="s">
        <v>425</v>
      </c>
      <c r="C331">
        <v>4</v>
      </c>
      <c r="D331">
        <v>10720</v>
      </c>
      <c r="E331">
        <v>42880</v>
      </c>
      <c r="F331" t="s">
        <v>209</v>
      </c>
    </row>
    <row r="332" spans="1:6" x14ac:dyDescent="0.3">
      <c r="A332" t="s">
        <v>287</v>
      </c>
      <c r="B332" t="s">
        <v>426</v>
      </c>
      <c r="F332" t="s">
        <v>214</v>
      </c>
    </row>
    <row r="333" spans="1:6" x14ac:dyDescent="0.3">
      <c r="A333" t="s">
        <v>288</v>
      </c>
      <c r="B333" t="s">
        <v>427</v>
      </c>
      <c r="F333" t="s">
        <v>214</v>
      </c>
    </row>
    <row r="334" spans="1:6" x14ac:dyDescent="0.3">
      <c r="A334" t="s">
        <v>306</v>
      </c>
      <c r="B334">
        <v>0</v>
      </c>
      <c r="F334" t="s">
        <v>214</v>
      </c>
    </row>
    <row r="335" spans="1:6" x14ac:dyDescent="0.3">
      <c r="A335" t="s">
        <v>290</v>
      </c>
      <c r="B335" t="s">
        <v>428</v>
      </c>
      <c r="F335" t="s">
        <v>214</v>
      </c>
    </row>
    <row r="336" spans="1:6" x14ac:dyDescent="0.3">
      <c r="A336" t="s">
        <v>292</v>
      </c>
      <c r="B336" t="s">
        <v>31</v>
      </c>
      <c r="F336" t="s">
        <v>214</v>
      </c>
    </row>
    <row r="337" spans="1:6" x14ac:dyDescent="0.3">
      <c r="A337" t="s">
        <v>420</v>
      </c>
      <c r="B337">
        <v>30</v>
      </c>
      <c r="F337" t="s">
        <v>214</v>
      </c>
    </row>
    <row r="338" spans="1:6" x14ac:dyDescent="0.3">
      <c r="A338" t="s">
        <v>293</v>
      </c>
      <c r="B338" t="s">
        <v>429</v>
      </c>
      <c r="F338" t="s">
        <v>214</v>
      </c>
    </row>
    <row r="339" spans="1:6" x14ac:dyDescent="0.3">
      <c r="A339" t="s">
        <v>295</v>
      </c>
      <c r="B339" t="s">
        <v>296</v>
      </c>
      <c r="C339" t="s">
        <v>283</v>
      </c>
      <c r="D339" t="s">
        <v>284</v>
      </c>
      <c r="E339" t="s">
        <v>297</v>
      </c>
      <c r="F339" t="s">
        <v>214</v>
      </c>
    </row>
    <row r="340" spans="1:6" x14ac:dyDescent="0.3">
      <c r="B340" t="s">
        <v>430</v>
      </c>
      <c r="C340">
        <v>24</v>
      </c>
      <c r="D340">
        <v>5752</v>
      </c>
      <c r="E340">
        <v>138048</v>
      </c>
      <c r="F340" t="s">
        <v>214</v>
      </c>
    </row>
    <row r="341" spans="1:6" x14ac:dyDescent="0.3">
      <c r="A341" t="s">
        <v>287</v>
      </c>
      <c r="B341" t="s">
        <v>323</v>
      </c>
      <c r="F341" t="s">
        <v>217</v>
      </c>
    </row>
    <row r="342" spans="1:6" x14ac:dyDescent="0.3">
      <c r="A342" t="s">
        <v>288</v>
      </c>
      <c r="B342" t="s">
        <v>324</v>
      </c>
      <c r="F342" t="s">
        <v>217</v>
      </c>
    </row>
    <row r="343" spans="1:6" x14ac:dyDescent="0.3">
      <c r="A343" t="s">
        <v>306</v>
      </c>
      <c r="B343">
        <v>0</v>
      </c>
      <c r="F343" t="s">
        <v>217</v>
      </c>
    </row>
    <row r="344" spans="1:6" x14ac:dyDescent="0.3">
      <c r="A344" t="s">
        <v>290</v>
      </c>
      <c r="B344">
        <v>0</v>
      </c>
      <c r="F344" t="s">
        <v>217</v>
      </c>
    </row>
    <row r="345" spans="1:6" x14ac:dyDescent="0.3">
      <c r="A345" t="s">
        <v>292</v>
      </c>
      <c r="B345" t="s">
        <v>40</v>
      </c>
      <c r="F345" t="s">
        <v>217</v>
      </c>
    </row>
    <row r="346" spans="1:6" x14ac:dyDescent="0.3">
      <c r="A346" t="s">
        <v>293</v>
      </c>
      <c r="B346">
        <v>0</v>
      </c>
      <c r="F346" t="s">
        <v>217</v>
      </c>
    </row>
    <row r="347" spans="1:6" x14ac:dyDescent="0.3">
      <c r="A347" t="s">
        <v>295</v>
      </c>
      <c r="B347" t="s">
        <v>296</v>
      </c>
      <c r="C347" t="s">
        <v>283</v>
      </c>
      <c r="D347" t="s">
        <v>284</v>
      </c>
      <c r="E347" t="s">
        <v>297</v>
      </c>
      <c r="F347" t="s">
        <v>217</v>
      </c>
    </row>
    <row r="348" spans="1:6" x14ac:dyDescent="0.3">
      <c r="B348" t="s">
        <v>431</v>
      </c>
      <c r="C348">
        <v>12</v>
      </c>
      <c r="D348">
        <v>33286</v>
      </c>
      <c r="E348">
        <v>399432</v>
      </c>
      <c r="F348" t="s">
        <v>217</v>
      </c>
    </row>
    <row r="349" spans="1:6" x14ac:dyDescent="0.3">
      <c r="A349" t="s">
        <v>287</v>
      </c>
      <c r="B349" t="s">
        <v>323</v>
      </c>
      <c r="F349" t="s">
        <v>225</v>
      </c>
    </row>
    <row r="350" spans="1:6" x14ac:dyDescent="0.3">
      <c r="A350" t="s">
        <v>288</v>
      </c>
      <c r="B350" t="s">
        <v>324</v>
      </c>
      <c r="F350" t="s">
        <v>225</v>
      </c>
    </row>
    <row r="351" spans="1:6" x14ac:dyDescent="0.3">
      <c r="A351" t="s">
        <v>306</v>
      </c>
      <c r="B351">
        <v>0</v>
      </c>
      <c r="F351" t="s">
        <v>225</v>
      </c>
    </row>
    <row r="352" spans="1:6" x14ac:dyDescent="0.3">
      <c r="A352" t="s">
        <v>290</v>
      </c>
      <c r="B352">
        <v>0</v>
      </c>
      <c r="F352" t="s">
        <v>225</v>
      </c>
    </row>
    <row r="353" spans="1:6" x14ac:dyDescent="0.3">
      <c r="A353" t="s">
        <v>292</v>
      </c>
      <c r="B353" t="s">
        <v>40</v>
      </c>
      <c r="F353" t="s">
        <v>225</v>
      </c>
    </row>
    <row r="354" spans="1:6" x14ac:dyDescent="0.3">
      <c r="A354" t="s">
        <v>420</v>
      </c>
      <c r="B354">
        <v>30</v>
      </c>
      <c r="F354" t="s">
        <v>225</v>
      </c>
    </row>
    <row r="355" spans="1:6" x14ac:dyDescent="0.3">
      <c r="A355" t="s">
        <v>293</v>
      </c>
      <c r="B355">
        <v>0</v>
      </c>
      <c r="F355" t="s">
        <v>225</v>
      </c>
    </row>
    <row r="356" spans="1:6" x14ac:dyDescent="0.3">
      <c r="A356" t="s">
        <v>295</v>
      </c>
      <c r="B356" t="s">
        <v>296</v>
      </c>
      <c r="C356" t="s">
        <v>283</v>
      </c>
      <c r="D356" t="s">
        <v>284</v>
      </c>
      <c r="E356" t="s">
        <v>297</v>
      </c>
      <c r="F356" t="s">
        <v>225</v>
      </c>
    </row>
    <row r="357" spans="1:6" x14ac:dyDescent="0.3">
      <c r="B357" t="s">
        <v>431</v>
      </c>
      <c r="C357">
        <v>2</v>
      </c>
      <c r="D357">
        <v>33286</v>
      </c>
      <c r="E357">
        <v>66572</v>
      </c>
      <c r="F357" t="s">
        <v>225</v>
      </c>
    </row>
    <row r="358" spans="1:6" x14ac:dyDescent="0.3">
      <c r="B358" t="s">
        <v>432</v>
      </c>
      <c r="C358">
        <v>1</v>
      </c>
      <c r="D358">
        <v>190140</v>
      </c>
      <c r="E358">
        <v>190140</v>
      </c>
      <c r="F358" t="s">
        <v>225</v>
      </c>
    </row>
    <row r="359" spans="1:6" x14ac:dyDescent="0.3">
      <c r="A359" t="s">
        <v>287</v>
      </c>
      <c r="B359" t="s">
        <v>41</v>
      </c>
      <c r="F359" t="s">
        <v>531</v>
      </c>
    </row>
    <row r="360" spans="1:6" x14ac:dyDescent="0.3">
      <c r="A360" t="s">
        <v>288</v>
      </c>
      <c r="B360" t="s">
        <v>305</v>
      </c>
      <c r="F360" t="s">
        <v>531</v>
      </c>
    </row>
    <row r="361" spans="1:6" x14ac:dyDescent="0.3">
      <c r="A361" t="s">
        <v>306</v>
      </c>
      <c r="B361">
        <v>0</v>
      </c>
      <c r="F361" t="s">
        <v>531</v>
      </c>
    </row>
    <row r="362" spans="1:6" x14ac:dyDescent="0.3">
      <c r="A362" t="s">
        <v>290</v>
      </c>
      <c r="B362">
        <v>933754586</v>
      </c>
      <c r="F362" t="s">
        <v>531</v>
      </c>
    </row>
    <row r="363" spans="1:6" x14ac:dyDescent="0.3">
      <c r="A363" t="s">
        <v>292</v>
      </c>
      <c r="B363" t="s">
        <v>40</v>
      </c>
      <c r="F363" t="s">
        <v>531</v>
      </c>
    </row>
    <row r="364" spans="1:6" x14ac:dyDescent="0.3">
      <c r="A364" t="s">
        <v>420</v>
      </c>
      <c r="B364">
        <v>30</v>
      </c>
      <c r="F364" t="s">
        <v>531</v>
      </c>
    </row>
    <row r="365" spans="1:6" x14ac:dyDescent="0.3">
      <c r="A365" t="s">
        <v>293</v>
      </c>
      <c r="B365" t="s">
        <v>307</v>
      </c>
      <c r="F365" t="s">
        <v>531</v>
      </c>
    </row>
    <row r="366" spans="1:6" x14ac:dyDescent="0.3">
      <c r="A366" t="s">
        <v>295</v>
      </c>
      <c r="B366" t="s">
        <v>296</v>
      </c>
      <c r="C366" t="s">
        <v>283</v>
      </c>
      <c r="D366" t="s">
        <v>284</v>
      </c>
      <c r="E366" t="s">
        <v>297</v>
      </c>
      <c r="F366" t="s">
        <v>531</v>
      </c>
    </row>
    <row r="367" spans="1:6" x14ac:dyDescent="0.3">
      <c r="B367" t="s">
        <v>564</v>
      </c>
      <c r="C367">
        <v>2</v>
      </c>
      <c r="D367">
        <v>134640</v>
      </c>
      <c r="E367">
        <v>269280</v>
      </c>
      <c r="F367" t="s">
        <v>531</v>
      </c>
    </row>
    <row r="368" spans="1:6" x14ac:dyDescent="0.3">
      <c r="A368" t="s">
        <v>287</v>
      </c>
      <c r="B368" t="s">
        <v>41</v>
      </c>
      <c r="F368" t="s">
        <v>533</v>
      </c>
    </row>
    <row r="369" spans="1:6" x14ac:dyDescent="0.3">
      <c r="A369" t="s">
        <v>288</v>
      </c>
      <c r="B369" t="s">
        <v>305</v>
      </c>
      <c r="F369" t="s">
        <v>533</v>
      </c>
    </row>
    <row r="370" spans="1:6" x14ac:dyDescent="0.3">
      <c r="A370" t="s">
        <v>306</v>
      </c>
      <c r="B370">
        <v>0</v>
      </c>
      <c r="F370" t="s">
        <v>533</v>
      </c>
    </row>
    <row r="371" spans="1:6" x14ac:dyDescent="0.3">
      <c r="A371" t="s">
        <v>290</v>
      </c>
      <c r="B371">
        <v>933754586</v>
      </c>
      <c r="F371" t="s">
        <v>533</v>
      </c>
    </row>
    <row r="372" spans="1:6" x14ac:dyDescent="0.3">
      <c r="A372" t="s">
        <v>292</v>
      </c>
      <c r="B372" t="s">
        <v>40</v>
      </c>
      <c r="F372" t="s">
        <v>533</v>
      </c>
    </row>
    <row r="373" spans="1:6" x14ac:dyDescent="0.3">
      <c r="A373" t="s">
        <v>420</v>
      </c>
      <c r="B373">
        <v>30</v>
      </c>
      <c r="F373" t="s">
        <v>533</v>
      </c>
    </row>
    <row r="374" spans="1:6" x14ac:dyDescent="0.3">
      <c r="A374" t="s">
        <v>293</v>
      </c>
      <c r="B374" t="s">
        <v>307</v>
      </c>
      <c r="F374" t="s">
        <v>533</v>
      </c>
    </row>
    <row r="375" spans="1:6" x14ac:dyDescent="0.3">
      <c r="A375" t="s">
        <v>295</v>
      </c>
      <c r="B375" t="s">
        <v>296</v>
      </c>
      <c r="C375" t="s">
        <v>283</v>
      </c>
      <c r="D375" t="s">
        <v>284</v>
      </c>
      <c r="E375" t="s">
        <v>297</v>
      </c>
      <c r="F375" t="s">
        <v>533</v>
      </c>
    </row>
    <row r="376" spans="1:6" x14ac:dyDescent="0.3">
      <c r="B376" t="s">
        <v>564</v>
      </c>
      <c r="C376">
        <v>2</v>
      </c>
      <c r="D376">
        <v>134640</v>
      </c>
      <c r="E376">
        <v>269280</v>
      </c>
      <c r="F376" t="s">
        <v>533</v>
      </c>
    </row>
    <row r="377" spans="1:6" x14ac:dyDescent="0.3">
      <c r="A377" t="s">
        <v>287</v>
      </c>
      <c r="B377" t="s">
        <v>33</v>
      </c>
      <c r="F377" t="s">
        <v>535</v>
      </c>
    </row>
    <row r="378" spans="1:6" x14ac:dyDescent="0.3">
      <c r="A378" t="s">
        <v>288</v>
      </c>
      <c r="B378" t="s">
        <v>289</v>
      </c>
      <c r="F378" t="s">
        <v>535</v>
      </c>
    </row>
    <row r="379" spans="1:6" x14ac:dyDescent="0.3">
      <c r="A379" t="s">
        <v>306</v>
      </c>
      <c r="B379" t="s">
        <v>315</v>
      </c>
      <c r="F379" t="s">
        <v>535</v>
      </c>
    </row>
    <row r="380" spans="1:6" x14ac:dyDescent="0.3">
      <c r="A380" t="s">
        <v>290</v>
      </c>
      <c r="B380" t="s">
        <v>291</v>
      </c>
      <c r="F380" t="s">
        <v>535</v>
      </c>
    </row>
    <row r="381" spans="1:6" x14ac:dyDescent="0.3">
      <c r="A381" t="s">
        <v>292</v>
      </c>
      <c r="B381" t="s">
        <v>31</v>
      </c>
      <c r="F381" t="s">
        <v>535</v>
      </c>
    </row>
    <row r="382" spans="1:6" x14ac:dyDescent="0.3">
      <c r="A382" t="s">
        <v>420</v>
      </c>
      <c r="B382">
        <v>45</v>
      </c>
      <c r="F382" t="s">
        <v>535</v>
      </c>
    </row>
    <row r="383" spans="1:6" x14ac:dyDescent="0.3">
      <c r="A383" t="s">
        <v>293</v>
      </c>
      <c r="B383" t="s">
        <v>565</v>
      </c>
      <c r="F383" t="s">
        <v>535</v>
      </c>
    </row>
    <row r="384" spans="1:6" x14ac:dyDescent="0.3">
      <c r="A384" t="s">
        <v>295</v>
      </c>
      <c r="B384" t="s">
        <v>296</v>
      </c>
      <c r="C384" t="s">
        <v>283</v>
      </c>
      <c r="D384" t="s">
        <v>284</v>
      </c>
      <c r="E384" t="s">
        <v>297</v>
      </c>
      <c r="F384" t="s">
        <v>535</v>
      </c>
    </row>
    <row r="385" spans="1:6" x14ac:dyDescent="0.3">
      <c r="B385" t="s">
        <v>566</v>
      </c>
      <c r="C385">
        <v>2</v>
      </c>
      <c r="D385">
        <v>36470</v>
      </c>
      <c r="E385">
        <v>72940</v>
      </c>
      <c r="F385" t="s">
        <v>535</v>
      </c>
    </row>
    <row r="386" spans="1:6" x14ac:dyDescent="0.3">
      <c r="B386" t="s">
        <v>567</v>
      </c>
      <c r="C386">
        <v>2</v>
      </c>
      <c r="D386">
        <v>30990</v>
      </c>
      <c r="E386">
        <v>61980</v>
      </c>
      <c r="F386" t="s">
        <v>535</v>
      </c>
    </row>
    <row r="387" spans="1:6" x14ac:dyDescent="0.3">
      <c r="B387" t="s">
        <v>568</v>
      </c>
      <c r="C387">
        <v>2</v>
      </c>
      <c r="D387">
        <v>30990</v>
      </c>
      <c r="E387">
        <v>61980</v>
      </c>
      <c r="F387" t="s">
        <v>535</v>
      </c>
    </row>
    <row r="388" spans="1:6" x14ac:dyDescent="0.3">
      <c r="B388" t="s">
        <v>569</v>
      </c>
      <c r="C388">
        <v>4</v>
      </c>
      <c r="D388">
        <v>35620</v>
      </c>
      <c r="E388">
        <v>142480</v>
      </c>
      <c r="F388" t="s">
        <v>535</v>
      </c>
    </row>
    <row r="389" spans="1:6" x14ac:dyDescent="0.3">
      <c r="B389" t="s">
        <v>570</v>
      </c>
      <c r="C389">
        <v>3</v>
      </c>
      <c r="D389">
        <v>1090</v>
      </c>
      <c r="E389">
        <v>3270</v>
      </c>
      <c r="F389" t="s">
        <v>535</v>
      </c>
    </row>
    <row r="390" spans="1:6" x14ac:dyDescent="0.3">
      <c r="B390" t="s">
        <v>571</v>
      </c>
      <c r="C390">
        <v>2</v>
      </c>
      <c r="D390">
        <v>370</v>
      </c>
      <c r="E390">
        <v>740</v>
      </c>
      <c r="F390" t="s">
        <v>535</v>
      </c>
    </row>
    <row r="391" spans="1:6" x14ac:dyDescent="0.3">
      <c r="B391" t="s">
        <v>572</v>
      </c>
      <c r="C391">
        <v>2</v>
      </c>
      <c r="D391">
        <v>2290</v>
      </c>
      <c r="E391">
        <v>4580</v>
      </c>
      <c r="F391" t="s">
        <v>535</v>
      </c>
    </row>
    <row r="392" spans="1:6" x14ac:dyDescent="0.3">
      <c r="B392" t="s">
        <v>573</v>
      </c>
      <c r="C392">
        <v>2</v>
      </c>
      <c r="D392">
        <v>8930</v>
      </c>
      <c r="E392">
        <v>17860</v>
      </c>
      <c r="F392" t="s">
        <v>535</v>
      </c>
    </row>
    <row r="393" spans="1:6" x14ac:dyDescent="0.3">
      <c r="B393" t="s">
        <v>574</v>
      </c>
      <c r="C393">
        <v>2</v>
      </c>
      <c r="D393">
        <v>370</v>
      </c>
      <c r="E393">
        <v>740</v>
      </c>
      <c r="F393" t="s">
        <v>535</v>
      </c>
    </row>
    <row r="394" spans="1:6" x14ac:dyDescent="0.3">
      <c r="B394" t="s">
        <v>575</v>
      </c>
      <c r="C394">
        <v>2</v>
      </c>
      <c r="D394">
        <v>22950</v>
      </c>
      <c r="E394">
        <v>45900</v>
      </c>
      <c r="F394" t="s">
        <v>535</v>
      </c>
    </row>
    <row r="395" spans="1:6" x14ac:dyDescent="0.3">
      <c r="A395" t="s">
        <v>287</v>
      </c>
      <c r="B395" t="s">
        <v>323</v>
      </c>
      <c r="F395" t="s">
        <v>537</v>
      </c>
    </row>
    <row r="396" spans="1:6" x14ac:dyDescent="0.3">
      <c r="A396" t="s">
        <v>288</v>
      </c>
      <c r="B396" t="s">
        <v>324</v>
      </c>
      <c r="F396" t="s">
        <v>537</v>
      </c>
    </row>
    <row r="397" spans="1:6" x14ac:dyDescent="0.3">
      <c r="A397" t="s">
        <v>306</v>
      </c>
      <c r="B397">
        <v>0</v>
      </c>
      <c r="F397" t="s">
        <v>537</v>
      </c>
    </row>
    <row r="398" spans="1:6" x14ac:dyDescent="0.3">
      <c r="A398" t="s">
        <v>290</v>
      </c>
      <c r="B398">
        <v>0</v>
      </c>
      <c r="F398" t="s">
        <v>537</v>
      </c>
    </row>
    <row r="399" spans="1:6" x14ac:dyDescent="0.3">
      <c r="A399" t="s">
        <v>292</v>
      </c>
      <c r="B399" t="s">
        <v>40</v>
      </c>
      <c r="F399" t="s">
        <v>537</v>
      </c>
    </row>
    <row r="400" spans="1:6" x14ac:dyDescent="0.3">
      <c r="A400" t="s">
        <v>420</v>
      </c>
      <c r="B400">
        <v>0</v>
      </c>
      <c r="F400" t="s">
        <v>537</v>
      </c>
    </row>
    <row r="401" spans="1:6" x14ac:dyDescent="0.3">
      <c r="A401" t="s">
        <v>293</v>
      </c>
      <c r="B401">
        <v>0</v>
      </c>
      <c r="F401" t="s">
        <v>537</v>
      </c>
    </row>
    <row r="402" spans="1:6" x14ac:dyDescent="0.3">
      <c r="A402" t="s">
        <v>295</v>
      </c>
      <c r="B402" t="s">
        <v>296</v>
      </c>
      <c r="C402" t="s">
        <v>283</v>
      </c>
      <c r="D402" t="s">
        <v>284</v>
      </c>
      <c r="E402" t="s">
        <v>297</v>
      </c>
      <c r="F402" t="s">
        <v>537</v>
      </c>
    </row>
    <row r="403" spans="1:6" x14ac:dyDescent="0.3">
      <c r="B403" t="s">
        <v>576</v>
      </c>
      <c r="C403">
        <v>1</v>
      </c>
      <c r="D403">
        <v>12821</v>
      </c>
      <c r="E403">
        <v>12821</v>
      </c>
      <c r="F403" t="s">
        <v>537</v>
      </c>
    </row>
    <row r="404" spans="1:6" x14ac:dyDescent="0.3">
      <c r="A404" t="s">
        <v>287</v>
      </c>
      <c r="B404" t="s">
        <v>540</v>
      </c>
      <c r="F404" t="s">
        <v>539</v>
      </c>
    </row>
    <row r="405" spans="1:6" x14ac:dyDescent="0.3">
      <c r="A405" t="s">
        <v>288</v>
      </c>
      <c r="B405" t="s">
        <v>577</v>
      </c>
      <c r="F405" t="s">
        <v>539</v>
      </c>
    </row>
    <row r="406" spans="1:6" x14ac:dyDescent="0.3">
      <c r="A406" t="s">
        <v>306</v>
      </c>
      <c r="B406">
        <v>0</v>
      </c>
      <c r="F406" t="s">
        <v>539</v>
      </c>
    </row>
    <row r="407" spans="1:6" x14ac:dyDescent="0.3">
      <c r="A407" t="s">
        <v>290</v>
      </c>
      <c r="B407">
        <v>0</v>
      </c>
      <c r="F407" t="s">
        <v>539</v>
      </c>
    </row>
    <row r="408" spans="1:6" x14ac:dyDescent="0.3">
      <c r="A408" t="s">
        <v>292</v>
      </c>
      <c r="B408" t="s">
        <v>40</v>
      </c>
      <c r="F408" t="s">
        <v>539</v>
      </c>
    </row>
    <row r="409" spans="1:6" x14ac:dyDescent="0.3">
      <c r="A409" t="s">
        <v>420</v>
      </c>
      <c r="B409">
        <v>0</v>
      </c>
      <c r="F409" t="s">
        <v>539</v>
      </c>
    </row>
    <row r="410" spans="1:6" x14ac:dyDescent="0.3">
      <c r="A410" t="s">
        <v>293</v>
      </c>
      <c r="B410">
        <v>0</v>
      </c>
      <c r="F410" t="s">
        <v>539</v>
      </c>
    </row>
    <row r="411" spans="1:6" x14ac:dyDescent="0.3">
      <c r="A411" t="s">
        <v>295</v>
      </c>
      <c r="B411" t="s">
        <v>296</v>
      </c>
      <c r="C411" t="s">
        <v>283</v>
      </c>
      <c r="D411" t="s">
        <v>284</v>
      </c>
      <c r="E411" t="s">
        <v>297</v>
      </c>
      <c r="F411" t="s">
        <v>539</v>
      </c>
    </row>
    <row r="412" spans="1:6" x14ac:dyDescent="0.3">
      <c r="B412" t="s">
        <v>578</v>
      </c>
      <c r="C412">
        <v>1</v>
      </c>
      <c r="D412">
        <v>57899</v>
      </c>
      <c r="E412">
        <v>57899</v>
      </c>
      <c r="F412" t="s">
        <v>539</v>
      </c>
    </row>
    <row r="413" spans="1:6" x14ac:dyDescent="0.3">
      <c r="A413" t="s">
        <v>287</v>
      </c>
      <c r="B413" t="s">
        <v>33</v>
      </c>
      <c r="F413" t="s">
        <v>542</v>
      </c>
    </row>
    <row r="414" spans="1:6" x14ac:dyDescent="0.3">
      <c r="A414" t="s">
        <v>288</v>
      </c>
      <c r="B414" t="s">
        <v>289</v>
      </c>
      <c r="F414" t="s">
        <v>542</v>
      </c>
    </row>
    <row r="415" spans="1:6" x14ac:dyDescent="0.3">
      <c r="A415" t="s">
        <v>306</v>
      </c>
      <c r="B415" t="s">
        <v>315</v>
      </c>
      <c r="F415" t="s">
        <v>542</v>
      </c>
    </row>
    <row r="416" spans="1:6" x14ac:dyDescent="0.3">
      <c r="A416" t="s">
        <v>290</v>
      </c>
      <c r="B416" t="s">
        <v>291</v>
      </c>
      <c r="F416" t="s">
        <v>542</v>
      </c>
    </row>
    <row r="417" spans="1:6" x14ac:dyDescent="0.3">
      <c r="A417" t="s">
        <v>292</v>
      </c>
      <c r="B417" t="s">
        <v>31</v>
      </c>
      <c r="F417" t="s">
        <v>542</v>
      </c>
    </row>
    <row r="418" spans="1:6" x14ac:dyDescent="0.3">
      <c r="A418" t="s">
        <v>420</v>
      </c>
      <c r="B418">
        <v>30</v>
      </c>
      <c r="F418" t="s">
        <v>542</v>
      </c>
    </row>
    <row r="419" spans="1:6" x14ac:dyDescent="0.3">
      <c r="A419" t="s">
        <v>293</v>
      </c>
      <c r="B419" t="s">
        <v>316</v>
      </c>
      <c r="F419" t="s">
        <v>542</v>
      </c>
    </row>
    <row r="420" spans="1:6" x14ac:dyDescent="0.3">
      <c r="A420" t="s">
        <v>295</v>
      </c>
      <c r="B420" t="s">
        <v>296</v>
      </c>
      <c r="C420" t="s">
        <v>283</v>
      </c>
      <c r="D420" t="s">
        <v>284</v>
      </c>
      <c r="E420" t="s">
        <v>297</v>
      </c>
      <c r="F420" t="s">
        <v>542</v>
      </c>
    </row>
    <row r="421" spans="1:6" x14ac:dyDescent="0.3">
      <c r="B421" t="s">
        <v>579</v>
      </c>
      <c r="C421">
        <v>1</v>
      </c>
      <c r="D421">
        <v>39050</v>
      </c>
      <c r="E421">
        <v>39050</v>
      </c>
      <c r="F421" t="s">
        <v>542</v>
      </c>
    </row>
    <row r="422" spans="1:6" x14ac:dyDescent="0.3">
      <c r="B422" t="s">
        <v>580</v>
      </c>
      <c r="C422">
        <v>2</v>
      </c>
      <c r="D422">
        <v>39050</v>
      </c>
      <c r="E422">
        <v>78100</v>
      </c>
      <c r="F422" t="s">
        <v>542</v>
      </c>
    </row>
    <row r="423" spans="1:6" x14ac:dyDescent="0.3">
      <c r="B423" t="s">
        <v>581</v>
      </c>
      <c r="C423">
        <v>1</v>
      </c>
      <c r="D423">
        <v>39050</v>
      </c>
      <c r="E423">
        <v>39050</v>
      </c>
      <c r="F423" t="s">
        <v>542</v>
      </c>
    </row>
    <row r="424" spans="1:6" x14ac:dyDescent="0.3">
      <c r="B424" t="s">
        <v>582</v>
      </c>
      <c r="C424">
        <v>1</v>
      </c>
      <c r="D424">
        <v>39050</v>
      </c>
      <c r="E424">
        <v>39050</v>
      </c>
      <c r="F424" t="s">
        <v>542</v>
      </c>
    </row>
    <row r="425" spans="1:6" x14ac:dyDescent="0.3">
      <c r="A425" t="s">
        <v>287</v>
      </c>
      <c r="B425" t="s">
        <v>504</v>
      </c>
      <c r="F425" t="s">
        <v>505</v>
      </c>
    </row>
    <row r="426" spans="1:6" x14ac:dyDescent="0.3">
      <c r="A426" t="s">
        <v>288</v>
      </c>
      <c r="B426" t="s">
        <v>506</v>
      </c>
      <c r="F426" t="s">
        <v>505</v>
      </c>
    </row>
    <row r="427" spans="1:6" x14ac:dyDescent="0.3">
      <c r="A427" t="s">
        <v>306</v>
      </c>
      <c r="B427">
        <v>0</v>
      </c>
      <c r="F427" t="s">
        <v>505</v>
      </c>
    </row>
    <row r="428" spans="1:6" x14ac:dyDescent="0.3">
      <c r="A428" t="s">
        <v>290</v>
      </c>
      <c r="B428" t="s">
        <v>507</v>
      </c>
      <c r="F428" t="s">
        <v>505</v>
      </c>
    </row>
    <row r="429" spans="1:6" x14ac:dyDescent="0.3">
      <c r="A429" t="s">
        <v>292</v>
      </c>
      <c r="B429" t="s">
        <v>40</v>
      </c>
      <c r="F429" t="s">
        <v>505</v>
      </c>
    </row>
    <row r="430" spans="1:6" x14ac:dyDescent="0.3">
      <c r="A430" t="s">
        <v>295</v>
      </c>
      <c r="B430" t="s">
        <v>296</v>
      </c>
      <c r="C430" t="s">
        <v>283</v>
      </c>
      <c r="D430" t="s">
        <v>284</v>
      </c>
      <c r="E430" t="s">
        <v>297</v>
      </c>
      <c r="F430" t="s">
        <v>505</v>
      </c>
    </row>
    <row r="431" spans="1:6" x14ac:dyDescent="0.3">
      <c r="B431" t="s">
        <v>508</v>
      </c>
      <c r="C431">
        <v>1</v>
      </c>
      <c r="D431">
        <v>282775</v>
      </c>
      <c r="E431">
        <v>282775</v>
      </c>
      <c r="F431" t="s">
        <v>505</v>
      </c>
    </row>
    <row r="432" spans="1:6" x14ac:dyDescent="0.3">
      <c r="A432" t="s">
        <v>287</v>
      </c>
      <c r="B432" t="s">
        <v>33</v>
      </c>
      <c r="F432" t="s">
        <v>509</v>
      </c>
    </row>
    <row r="433" spans="1:6" x14ac:dyDescent="0.3">
      <c r="A433" t="s">
        <v>288</v>
      </c>
      <c r="B433" t="s">
        <v>289</v>
      </c>
      <c r="F433" t="s">
        <v>509</v>
      </c>
    </row>
    <row r="434" spans="1:6" x14ac:dyDescent="0.3">
      <c r="A434" t="s">
        <v>306</v>
      </c>
      <c r="B434" t="s">
        <v>315</v>
      </c>
      <c r="F434" t="s">
        <v>509</v>
      </c>
    </row>
    <row r="435" spans="1:6" x14ac:dyDescent="0.3">
      <c r="A435" t="s">
        <v>290</v>
      </c>
      <c r="B435" t="s">
        <v>291</v>
      </c>
      <c r="F435" t="s">
        <v>509</v>
      </c>
    </row>
    <row r="436" spans="1:6" x14ac:dyDescent="0.3">
      <c r="A436" t="s">
        <v>292</v>
      </c>
      <c r="B436" t="s">
        <v>31</v>
      </c>
      <c r="F436" t="s">
        <v>509</v>
      </c>
    </row>
    <row r="437" spans="1:6" x14ac:dyDescent="0.3">
      <c r="A437" t="s">
        <v>293</v>
      </c>
      <c r="B437" t="s">
        <v>316</v>
      </c>
      <c r="F437" t="s">
        <v>509</v>
      </c>
    </row>
    <row r="438" spans="1:6" x14ac:dyDescent="0.3">
      <c r="A438" t="s">
        <v>295</v>
      </c>
      <c r="B438" t="s">
        <v>296</v>
      </c>
      <c r="C438" t="s">
        <v>283</v>
      </c>
      <c r="D438" t="s">
        <v>284</v>
      </c>
      <c r="E438" t="s">
        <v>297</v>
      </c>
      <c r="F438" t="s">
        <v>509</v>
      </c>
    </row>
    <row r="439" spans="1:6" x14ac:dyDescent="0.3">
      <c r="B439" t="s">
        <v>510</v>
      </c>
      <c r="C439">
        <v>5</v>
      </c>
      <c r="D439">
        <v>4080</v>
      </c>
      <c r="E439">
        <v>20400</v>
      </c>
      <c r="F439" t="s">
        <v>509</v>
      </c>
    </row>
    <row r="440" spans="1:6" x14ac:dyDescent="0.3">
      <c r="B440" t="s">
        <v>510</v>
      </c>
      <c r="C440">
        <v>5</v>
      </c>
      <c r="D440">
        <v>4080</v>
      </c>
      <c r="E440">
        <v>20400</v>
      </c>
      <c r="F440" t="s">
        <v>509</v>
      </c>
    </row>
    <row r="441" spans="1:6" x14ac:dyDescent="0.3">
      <c r="A441" t="s">
        <v>287</v>
      </c>
      <c r="B441" t="s">
        <v>172</v>
      </c>
      <c r="F441" t="s">
        <v>557</v>
      </c>
    </row>
    <row r="442" spans="1:6" x14ac:dyDescent="0.3">
      <c r="A442" t="s">
        <v>288</v>
      </c>
      <c r="B442" t="s">
        <v>583</v>
      </c>
      <c r="F442" t="s">
        <v>557</v>
      </c>
    </row>
    <row r="443" spans="1:6" x14ac:dyDescent="0.3">
      <c r="A443" t="s">
        <v>306</v>
      </c>
      <c r="B443">
        <v>0</v>
      </c>
      <c r="F443" t="s">
        <v>557</v>
      </c>
    </row>
    <row r="444" spans="1:6" x14ac:dyDescent="0.3">
      <c r="A444" t="s">
        <v>290</v>
      </c>
      <c r="B444">
        <v>0</v>
      </c>
      <c r="F444" t="s">
        <v>557</v>
      </c>
    </row>
    <row r="445" spans="1:6" x14ac:dyDescent="0.3">
      <c r="A445" t="s">
        <v>292</v>
      </c>
      <c r="B445" t="s">
        <v>31</v>
      </c>
      <c r="F445" t="s">
        <v>557</v>
      </c>
    </row>
    <row r="446" spans="1:6" x14ac:dyDescent="0.3">
      <c r="A446" t="s">
        <v>295</v>
      </c>
      <c r="B446" t="s">
        <v>296</v>
      </c>
      <c r="C446" t="s">
        <v>283</v>
      </c>
      <c r="D446" t="s">
        <v>284</v>
      </c>
      <c r="E446" t="s">
        <v>297</v>
      </c>
      <c r="F446" t="s">
        <v>557</v>
      </c>
    </row>
    <row r="447" spans="1:6" x14ac:dyDescent="0.3">
      <c r="B447" t="s">
        <v>584</v>
      </c>
      <c r="C447">
        <v>3</v>
      </c>
      <c r="D447">
        <v>8845</v>
      </c>
      <c r="E447">
        <v>26535</v>
      </c>
      <c r="F447" t="s">
        <v>557</v>
      </c>
    </row>
    <row r="448" spans="1:6" x14ac:dyDescent="0.3">
      <c r="B448" t="s">
        <v>585</v>
      </c>
      <c r="C448">
        <v>3</v>
      </c>
      <c r="D448">
        <v>7067</v>
      </c>
      <c r="E448">
        <v>21201</v>
      </c>
      <c r="F448" t="s">
        <v>557</v>
      </c>
    </row>
    <row r="449" spans="2:6" x14ac:dyDescent="0.3">
      <c r="B449" t="s">
        <v>585</v>
      </c>
      <c r="C449">
        <v>3</v>
      </c>
      <c r="D449">
        <v>7067</v>
      </c>
      <c r="E449">
        <v>21201</v>
      </c>
      <c r="F449" t="s">
        <v>557</v>
      </c>
    </row>
    <row r="450" spans="2:6" x14ac:dyDescent="0.3">
      <c r="B450" t="s">
        <v>586</v>
      </c>
      <c r="C450">
        <v>5</v>
      </c>
      <c r="D450">
        <v>3161</v>
      </c>
      <c r="E450">
        <v>15805</v>
      </c>
      <c r="F450" t="s">
        <v>557</v>
      </c>
    </row>
    <row r="451" spans="2:6" x14ac:dyDescent="0.3">
      <c r="B451" t="s">
        <v>587</v>
      </c>
      <c r="C451">
        <v>10</v>
      </c>
      <c r="D451">
        <v>122</v>
      </c>
      <c r="E451">
        <v>1220</v>
      </c>
      <c r="F451" t="s">
        <v>557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4140625" defaultRowHeight="14.4" x14ac:dyDescent="0.3"/>
  <cols>
    <col min="2" max="2" width="18.5546875" customWidth="1"/>
    <col min="3" max="3" width="15.44140625" customWidth="1"/>
    <col min="4" max="4" width="14.21875" customWidth="1"/>
    <col min="5" max="5" width="66.21875" bestFit="1" customWidth="1"/>
    <col min="6" max="6" width="20" bestFit="1" customWidth="1"/>
    <col min="7" max="7" width="16.77734375" customWidth="1"/>
    <col min="8" max="8" width="15.77734375" style="2" customWidth="1"/>
    <col min="9" max="9" width="18.21875" style="2" customWidth="1"/>
    <col min="12" max="12" width="11.44140625" style="7"/>
    <col min="13" max="13" width="21.77734375" customWidth="1"/>
    <col min="14" max="14" width="12" customWidth="1"/>
  </cols>
  <sheetData>
    <row r="1" spans="1:14" x14ac:dyDescent="0.3">
      <c r="A1" t="s">
        <v>2</v>
      </c>
      <c r="B1" t="s">
        <v>433</v>
      </c>
      <c r="C1" t="s">
        <v>3</v>
      </c>
      <c r="D1" t="s">
        <v>4</v>
      </c>
      <c r="E1" t="s">
        <v>434</v>
      </c>
      <c r="F1" t="s">
        <v>19</v>
      </c>
      <c r="G1" t="s">
        <v>17</v>
      </c>
      <c r="H1" s="2" t="s">
        <v>21</v>
      </c>
      <c r="I1" s="2" t="s">
        <v>22</v>
      </c>
      <c r="J1" t="s">
        <v>435</v>
      </c>
      <c r="K1" t="s">
        <v>436</v>
      </c>
      <c r="L1" s="7" t="s">
        <v>437</v>
      </c>
      <c r="M1" t="s">
        <v>438</v>
      </c>
      <c r="N1" t="s">
        <v>439</v>
      </c>
    </row>
    <row r="2" spans="1:14" x14ac:dyDescent="0.3">
      <c r="A2" t="s">
        <v>25</v>
      </c>
      <c r="B2">
        <v>46162</v>
      </c>
      <c r="C2" t="s">
        <v>440</v>
      </c>
      <c r="D2" t="s">
        <v>441</v>
      </c>
      <c r="E2" t="s">
        <v>442</v>
      </c>
      <c r="F2" t="s">
        <v>269</v>
      </c>
      <c r="G2" t="s">
        <v>443</v>
      </c>
      <c r="I2" s="2">
        <v>46175</v>
      </c>
      <c r="J2" t="s">
        <v>444</v>
      </c>
      <c r="K2" t="s">
        <v>445</v>
      </c>
      <c r="L2" s="7">
        <v>408360</v>
      </c>
      <c r="M2" t="s">
        <v>446</v>
      </c>
      <c r="N2">
        <v>13</v>
      </c>
    </row>
    <row r="3" spans="1:14" x14ac:dyDescent="0.3">
      <c r="A3" t="s">
        <v>25</v>
      </c>
      <c r="B3">
        <v>46162</v>
      </c>
      <c r="C3" t="s">
        <v>440</v>
      </c>
      <c r="D3" t="s">
        <v>441</v>
      </c>
      <c r="E3" t="s">
        <v>447</v>
      </c>
      <c r="F3" t="s">
        <v>269</v>
      </c>
      <c r="G3" t="s">
        <v>448</v>
      </c>
      <c r="H3" s="2">
        <v>46169</v>
      </c>
      <c r="I3" s="2">
        <v>46177</v>
      </c>
      <c r="J3" t="s">
        <v>444</v>
      </c>
      <c r="K3" t="s">
        <v>445</v>
      </c>
      <c r="L3" s="7">
        <v>68906</v>
      </c>
      <c r="M3" t="s">
        <v>446</v>
      </c>
      <c r="N3">
        <v>15</v>
      </c>
    </row>
    <row r="4" spans="1:14" x14ac:dyDescent="0.3">
      <c r="A4" t="s">
        <v>25</v>
      </c>
      <c r="B4">
        <v>46162</v>
      </c>
      <c r="C4" t="s">
        <v>440</v>
      </c>
      <c r="D4" t="s">
        <v>441</v>
      </c>
      <c r="E4" t="s">
        <v>449</v>
      </c>
      <c r="F4" t="s">
        <v>269</v>
      </c>
      <c r="G4" t="s">
        <v>448</v>
      </c>
      <c r="H4" s="2">
        <v>46171</v>
      </c>
      <c r="I4" s="2">
        <v>46177</v>
      </c>
      <c r="J4" t="s">
        <v>444</v>
      </c>
      <c r="K4" t="s">
        <v>445</v>
      </c>
      <c r="L4" s="7">
        <v>16798</v>
      </c>
      <c r="M4" t="s">
        <v>446</v>
      </c>
      <c r="N4">
        <v>15</v>
      </c>
    </row>
    <row r="5" spans="1:14" x14ac:dyDescent="0.3">
      <c r="A5" t="s">
        <v>25</v>
      </c>
      <c r="B5">
        <v>46162</v>
      </c>
      <c r="C5" t="s">
        <v>440</v>
      </c>
      <c r="D5" t="s">
        <v>441</v>
      </c>
      <c r="E5" t="s">
        <v>450</v>
      </c>
      <c r="F5" t="s">
        <v>269</v>
      </c>
      <c r="G5" t="s">
        <v>448</v>
      </c>
      <c r="H5" s="2">
        <v>46171</v>
      </c>
      <c r="I5" s="2">
        <v>46177</v>
      </c>
      <c r="J5" t="s">
        <v>444</v>
      </c>
      <c r="K5" t="s">
        <v>445</v>
      </c>
      <c r="L5" s="7">
        <v>16126</v>
      </c>
      <c r="M5" t="s">
        <v>446</v>
      </c>
      <c r="N5">
        <v>15</v>
      </c>
    </row>
    <row r="6" spans="1:14" x14ac:dyDescent="0.3">
      <c r="A6" t="s">
        <v>49</v>
      </c>
      <c r="B6">
        <v>46161</v>
      </c>
      <c r="C6" t="s">
        <v>451</v>
      </c>
      <c r="D6" t="s">
        <v>452</v>
      </c>
      <c r="E6" t="s">
        <v>453</v>
      </c>
      <c r="F6" t="s">
        <v>269</v>
      </c>
      <c r="G6" t="s">
        <v>448</v>
      </c>
      <c r="H6" s="2">
        <v>46168</v>
      </c>
      <c r="I6" s="2">
        <v>46171</v>
      </c>
      <c r="J6" t="s">
        <v>454</v>
      </c>
      <c r="K6" t="s">
        <v>455</v>
      </c>
      <c r="L6" s="7">
        <v>191299</v>
      </c>
      <c r="M6" t="s">
        <v>456</v>
      </c>
      <c r="N6">
        <v>10</v>
      </c>
    </row>
    <row r="7" spans="1:14" x14ac:dyDescent="0.3">
      <c r="A7" t="s">
        <v>62</v>
      </c>
      <c r="B7">
        <v>46164</v>
      </c>
      <c r="C7" t="s">
        <v>457</v>
      </c>
      <c r="D7" t="s">
        <v>458</v>
      </c>
      <c r="E7" t="s">
        <v>459</v>
      </c>
      <c r="F7" t="s">
        <v>269</v>
      </c>
      <c r="G7" t="s">
        <v>460</v>
      </c>
      <c r="I7" s="2">
        <v>46171</v>
      </c>
      <c r="J7" t="s">
        <v>454</v>
      </c>
      <c r="K7" t="s">
        <v>461</v>
      </c>
      <c r="L7" s="7">
        <v>55206</v>
      </c>
      <c r="M7" t="s">
        <v>456</v>
      </c>
      <c r="N7">
        <v>7</v>
      </c>
    </row>
    <row r="8" spans="1:14" x14ac:dyDescent="0.3">
      <c r="A8" t="s">
        <v>70</v>
      </c>
      <c r="B8">
        <v>46164</v>
      </c>
      <c r="C8" t="s">
        <v>462</v>
      </c>
      <c r="D8" t="s">
        <v>463</v>
      </c>
      <c r="E8" t="s">
        <v>464</v>
      </c>
      <c r="F8" t="s">
        <v>269</v>
      </c>
      <c r="G8" t="s">
        <v>460</v>
      </c>
      <c r="I8" s="2">
        <v>46177</v>
      </c>
      <c r="J8" t="s">
        <v>444</v>
      </c>
      <c r="K8" t="s">
        <v>465</v>
      </c>
      <c r="L8" s="7">
        <v>306380</v>
      </c>
      <c r="M8" t="s">
        <v>446</v>
      </c>
      <c r="N8">
        <v>13</v>
      </c>
    </row>
    <row r="9" spans="1:14" x14ac:dyDescent="0.3">
      <c r="A9" t="s">
        <v>70</v>
      </c>
      <c r="B9">
        <v>46164</v>
      </c>
      <c r="C9" t="s">
        <v>462</v>
      </c>
      <c r="D9" t="s">
        <v>463</v>
      </c>
      <c r="E9" t="s">
        <v>466</v>
      </c>
      <c r="F9" t="s">
        <v>269</v>
      </c>
      <c r="G9" t="s">
        <v>448</v>
      </c>
      <c r="H9" s="2">
        <v>46170</v>
      </c>
      <c r="I9" s="2">
        <v>46172</v>
      </c>
      <c r="J9" t="s">
        <v>444</v>
      </c>
      <c r="K9" t="s">
        <v>465</v>
      </c>
      <c r="L9" s="7">
        <v>39999</v>
      </c>
      <c r="M9" t="s">
        <v>446</v>
      </c>
      <c r="N9">
        <v>8</v>
      </c>
    </row>
    <row r="10" spans="1:14" x14ac:dyDescent="0.3">
      <c r="A10" t="s">
        <v>80</v>
      </c>
      <c r="B10">
        <v>46167</v>
      </c>
      <c r="C10" t="s">
        <v>467</v>
      </c>
      <c r="D10" t="s">
        <v>468</v>
      </c>
      <c r="E10" t="s">
        <v>469</v>
      </c>
      <c r="F10" t="s">
        <v>269</v>
      </c>
      <c r="G10" t="s">
        <v>460</v>
      </c>
      <c r="I10" s="2">
        <v>46171</v>
      </c>
      <c r="J10" t="s">
        <v>470</v>
      </c>
      <c r="K10" t="s">
        <v>461</v>
      </c>
      <c r="L10" s="7">
        <v>191299</v>
      </c>
      <c r="M10" t="s">
        <v>456</v>
      </c>
      <c r="N10">
        <v>4</v>
      </c>
    </row>
    <row r="11" spans="1:14" x14ac:dyDescent="0.3">
      <c r="A11" t="s">
        <v>89</v>
      </c>
      <c r="B11">
        <v>46167</v>
      </c>
      <c r="C11" t="s">
        <v>471</v>
      </c>
      <c r="D11" t="s">
        <v>472</v>
      </c>
      <c r="E11" t="s">
        <v>473</v>
      </c>
      <c r="F11" t="s">
        <v>269</v>
      </c>
      <c r="G11" t="s">
        <v>448</v>
      </c>
      <c r="H11" s="2">
        <v>46170</v>
      </c>
      <c r="I11" s="2">
        <v>46175</v>
      </c>
      <c r="J11" t="s">
        <v>454</v>
      </c>
      <c r="K11" t="s">
        <v>461</v>
      </c>
      <c r="L11" s="7">
        <v>25202</v>
      </c>
      <c r="M11" t="s">
        <v>456</v>
      </c>
      <c r="N11">
        <v>8</v>
      </c>
    </row>
    <row r="12" spans="1:14" x14ac:dyDescent="0.3">
      <c r="A12" t="s">
        <v>97</v>
      </c>
      <c r="B12">
        <v>46167</v>
      </c>
      <c r="C12" t="s">
        <v>474</v>
      </c>
      <c r="D12" t="s">
        <v>474</v>
      </c>
      <c r="E12" t="s">
        <v>475</v>
      </c>
      <c r="F12" t="s">
        <v>269</v>
      </c>
      <c r="G12" t="s">
        <v>448</v>
      </c>
      <c r="H12" s="2">
        <v>46171</v>
      </c>
      <c r="I12" s="2">
        <v>46175</v>
      </c>
      <c r="J12" t="s">
        <v>476</v>
      </c>
      <c r="K12" t="s">
        <v>461</v>
      </c>
      <c r="L12" s="7">
        <v>25202</v>
      </c>
      <c r="M12" t="s">
        <v>456</v>
      </c>
      <c r="N12">
        <v>8</v>
      </c>
    </row>
    <row r="13" spans="1:14" x14ac:dyDescent="0.3">
      <c r="A13" t="s">
        <v>104</v>
      </c>
      <c r="B13">
        <v>46167</v>
      </c>
      <c r="C13" t="s">
        <v>477</v>
      </c>
      <c r="D13" t="s">
        <v>478</v>
      </c>
      <c r="E13" t="s">
        <v>479</v>
      </c>
      <c r="F13" t="s">
        <v>269</v>
      </c>
      <c r="G13" t="s">
        <v>448</v>
      </c>
      <c r="I13" s="2">
        <v>46179</v>
      </c>
      <c r="J13" t="s">
        <v>476</v>
      </c>
      <c r="K13" t="s">
        <v>461</v>
      </c>
      <c r="L13" s="7">
        <v>71091</v>
      </c>
      <c r="M13" t="s">
        <v>456</v>
      </c>
      <c r="N13">
        <v>12</v>
      </c>
    </row>
    <row r="14" spans="1:14" x14ac:dyDescent="0.3">
      <c r="A14" t="s">
        <v>111</v>
      </c>
      <c r="B14">
        <v>46167</v>
      </c>
      <c r="C14" t="s">
        <v>480</v>
      </c>
      <c r="D14" t="s">
        <v>480</v>
      </c>
      <c r="E14" t="s">
        <v>481</v>
      </c>
      <c r="F14" t="s">
        <v>269</v>
      </c>
      <c r="G14" t="s">
        <v>448</v>
      </c>
      <c r="I14" s="2">
        <v>46179</v>
      </c>
      <c r="J14" t="s">
        <v>454</v>
      </c>
      <c r="K14" t="s">
        <v>461</v>
      </c>
      <c r="L14" s="7">
        <v>710091</v>
      </c>
      <c r="M14" t="s">
        <v>456</v>
      </c>
      <c r="N14">
        <v>12</v>
      </c>
    </row>
    <row r="15" spans="1:14" x14ac:dyDescent="0.3">
      <c r="A15" t="s">
        <v>117</v>
      </c>
      <c r="B15">
        <v>46161</v>
      </c>
      <c r="C15" t="s">
        <v>482</v>
      </c>
      <c r="D15" t="s">
        <v>483</v>
      </c>
      <c r="E15" t="s">
        <v>484</v>
      </c>
      <c r="F15" t="s">
        <v>269</v>
      </c>
      <c r="G15" t="s">
        <v>448</v>
      </c>
      <c r="H15" s="2">
        <v>46170</v>
      </c>
      <c r="J15" t="s">
        <v>485</v>
      </c>
      <c r="K15" t="s">
        <v>455</v>
      </c>
      <c r="L15" s="7">
        <v>61596</v>
      </c>
      <c r="M15" t="s">
        <v>446</v>
      </c>
      <c r="N15">
        <v>-46161</v>
      </c>
    </row>
    <row r="16" spans="1:14" x14ac:dyDescent="0.3">
      <c r="A16" t="s">
        <v>117</v>
      </c>
      <c r="B16">
        <v>46161</v>
      </c>
      <c r="C16" t="s">
        <v>482</v>
      </c>
      <c r="D16" t="s">
        <v>483</v>
      </c>
      <c r="E16" t="s">
        <v>486</v>
      </c>
      <c r="F16" t="s">
        <v>269</v>
      </c>
      <c r="G16" t="s">
        <v>448</v>
      </c>
      <c r="H16" s="2">
        <v>46170</v>
      </c>
      <c r="J16" t="s">
        <v>485</v>
      </c>
      <c r="K16" t="s">
        <v>455</v>
      </c>
      <c r="L16" s="7">
        <v>47558</v>
      </c>
      <c r="M16" t="s">
        <v>446</v>
      </c>
      <c r="N16">
        <v>-46161</v>
      </c>
    </row>
    <row r="17" spans="1:14" x14ac:dyDescent="0.3">
      <c r="A17" t="s">
        <v>117</v>
      </c>
      <c r="B17">
        <v>46161</v>
      </c>
      <c r="C17" t="s">
        <v>482</v>
      </c>
      <c r="D17" t="s">
        <v>483</v>
      </c>
      <c r="E17" t="s">
        <v>487</v>
      </c>
      <c r="F17" t="s">
        <v>269</v>
      </c>
      <c r="G17" t="s">
        <v>448</v>
      </c>
      <c r="H17" s="2">
        <v>46170</v>
      </c>
      <c r="J17" t="s">
        <v>485</v>
      </c>
      <c r="K17" t="s">
        <v>455</v>
      </c>
      <c r="L17" s="7">
        <v>460942</v>
      </c>
      <c r="M17" t="s">
        <v>446</v>
      </c>
      <c r="N17">
        <v>-46161</v>
      </c>
    </row>
    <row r="18" spans="1:14" x14ac:dyDescent="0.3">
      <c r="A18" t="s">
        <v>131</v>
      </c>
      <c r="B18">
        <v>46161</v>
      </c>
      <c r="C18" t="s">
        <v>488</v>
      </c>
      <c r="D18" t="s">
        <v>489</v>
      </c>
      <c r="E18" t="s">
        <v>490</v>
      </c>
      <c r="F18" t="s">
        <v>269</v>
      </c>
      <c r="G18" t="s">
        <v>448</v>
      </c>
      <c r="H18" s="2">
        <v>46170</v>
      </c>
      <c r="J18" t="s">
        <v>454</v>
      </c>
      <c r="K18" t="s">
        <v>455</v>
      </c>
      <c r="L18" s="7">
        <v>21459</v>
      </c>
      <c r="M18" t="s">
        <v>446</v>
      </c>
      <c r="N18">
        <v>-46161</v>
      </c>
    </row>
    <row r="19" spans="1:14" x14ac:dyDescent="0.3">
      <c r="A19" t="s">
        <v>131</v>
      </c>
      <c r="B19">
        <v>46161</v>
      </c>
      <c r="C19" t="s">
        <v>488</v>
      </c>
      <c r="D19" t="s">
        <v>489</v>
      </c>
      <c r="E19" t="s">
        <v>491</v>
      </c>
      <c r="F19" t="s">
        <v>269</v>
      </c>
      <c r="G19" t="s">
        <v>448</v>
      </c>
      <c r="H19" s="2">
        <v>46170</v>
      </c>
      <c r="J19" t="s">
        <v>454</v>
      </c>
      <c r="K19" t="s">
        <v>455</v>
      </c>
      <c r="L19" s="7">
        <v>47558</v>
      </c>
      <c r="M19" t="s">
        <v>446</v>
      </c>
      <c r="N19">
        <v>-46161</v>
      </c>
    </row>
    <row r="20" spans="1:14" x14ac:dyDescent="0.3">
      <c r="A20" t="s">
        <v>141</v>
      </c>
      <c r="B20">
        <v>46161</v>
      </c>
      <c r="C20" t="s">
        <v>492</v>
      </c>
      <c r="D20" t="s">
        <v>493</v>
      </c>
      <c r="E20" t="s">
        <v>494</v>
      </c>
      <c r="F20" t="s">
        <v>269</v>
      </c>
      <c r="G20" t="s">
        <v>448</v>
      </c>
      <c r="H20" s="2">
        <v>46170</v>
      </c>
      <c r="J20" t="s">
        <v>476</v>
      </c>
      <c r="K20" t="s">
        <v>455</v>
      </c>
      <c r="L20" s="7">
        <v>39190</v>
      </c>
      <c r="M20" t="s">
        <v>446</v>
      </c>
      <c r="N20">
        <v>-46161</v>
      </c>
    </row>
    <row r="21" spans="1:14" x14ac:dyDescent="0.3">
      <c r="A21" t="s">
        <v>141</v>
      </c>
      <c r="B21">
        <v>46161</v>
      </c>
      <c r="C21" t="s">
        <v>492</v>
      </c>
      <c r="D21" t="s">
        <v>493</v>
      </c>
      <c r="E21" t="s">
        <v>495</v>
      </c>
      <c r="F21" t="s">
        <v>269</v>
      </c>
      <c r="G21" t="s">
        <v>448</v>
      </c>
      <c r="H21" s="2">
        <v>46170</v>
      </c>
      <c r="J21" t="s">
        <v>476</v>
      </c>
      <c r="K21" t="s">
        <v>455</v>
      </c>
      <c r="L21" s="7">
        <v>47558</v>
      </c>
      <c r="M21" t="s">
        <v>446</v>
      </c>
      <c r="N21">
        <v>-46161</v>
      </c>
    </row>
    <row r="22" spans="1:14" x14ac:dyDescent="0.3">
      <c r="A22" t="s">
        <v>141</v>
      </c>
      <c r="B22">
        <v>46161</v>
      </c>
      <c r="C22" t="s">
        <v>492</v>
      </c>
      <c r="D22" t="s">
        <v>493</v>
      </c>
      <c r="E22" t="s">
        <v>496</v>
      </c>
      <c r="F22" t="s">
        <v>269</v>
      </c>
      <c r="G22" t="s">
        <v>448</v>
      </c>
      <c r="H22" s="2">
        <v>46170</v>
      </c>
      <c r="J22" t="s">
        <v>476</v>
      </c>
      <c r="K22" t="s">
        <v>455</v>
      </c>
      <c r="L22" s="7">
        <v>460942</v>
      </c>
      <c r="M22" t="s">
        <v>446</v>
      </c>
      <c r="N22">
        <v>-46161</v>
      </c>
    </row>
    <row r="23" spans="1:14" x14ac:dyDescent="0.3">
      <c r="A23" t="s">
        <v>153</v>
      </c>
      <c r="B23">
        <v>46161</v>
      </c>
      <c r="C23" t="s">
        <v>497</v>
      </c>
      <c r="D23" t="s">
        <v>498</v>
      </c>
      <c r="E23" t="s">
        <v>499</v>
      </c>
      <c r="F23" t="s">
        <v>269</v>
      </c>
      <c r="G23" t="s">
        <v>448</v>
      </c>
      <c r="H23" s="2">
        <v>46174</v>
      </c>
      <c r="J23" t="s">
        <v>454</v>
      </c>
      <c r="K23" t="s">
        <v>500</v>
      </c>
      <c r="L23" s="7">
        <v>130319</v>
      </c>
      <c r="M23" t="s">
        <v>446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660836C-DC12-42F1-8F0D-EDDB0ABA99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36a03d8f-b95e-4e3e-a327-bf6a1a25aa0e"/>
    <ds:schemaRef ds:uri="http://purl.org/dc/dcmitype/"/>
    <ds:schemaRef ds:uri="http://schemas.openxmlformats.org/package/2006/metadata/core-properties"/>
    <ds:schemaRef ds:uri="http://purl.org/dc/elements/1.1/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Tabla Control</vt:lpstr>
      <vt:lpstr>Tablero</vt:lpstr>
      <vt:lpstr>Fechas</vt:lpstr>
      <vt:lpstr>ppt</vt:lpstr>
      <vt:lpstr>Graficos</vt:lpstr>
      <vt:lpstr>Hoja2</vt:lpstr>
      <vt:lpstr>Hoja1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2026-07-15T20:39:02Z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