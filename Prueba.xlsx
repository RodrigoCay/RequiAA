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58A085D5-E52F-4154-BBB3-3154A0FF411B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2" i="3"/>
  <c r="W143" i="3"/>
  <c r="W144" i="3"/>
  <c r="W145" i="3"/>
  <c r="W146" i="3"/>
  <c r="W147" i="3"/>
  <c r="W148" i="3"/>
  <c r="W149" i="3"/>
  <c r="W150" i="3"/>
  <c r="W151" i="3"/>
  <c r="W15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<sst xmlns="http://schemas.openxmlformats.org/spreadsheetml/2006/main" count="3149" uniqueCount="966">
  <si>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</si>
  <si>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</si>
  <si>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</si>
  <si>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</si>
  <si>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</si>
  <si>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</si>
  <si>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</si>
  <si>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</si>
  <si>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</si>
  <si>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</si>
  <si>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</si>
  <si>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</si>
  <si>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</si>
  <si>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</si>
  <si>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</si>
  <si>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</si>
  <si>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</si>
  <si>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</si>
  <si>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</si>
  <si>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</si>
  <si>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</si>
  <si>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</si>
  <si>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</si>
  <si>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</si>
  <si>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</si>
  <si>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</si>
  <si>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</si>
  <si>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</si>
  <si>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</si>
  <si>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</si>
  <si>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</si>
  <si>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</si>
  <si>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</si>
  <si>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</si>
  <si>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</si>
  <si>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</si>
  <si>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</si>
  <si>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</si>
  <si>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</si>
  <si>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</si>
  <si>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</si>
  <si>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</si>
  <si>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</si>
  <si>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</si>
  <si>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</si>
  <si>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</si>
  <si>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</si>
  <si>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</si>
  <si>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</si>
  <si>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</si>
  <si>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</si>
  <si>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</si>
  <si>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</si>
  <si>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</si>
  <si>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</si>
  <si>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</si>
  <si>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</si>
  <si>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</si>
  <si>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</si>
  <si>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</si>
  <si>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</si>
  <si>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</si>
  <si>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</si>
  <si>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</si>
  <si>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</si>
  <si>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</si>
  <si>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</si>
  <si>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</si>
  <si>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</si>
  <si>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</si>
  <si>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</si>
  <si>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</si>
  <si>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</si>
  <si>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</si>
  <si>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</si>
  <si>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</si>
  <si>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</si>
  <si>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</si>
  <si>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</si>
  <si>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</si>
  <si>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</si>
  <si>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</si>
  <si>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</si>
  <si>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</si>
  <si>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</si>
  <si>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</si>
  <si>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</si>
  <si>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</si>
  <si>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</si>
  <si>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</si>
  <si>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</si>
  <si>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</si>
  <si>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</si>
  <si>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</si>
  <si>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</si>
  <si>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</si>
  <si>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</si>
  <si>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</si>
  <si>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</si>
  <si>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</si>
  <si>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</si>
  <si>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</si>
  <si>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</si>
  <si>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</si>
  <si>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</si>
  <si>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</si>
  <si>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</si>
  <si>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</si>
  <si>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</si>
  <si>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</si>
  <si>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</si>
  <si>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</si>
  <si>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</si>
  <si>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</si>
  <si>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</si>
  <si>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</si>
  <si>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</si>
  <si>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</si>
  <si>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</si>
  <si>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</si>
  <si>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</si>
  <si>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</si>
  <si>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</si>
  <si>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</si>
  <si>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</si>
  <si>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</si>
  <si>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</si>
  <si>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</si>
  <si>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</si>
  <si>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</si>
  <si>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</si>
  <si>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</si>
  <si>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</si>
  <si>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</si>
  <si>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</si>
  <si>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</si>
  <si>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</si>
  <si>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</si>
  <si>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</si>
  <si>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</si>
  <si>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</si>
  <si>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</si>
  <si>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</si>
  <si>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</si>
  <si>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</si>
  <si>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</si>
  <si>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</si>
  <si>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</si>
  <si>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</si>
  <si>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</si>
  <si>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</si>
  <si>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</si>
  <si>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</si>
  <si>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</si>
  <si>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</si>
  <si>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</si>
  <si>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</si>
  <si>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</si>
  <si>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</si>
  <si>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</si>
  <si>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</si>
  <si>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</si>
  <si>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</si>
  <si>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</si>
  <si>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</si>
  <si>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</si>
  <si>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</si>
  <si>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</si>
  <si>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</si>
  <si>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</si>
  <si>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</si>
  <si>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</si>
  <si>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</si>
  <si>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</si>
  <si>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</si>
  <si>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</si>
  <si>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</si>
  <si>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</si>
  <si>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</si>
  <si>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</si>
  <si>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</si>
  <si>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</si>
  <si>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</si>
  <si>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</si>
  <si>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</si>
  <si>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</si>
  <si>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</si>
  <si>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</si>
  <si>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</si>
  <si>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</si>
  <si>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</si>
  <si>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</si>
  <si>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</si>
  <si>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</si>
  <si>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</si>
  <si>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</si>
  <si>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</si>
  <si>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</si>
  <si>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</si>
  <si>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</si>
  <si>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</si>
  <si>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</si>
  <si>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</si>
  <si>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</si>
  <si>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</si>
  <si>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</si>
  <si>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</si>
  <si>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</si>
  <si>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</si>
  <si>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</si>
  <si>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</si>
  <si>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</si>
  <si>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</si>
  <si>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</si>
  <si>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</si>
  <si>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</si>
  <si>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</si>
  <si>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</si>
  <si>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</si>
  <si>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</si>
  <si>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</si>
  <si>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</si>
  <si>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</si>
  <si>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</si>
  <si>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</si>
  <si>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</si>
  <si>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</si>
  <si>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</si>
  <si>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</si>
  <si>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</si>
  <si>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</si>
  <si>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</si>
  <si>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</si>
  <si>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</si>
  <si>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</si>
  <si>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</si>
  <si>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</si>
  <si>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</si>
  <si>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</si>
  <si>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</si>
  <si>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</si>
  <si>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</si>
  <si>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</si>
  <si>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</si>
  <si>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</si>
  <si>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</si>
  <si>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</si>
  <si>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</si>
  <si>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</si>
  <si>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</si>
  <si>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</si>
  <si>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</si>
  <si>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</si>
  <si>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</si>
  <si>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</si>
  <si>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</si>
  <si>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</si>
  <si>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</si>
  <si>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</si>
  <si>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</si>
  <si>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</si>
  <si>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</si>
  <si>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</si>
  <si>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</si>
  <si>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</si>
  <si>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</si>
  <si>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</si>
  <si>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</si>
  <si>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</si>
  <si>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</si>
  <si>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</si>
  <si>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</si>
  <si>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</si>
  <si>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</si>
  <si>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</si>
  <si>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</si>
  <si>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</si>
  <si>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</si>
  <si>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</si>
  <si>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</si>
  <si>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</si>
  <si>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</si>
  <si>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</si>
  <si>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</si>
  <si>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</si>
  <si>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</si>
  <si>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</si>
  <si>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</si>
  <si>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</si>
  <si>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</si>
  <si>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</si>
  <si>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</si>
  <si>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</si>
  <si>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</si>
  <si>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</si>
  <si>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</si>
  <si>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</si>
  <si>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</si>
  <si>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</si>
  <si>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</si>
  <si>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</si>
  <si>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</si>
  <si>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</si>
  <si>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</si>
  <si>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</si>
  <si>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</si>
  <si>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</si>
  <si>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</si>
  <si>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</si>
  <si>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</si>
  <si>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</si>
  <si>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</si>
  <si>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</si>
  <si>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</si>
  <si>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</si>
  <si>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</si>
  <si>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</si>
  <si>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</si>
  <si>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</si>
  <si>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</si>
  <si>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</si>
  <si>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</si>
  <si>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</si>
  <si>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</si>
  <si>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</si>
  <si>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</si>
  <si>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</si>
  <si>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</si>
  <si>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</si>
  <si>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</si>
  <si>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</si>
  <si>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</si>
  <si>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</si>
  <si>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</si>
  <si>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</si>
  <si>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</si>
  <si>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</si>
  <si>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</si>
  <si>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</si>
  <si>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</si>
  <si>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</si>
  <si>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</si>
  <si>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</si>
  <si>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</si>
  <si>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</si>
  <si>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</si>
  <si>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</si>
  <si>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</si>
  <si>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</si>
  <si>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</si>
  <si>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</si>
  <si>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</si>
  <si>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</si>
  <si>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</si>
  <si>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</si>
  <si>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</si>
  <si>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</si>
  <si>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</si>
  <si>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</si>
  <si>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</si>
  <si>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</si>
  <si>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</si>
  <si>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</si>
  <si>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</si>
  <si>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</si>
  <si>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</si>
  <si>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</si>
  <si>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</si>
  <si>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</si>
  <si>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</si>
  <si>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</si>
  <si>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</si>
  <si>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</si>
  <si>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</si>
  <si>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</si>
  <si>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</si>
  <si>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</si>
  <si>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</si>
  <si>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</si>
  <si>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</si>
  <si>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</si>
  <si>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</si>
  <si>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</si>
  <si>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</si>
  <si>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</si>
  <si>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</si>
  <si>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</si>
  <si>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</si>
  <si>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</si>
  <si>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</si>
  <si>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</si>
  <si>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</si>
  <si>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</si>
  <si>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</si>
  <si>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</si>
  <si>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</si>
  <si>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</si>
  <si>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</si>
  <si>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</si>
  <si>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</si>
  <si>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</si>
  <si>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</si>
  <si>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</si>
  <si>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</si>
  <si>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</si>
  <si>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</si>
  <si>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</si>
  <si>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</si>
  <si>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</si>
  <si>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</si>
  <si>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</si>
  <si>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</si>
  <si>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</si>
  <si>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</si>
  <si>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</si>
  <si>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</si>
  <si>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</si>
  <si>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</si>
  <si>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</si>
  <si>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</si>
  <si>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</si>
  <si>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</si>
  <si>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</si>
  <si>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</si>
  <si>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</si>
  <si>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</si>
  <si>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</si>
  <si>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</si>
  <si>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</si>
  <si>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</si>
  <si>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</si>
  <si>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</si>
  <si>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</si>
  <si>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</si>
  <si>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</si>
  <si>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</si>
  <si>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</si>
  <si>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</si>
  <si>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</si>
  <si>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</si>
  <si>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</si>
  <si>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</si>
  <si>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</si>
  <si>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</si>
  <si>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</si>
  <si>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</si>
  <si>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</si>
  <si>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</si>
  <si>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</si>
  <si>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</si>
  <si>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</si>
  <si>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</si>
  <si>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</si>
  <si>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</si>
  <si>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</si>
  <si>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</si>
  <si>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</si>
  <si>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</si>
  <si>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</si>
  <si>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</si>
  <si>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</si>
  <si>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</si>
  <si>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</si>
  <si>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</si>
  <si>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</si>
  <si>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</si>
  <si>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</si>
  <si>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</si>
  <si>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</si>
  <si>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</si>
  <si>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</si>
  <si>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</si>
  <si>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</si>
  <si>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</si>
  <si>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</si>
  <si>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</si>
  <si>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</si>
  <si>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</si>
  <si>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</si>
  <si>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</si>
  <si>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</si>
  <si>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</si>
  <si>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</si>
  <si>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</si>
  <si>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</si>
  <si>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</si>
  <si>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</si>
  <si>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</si>
  <si>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</si>
  <si>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</si>
  <si>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</si>
  <si>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</si>
  <si>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</si>
  <si>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</si>
  <si>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</si>
  <si>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</si>
  <si>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</si>
  <si>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</si>
  <si>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</si>
  <si>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</si>
  <si>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</si>
  <si>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</si>
  <si>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</si>
  <si>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</si>
  <si>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</si>
  <si>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</si>
  <si>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</si>
  <si>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</si>
  <si>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</si>
  <si>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</si>
  <si>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</si>
  <si>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</si>
  <si>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</si>
  <si>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</si>
  <si>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</si>
  <si>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</si>
  <si>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</si>
  <si>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</si>
  <si>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</si>
  <si>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</si>
  <si>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</si>
  <si>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</si>
  <si>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</si>
  <si>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</si>
  <si>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</si>
  <si>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</si>
  <si>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</si>
  <si>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</si>
  <si>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</si>
  <si>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</si>
  <si>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</si>
  <si>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</si>
  <si>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</si>
  <si>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</si>
  <si>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</si>
  <si>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</si>
  <si>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</si>
  <si>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</si>
  <si>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</si>
  <si>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</si>
  <si>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</si>
  <si>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</si>
  <si>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</si>
  <si>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</si>
  <si>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</si>
  <si>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</si>
  <si>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</si>
  <si>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</si>
  <si>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</si>
  <si>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</si>
  <si>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</si>
  <si>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</si>
  <si>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</si>
  <si>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</si>
  <si>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</si>
  <si>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</si>
  <si>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</si>
  <si>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</si>
  <si>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</si>
  <si>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</si>
  <si>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</si>
  <si>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</si>
  <si>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</si>
  <si>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</si>
  <si>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</si>
  <si>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</si>
  <si>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</si>
  <si>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</si>
  <si>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</si>
  <si>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</si>
  <si>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</si>
  <si>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</si>
  <si>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</si>
  <si>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</si>
  <si>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</si>
  <si>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</si>
  <si>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</si>
  <si>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</si>
  <si>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</si>
  <si>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</si>
  <si>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</si>
  <si>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</si>
  <si>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</si>
  <si>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</si>
  <si>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</si>
  <si>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</si>
  <si>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</si>
  <si>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</si>
  <si>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</si>
  <si>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</si>
  <si>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</si>
  <si>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</si>
  <si>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</si>
  <si>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</si>
  <si>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</si>
  <si>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</si>
  <si>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</si>
  <si>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</si>
  <si>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</si>
  <si>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</si>
  <si>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</si>
  <si>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</si>
  <si>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</si>
  <si>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</si>
  <si>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</si>
  <si>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</si>
  <si>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</si>
  <si>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</si>
  <si>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</si>
  <si>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</si>
  <si>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</si>
  <si>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</si>
  <si>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</si>
  <si>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</si>
  <si>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</si>
  <si>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</si>
  <si>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</si>
  <si>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</si>
  <si>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</si>
  <si>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</si>
  <si>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</si>
  <si>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</si>
  <si>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</si>
  <si>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</si>
  <si>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</si>
  <si>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</si>
  <si>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</si>
  <si>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</si>
  <si>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</si>
  <si>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</si>
  <si>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</si>
  <si>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</si>
  <si>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</si>
  <si>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</si>
  <si>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</si>
  <si>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</si>
  <si>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</si>
  <si>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</si>
  <si>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</si>
  <si>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</si>
  <si>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</si>
  <si>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</si>
  <si>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</si>
  <si>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</si>
  <si>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</si>
  <si>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</si>
  <si>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</si>
  <si>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</si>
  <si>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</si>
  <si>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</si>
  <si>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</si>
  <si>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</si>
  <si>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</si>
  <si>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</si>
  <si>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</si>
  <si>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</si>
  <si>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</si>
  <si>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</si>
  <si>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</si>
  <si>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</si>
  <si>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</si>
  <si>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</si>
  <si>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</si>
  <si>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</si>
  <si>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</si>
  <si>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</si>
  <si>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</si>
  <si>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</si>
  <si>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</si>
  <si>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</si>
  <si>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</si>
  <si>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</si>
  <si>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</si>
  <si>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</si>
  <si>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</si>
  <si>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</si>
  <si>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</si>
  <si>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</si>
  <si>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</si>
  <si>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</si>
  <si>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</si>
  <si>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</si>
  <si>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</si>
  <si>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</si>
  <si>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</si>
  <si>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</si>
  <si>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</si>
  <si>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</si>
  <si>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</si>
  <si>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</si>
  <si>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</si>
  <si>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</si>
  <si>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</si>
  <si>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</si>
  <si>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</si>
  <si>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</si>
  <si>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</si>
  <si>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</si>
  <si>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</si>
  <si>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</si>
  <si>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</si>
  <si>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</si>
  <si>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</si>
  <si>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</si>
  <si>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</si>
  <si>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</si>
  <si>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</si>
  <si>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</si>
  <si>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</si>
  <si>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</si>
  <si>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</si>
  <si>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</si>
  <si>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</si>
  <si>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</si>
  <si>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</si>
  <si>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</si>
  <si>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</si>
  <si>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</si>
  <si>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</si>
  <si>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</si>
  <si>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</si>
  <si>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</si>
  <si>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</si>
  <si>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</si>
  <si>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</si>
  <si>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</si>
  <si>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</si>
  <si>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</si>
  <si>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</si>
  <si>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</si>
  <si>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</si>
  <si>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</si>
  <si>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</si>
  <si>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</si>
  <si>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</si>
  <si>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</si>
  <si>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</si>
  <si>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</si>
  <si>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</si>
  <si>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</si>
  <si>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</si>
  <si>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</si>
  <si>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</si>
  <si>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</si>
  <si>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</si>
  <si>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</si>
  <si>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</si>
  <si>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</si>
  <si>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</si>
  <si>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</si>
  <si>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</si>
  <si>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</si>
  <si>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</si>
  <si>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</si>
  <si>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</si>
  <si>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</si>
  <si>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</si>
  <si>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</si>
  <si>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</si>
  <si>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</si>
  <si>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</si>
  <si>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</si>
  <si>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</si>
  <si>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</si>
  <si>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</si>
  <si>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</si>
  <si>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</si>
  <si>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</si>
  <si>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</si>
  <si>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</si>
  <si>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</si>
  <si>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</si>
  <si>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</si>
  <si>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</si>
  <si>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</si>
  <si>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</si>
  <si>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</si>
  <si>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</si>
  <si>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</si>
  <si>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</si>
  <si>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</si>
  <si>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</si>
  <si>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</si>
  <si>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</si>
  <si>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</si>
  <si>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</si>
  <si>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</si>
  <si>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</si>
  <si>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</si>
  <si>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</si>
  <si>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</si>
  <si>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</si>
  <si>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</si>
  <si>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</si>
  <si>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</si>
  <si>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</si>
  <si>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</si>
  <si>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</si>
  <si>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</si>
  <si>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</si>
  <si>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</si>
  <si>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</si>
  <si>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</si>
  <si>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</si>
  <si>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</si>
  <si>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</si>
  <si>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</si>
  <si>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</si>
  <si>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</si>
  <si>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</si>
  <si>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</si>
  <si>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</si>
  <si>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</si>
  <si>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</si>
  <si>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</si>
  <si>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</si>
  <si>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</si>
  <si>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</si>
  <si>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</si>
  <si>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</si>
  <si>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</si>
  <si>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</si>
  <si>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</si>
  <si>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</si>
  <si>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</si>
  <si>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</si>
  <si>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</si>
  <si>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</si>
  <si>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</si>
  <si>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</si>
  <si>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</si>
  <si>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</si>
  <si>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</si>
  <si>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</si>
  <si>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</si>
  <si>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</si>
  <si>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</si>
  <si>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</si>
  <si>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</si>
  <si>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</si>
  <si>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</si>
  <si>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</si>
  <si>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</si>
  <si>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</si>
  <si>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</si>
  <si>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</si>
  <si>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</si>
  <si>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</si>
  <si>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</si>
  <si>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</si>
  <si>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</si>
  <si>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</si>
  <si>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</si>
  <si>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</si>
  <si>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</si>
  <si>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</si>
  <si>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</si>
  <si>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</si>
  <si>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</si>
  <si>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</si>
  <si>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</si>
  <si>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</si>
  <si>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</si>
  <si>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</si>
  <si>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</si>
  <si>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</si>
  <si>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</si>
  <si>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</si>
  <si>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</si>
  <si>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</si>
  <si>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</si>
  <si>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</si>
  <si>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</si>
  <si>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</si>
  <si>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</si>
  <si>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</si>
  <si>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</si>
  <si>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</si>
  <si>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</si>
  <si>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</si>
  <si>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</si>
  <si>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</si>
  <si>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</si>
  <si>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</si>
  <si>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</si>
  <si>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</si>
  <si>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</si>
  <si>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</si>
  <si>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</si>
  <si>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</si>
  <si>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</si>
  <si>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</si>
  <si>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</si>
  <si>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</si>
  <si>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</si>
  <si>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</si>
  <si>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</si>
  <si>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</si>
  <si>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</si>
  <si>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</si>
  <si>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</si>
  <si>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</si>
  <si>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</si>
  <si>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</si>
  <si>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</si>
  <si>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</si>
  <si>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</si>
  <si>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</si>
  <si>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</si>
  <si>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</si>
  <si>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</si>
  <si>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</si>
  <si>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</si>
  <si>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</si>
  <si>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</si>
  <si>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</si>
  <si>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</si>
  <si>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</si>
  <si>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</si>
  <si>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</si>
  <si>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</si>
  <si>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</si>
  <si>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</si>
  <si>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</si>
  <si>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</si>
  <si>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</si>
  <si>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</si>
  <si>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</si>
  <si>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</si>
  <si>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</si>
  <si>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</si>
  <si>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</si>
  <si>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</si>
  <si>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</si>
  <si>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</si>
  <si>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</si>
  <si>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</si>
  <si>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</si>
  <si>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</si>
  <si>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</si>
  <si>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</si>
  <si>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</si>
  <si>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</si>
  <si>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</si>
  <si>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</si>
  <si>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</si>
  <si>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</si>
  <si>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</si>
  <si>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</si>
  <si>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</si>
  <si>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</si>
  <si>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</si>
  <si>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</si>
  <si>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</si>
  <si>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</si>
  <si>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</si>
  <si>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</si>
  <si>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</si>
  <si>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</si>
  <si>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ok, nomina liberada pendiente confirmacion de rodolfo para compra por medidas correctas</t>
  </si>
  <si>
    <t xml:space="preserve">ok, oc enviadas y nominas cargadas a pago </t>
  </si>
  <si>
    <t xml:space="preserve">cotizado, pendiente de aprobacion </t>
  </si>
  <si>
    <t>ok, oc creada retirar epp</t>
  </si>
  <si>
    <t xml:space="preserve">ok, crear oc y subir al banco 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</si>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</sst>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  <xf numFmtId="0" fontId="6" fillId="0" borderId="0" xfId="0" applyFont="1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7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52" tableType="queryTable" totalsRowShown="0" headerRowDxfId="26">
  <autoFilter ref="A1:AA152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110" totalsRowShown="0" headerRowDxfId="21" dataDxfId="8">
  <autoFilter ref="A1:F110" xr:uid="{0EB08CB5-F347-46F6-A2BB-419FEB016475}"/>
  <tableColumns count="6">
    <tableColumn id="1" xr3:uid="{EA8F1E43-6EF0-43E9-B71B-98D3C4584ACC}" name="N° solicitud" dataDxfId="12"/>
    <tableColumn id="2" xr3:uid="{9FA8BFE5-861C-4596-A02E-A670F1BDB608}" name="Estado" dataDxfId="20"/>
    <tableColumn id="3" xr3:uid="{E58581DB-8B04-4C13-8B4F-27FC5E1AE281}" name="Empresa" dataDxfId="11"/>
    <tableColumn id="6" xr3:uid="{DAADF8D0-34FE-479B-9430-88C5F34DBAE2}" name="fecha pago " dataDxfId="10"/>
    <tableColumn id="7" xr3:uid="{7D80F5CD-A672-43F9-903B-537A4B66EACC}" name="fecha entrega" dataDxfId="9"/>
    <tableColumn id="5" xr3:uid="{16163A18-549A-4B29-B76F-2E153A8FC4F4}" name="Comentario" dataDxfId="19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8"/>
    <tableColumn id="9" xr3:uid="{64335130-2EC5-44A7-9C4C-F057150832C4}" name="Fecha de entrega" dataDxfId="17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68"/>
  <sheetViews>
    <sheetView tabSelected="1" topLeftCell="S116" zoomScaleNormal="100" workbookViewId="0">
      <selection activeCell="V129" sqref="V129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81.140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752</v>
      </c>
      <c r="B107" t="s">
        <v>753</v>
      </c>
      <c r="C107" t="s">
        <v>754</v>
      </c>
      <c r="D107" t="s">
        <v>778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779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769</v>
      </c>
      <c r="B109" t="s">
        <v>770</v>
      </c>
      <c r="C109" t="s">
        <v>771</v>
      </c>
      <c r="D109" t="s">
        <v>877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878</v>
      </c>
      <c r="S109" t="s">
        <v>514</v>
      </c>
      <c r="U109" s="2">
        <v>46248</v>
      </c>
      <c r="V109" t="s">
        <v>643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5">
        <f>+IF(Control[[#This Row],[Fecha de entrega]]="","",NETWORKDAYS(Control[[#This Row],[Fecha Requisición]],Control[[#This Row],[Fecha de entrega]]))</f>
        <v>11</v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877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878</v>
      </c>
      <c r="S110" t="s">
        <v>514</v>
      </c>
      <c r="U110" s="2">
        <v>46248</v>
      </c>
      <c r="V110" t="s">
        <v>643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5">
        <f>+IF(Control[[#This Row],[Fecha de entrega]]="","",NETWORKDAYS(Control[[#This Row],[Fecha Requisición]],Control[[#This Row],[Fecha de entrega]]))</f>
        <v>11</v>
      </c>
      <c r="AA110" s="14">
        <f>+_xlfn.ISOWEEKNUM(Control[[#This Row],[Fecha Requisición]])</f>
        <v>31</v>
      </c>
    </row>
    <row r="111" spans="1:27">
      <c r="A111" t="s">
        <v>784</v>
      </c>
      <c r="B111" t="s">
        <v>785</v>
      </c>
      <c r="C111" t="s">
        <v>838</v>
      </c>
      <c r="D111" t="s">
        <v>918</v>
      </c>
      <c r="E111">
        <v>83</v>
      </c>
      <c r="F111" t="s">
        <v>786</v>
      </c>
      <c r="G111" t="s">
        <v>787</v>
      </c>
      <c r="H111" t="s">
        <v>787</v>
      </c>
      <c r="I111" t="s">
        <v>787</v>
      </c>
      <c r="J111" t="s">
        <v>30</v>
      </c>
      <c r="K111" s="5"/>
      <c r="L111" s="5" t="s">
        <v>31</v>
      </c>
      <c r="M111" t="s">
        <v>919</v>
      </c>
      <c r="N111" t="s">
        <v>196</v>
      </c>
      <c r="O111" t="s">
        <v>197</v>
      </c>
      <c r="P111" t="s">
        <v>58</v>
      </c>
      <c r="Q111" t="s">
        <v>36</v>
      </c>
      <c r="R111" t="s">
        <v>920</v>
      </c>
      <c r="S111" t="s">
        <v>514</v>
      </c>
      <c r="U111" s="2">
        <v>46246</v>
      </c>
      <c r="V111" t="s">
        <v>957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8</v>
      </c>
      <c r="AA111" s="14">
        <f>+_xlfn.ISOWEEKNUM(Control[[#This Row],[Fecha Requisición]])</f>
        <v>32</v>
      </c>
    </row>
    <row r="112" spans="1:27">
      <c r="A112" t="s">
        <v>788</v>
      </c>
      <c r="B112" t="s">
        <v>789</v>
      </c>
      <c r="C112" t="s">
        <v>839</v>
      </c>
      <c r="D112" t="s">
        <v>921</v>
      </c>
      <c r="E112">
        <v>84</v>
      </c>
      <c r="F112" t="s">
        <v>790</v>
      </c>
      <c r="G112" t="s">
        <v>787</v>
      </c>
      <c r="H112" t="s">
        <v>787</v>
      </c>
      <c r="I112" t="s">
        <v>787</v>
      </c>
      <c r="J112" t="s">
        <v>30</v>
      </c>
      <c r="K112" s="5"/>
      <c r="L112" s="5" t="s">
        <v>31</v>
      </c>
      <c r="M112" t="s">
        <v>919</v>
      </c>
      <c r="N112" t="s">
        <v>196</v>
      </c>
      <c r="O112" t="s">
        <v>197</v>
      </c>
      <c r="P112" t="s">
        <v>124</v>
      </c>
      <c r="Q112" t="s">
        <v>36</v>
      </c>
      <c r="R112" t="s">
        <v>922</v>
      </c>
      <c r="S112" t="s">
        <v>514</v>
      </c>
      <c r="U112" s="2">
        <v>46246</v>
      </c>
      <c r="V112" t="s">
        <v>957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5">
        <f>+IF(Control[[#This Row],[Fecha de entrega]]="","",NETWORKDAYS(Control[[#This Row],[Fecha Requisición]],Control[[#This Row],[Fecha de entrega]]))</f>
        <v>8</v>
      </c>
      <c r="AA112" s="14">
        <f>+_xlfn.ISOWEEKNUM(Control[[#This Row],[Fecha Requisición]])</f>
        <v>32</v>
      </c>
    </row>
    <row r="113" spans="1:27">
      <c r="A113" t="s">
        <v>791</v>
      </c>
      <c r="B113" t="s">
        <v>792</v>
      </c>
      <c r="C113" t="s">
        <v>840</v>
      </c>
      <c r="D113" t="s">
        <v>923</v>
      </c>
      <c r="E113">
        <v>85</v>
      </c>
      <c r="F113" t="s">
        <v>793</v>
      </c>
      <c r="G113" t="s">
        <v>787</v>
      </c>
      <c r="H113" t="s">
        <v>787</v>
      </c>
      <c r="I113" t="s">
        <v>787</v>
      </c>
      <c r="J113" t="s">
        <v>30</v>
      </c>
      <c r="K113" s="5"/>
      <c r="L113" s="5" t="s">
        <v>31</v>
      </c>
      <c r="M113" t="s">
        <v>919</v>
      </c>
      <c r="N113" t="s">
        <v>196</v>
      </c>
      <c r="O113" t="s">
        <v>197</v>
      </c>
      <c r="P113" t="s">
        <v>273</v>
      </c>
      <c r="Q113" t="s">
        <v>36</v>
      </c>
      <c r="R113" t="s">
        <v>924</v>
      </c>
      <c r="S113" t="s">
        <v>514</v>
      </c>
      <c r="U113" s="2">
        <v>46246</v>
      </c>
      <c r="V113" t="s">
        <v>957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5">
        <f>+IF(Control[[#This Row],[Fecha de entrega]]="","",NETWORKDAYS(Control[[#This Row],[Fecha Requisición]],Control[[#This Row],[Fecha de entrega]]))</f>
        <v>8</v>
      </c>
      <c r="AA113" s="14">
        <f>+_xlfn.ISOWEEKNUM(Control[[#This Row],[Fecha Requisición]])</f>
        <v>32</v>
      </c>
    </row>
    <row r="114" spans="1:27">
      <c r="A114" t="s">
        <v>794</v>
      </c>
      <c r="B114" t="s">
        <v>795</v>
      </c>
      <c r="C114" t="s">
        <v>841</v>
      </c>
      <c r="D114" t="s">
        <v>925</v>
      </c>
      <c r="E114">
        <v>86</v>
      </c>
      <c r="F114" t="s">
        <v>796</v>
      </c>
      <c r="G114" t="s">
        <v>787</v>
      </c>
      <c r="H114" t="s">
        <v>787</v>
      </c>
      <c r="I114" t="s">
        <v>787</v>
      </c>
      <c r="J114" t="s">
        <v>30</v>
      </c>
      <c r="K114" s="5"/>
      <c r="L114" s="5" t="s">
        <v>31</v>
      </c>
      <c r="M114" t="s">
        <v>919</v>
      </c>
      <c r="N114" t="s">
        <v>196</v>
      </c>
      <c r="O114" t="s">
        <v>197</v>
      </c>
      <c r="P114" t="s">
        <v>75</v>
      </c>
      <c r="Q114" t="s">
        <v>36</v>
      </c>
      <c r="R114" t="s">
        <v>926</v>
      </c>
      <c r="S114" t="s">
        <v>514</v>
      </c>
      <c r="U114" s="2">
        <v>46246</v>
      </c>
      <c r="V114" t="s">
        <v>957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5">
        <f>+IF(Control[[#This Row],[Fecha de entrega]]="","",NETWORKDAYS(Control[[#This Row],[Fecha Requisición]],Control[[#This Row],[Fecha de entrega]]))</f>
        <v>8</v>
      </c>
      <c r="AA114" s="14">
        <f>+_xlfn.ISOWEEKNUM(Control[[#This Row],[Fecha Requisición]])</f>
        <v>32</v>
      </c>
    </row>
    <row r="115" spans="1:27">
      <c r="A115" t="s">
        <v>804</v>
      </c>
      <c r="B115" t="s">
        <v>805</v>
      </c>
      <c r="C115" t="s">
        <v>824</v>
      </c>
      <c r="D115" t="s">
        <v>825</v>
      </c>
      <c r="E115">
        <v>89</v>
      </c>
      <c r="F115" t="s">
        <v>806</v>
      </c>
      <c r="G115" t="s">
        <v>787</v>
      </c>
      <c r="H115" t="s">
        <v>787</v>
      </c>
      <c r="I115" t="s">
        <v>787</v>
      </c>
      <c r="J115" t="s">
        <v>39</v>
      </c>
      <c r="K115" s="5">
        <v>299800</v>
      </c>
      <c r="L115" s="5" t="s">
        <v>55</v>
      </c>
      <c r="M115" t="s">
        <v>826</v>
      </c>
      <c r="N115" t="s">
        <v>383</v>
      </c>
      <c r="O115" t="s">
        <v>384</v>
      </c>
      <c r="P115" t="s">
        <v>58</v>
      </c>
      <c r="Q115" t="s">
        <v>36</v>
      </c>
      <c r="R115" t="s">
        <v>827</v>
      </c>
      <c r="S115" t="s">
        <v>514</v>
      </c>
      <c r="T115" s="2">
        <v>46237</v>
      </c>
      <c r="U115" s="2">
        <v>46238</v>
      </c>
      <c r="V115" t="s">
        <v>777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5">
        <f>+IF(Control[[#This Row],[Fecha de entrega]]="","",NETWORKDAYS(Control[[#This Row],[Fecha Requisición]],Control[[#This Row],[Fecha de entrega]]))</f>
        <v>2</v>
      </c>
      <c r="AA115" s="14">
        <f>+_xlfn.ISOWEEKNUM(Control[[#This Row],[Fecha Requisición]])</f>
        <v>32</v>
      </c>
    </row>
    <row r="116" spans="1:27">
      <c r="A116" s="16" t="s">
        <v>814</v>
      </c>
      <c r="B116" s="16" t="s">
        <v>815</v>
      </c>
      <c r="C116" s="16" t="s">
        <v>844</v>
      </c>
      <c r="D116" s="16" t="s">
        <v>849</v>
      </c>
      <c r="E116" s="16">
        <v>92</v>
      </c>
      <c r="F116" s="16" t="s">
        <v>816</v>
      </c>
      <c r="G116" s="16" t="s">
        <v>787</v>
      </c>
      <c r="H116" s="16" t="s">
        <v>787</v>
      </c>
      <c r="I116" s="16" t="s">
        <v>787</v>
      </c>
      <c r="J116" s="16" t="s">
        <v>39</v>
      </c>
      <c r="K116" s="5"/>
      <c r="L116" s="5" t="s">
        <v>31</v>
      </c>
      <c r="M116" s="16" t="s">
        <v>121</v>
      </c>
      <c r="N116" s="16" t="s">
        <v>767</v>
      </c>
      <c r="O116" s="16" t="s">
        <v>57</v>
      </c>
      <c r="P116" s="16" t="s">
        <v>35</v>
      </c>
      <c r="Q116" s="16" t="s">
        <v>94</v>
      </c>
      <c r="R116" s="16" t="s">
        <v>850</v>
      </c>
      <c r="S116" s="16" t="s">
        <v>514</v>
      </c>
      <c r="U116" s="2">
        <v>46246</v>
      </c>
      <c r="V116" s="16" t="s">
        <v>777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8</v>
      </c>
      <c r="Z116" s="16"/>
      <c r="AA116" s="14">
        <f>+_xlfn.ISOWEEKNUM(Control[[#This Row],[Fecha Requisición]])</f>
        <v>32</v>
      </c>
    </row>
    <row r="117" spans="1:27">
      <c r="A117" s="16" t="s">
        <v>814</v>
      </c>
      <c r="B117" s="16" t="s">
        <v>815</v>
      </c>
      <c r="C117" s="16" t="s">
        <v>844</v>
      </c>
      <c r="D117" s="16" t="s">
        <v>851</v>
      </c>
      <c r="E117" s="16">
        <v>92</v>
      </c>
      <c r="F117" s="16" t="s">
        <v>816</v>
      </c>
      <c r="G117" s="16" t="s">
        <v>787</v>
      </c>
      <c r="H117" s="16" t="s">
        <v>787</v>
      </c>
      <c r="I117" s="16" t="s">
        <v>787</v>
      </c>
      <c r="J117" s="16" t="s">
        <v>30</v>
      </c>
      <c r="K117" s="5"/>
      <c r="L117" s="5" t="s">
        <v>31</v>
      </c>
      <c r="M117" s="16" t="s">
        <v>243</v>
      </c>
      <c r="N117" s="16" t="s">
        <v>767</v>
      </c>
      <c r="O117" s="16" t="s">
        <v>57</v>
      </c>
      <c r="P117" s="16" t="s">
        <v>35</v>
      </c>
      <c r="Q117" s="16" t="s">
        <v>94</v>
      </c>
      <c r="R117" s="16" t="s">
        <v>852</v>
      </c>
      <c r="S117" s="16" t="s">
        <v>514</v>
      </c>
      <c r="U117" s="2">
        <v>46246</v>
      </c>
      <c r="V117" s="16" t="s">
        <v>777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7" s="9">
        <f>+DATE(YEAR(Control[[#This Row],[Fecha Requisición]]),MONTH(Control[[#This Row],[Fecha Requisición]]),1)</f>
        <v>46235</v>
      </c>
      <c r="Y117" s="15">
        <f>+IF(Control[[#This Row],[Fecha de entrega]]="","",NETWORKDAYS(Control[[#This Row],[Fecha Requisición]],Control[[#This Row],[Fecha de entrega]]))</f>
        <v>8</v>
      </c>
      <c r="Z117" s="16"/>
      <c r="AA117" s="14">
        <f>+_xlfn.ISOWEEKNUM(Control[[#This Row],[Fecha Requisición]])</f>
        <v>32</v>
      </c>
    </row>
    <row r="118" spans="1:27">
      <c r="A118" s="16" t="s">
        <v>828</v>
      </c>
      <c r="B118" s="16" t="s">
        <v>829</v>
      </c>
      <c r="C118" s="16" t="s">
        <v>830</v>
      </c>
      <c r="D118" s="16" t="s">
        <v>831</v>
      </c>
      <c r="E118" s="16">
        <v>94</v>
      </c>
      <c r="F118" s="16" t="s">
        <v>832</v>
      </c>
      <c r="G118" s="16" t="s">
        <v>833</v>
      </c>
      <c r="H118" s="16" t="s">
        <v>833</v>
      </c>
      <c r="I118" s="16" t="s">
        <v>833</v>
      </c>
      <c r="J118" s="16" t="s">
        <v>39</v>
      </c>
      <c r="K118" s="5"/>
      <c r="L118" s="5" t="s">
        <v>31</v>
      </c>
      <c r="M118" s="16" t="s">
        <v>834</v>
      </c>
      <c r="N118" s="16" t="s">
        <v>835</v>
      </c>
      <c r="O118" s="16" t="s">
        <v>57</v>
      </c>
      <c r="P118" s="16" t="s">
        <v>35</v>
      </c>
      <c r="Q118" s="16" t="s">
        <v>59</v>
      </c>
      <c r="R118" s="16" t="s">
        <v>836</v>
      </c>
      <c r="S118" s="16" t="s">
        <v>514</v>
      </c>
      <c r="U118" s="2">
        <v>46238</v>
      </c>
      <c r="V118" s="16" t="s">
        <v>775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46569</v>
      </c>
      <c r="Y118" s="15">
        <f>+IF(Control[[#This Row],[Fecha de entrega]]="","",NETWORKDAYS(Control[[#This Row],[Fecha Requisición]],Control[[#This Row],[Fecha de entrega]]))</f>
        <v>-259</v>
      </c>
      <c r="Z118" s="16"/>
      <c r="AA118" s="14">
        <f>+_xlfn.ISOWEEKNUM(Control[[#This Row],[Fecha Requisición]])</f>
        <v>30</v>
      </c>
    </row>
    <row r="119" spans="1:27">
      <c r="A119" s="16" t="s">
        <v>846</v>
      </c>
      <c r="B119" s="16" t="s">
        <v>847</v>
      </c>
      <c r="C119" s="16" t="s">
        <v>853</v>
      </c>
      <c r="D119" s="16" t="s">
        <v>879</v>
      </c>
      <c r="E119" s="16">
        <v>95</v>
      </c>
      <c r="F119" s="16" t="s">
        <v>848</v>
      </c>
      <c r="G119" s="16" t="s">
        <v>787</v>
      </c>
      <c r="H119" s="16" t="s">
        <v>787</v>
      </c>
      <c r="I119" s="16" t="s">
        <v>787</v>
      </c>
      <c r="J119" s="16" t="s">
        <v>39</v>
      </c>
      <c r="K119" s="5">
        <v>135898</v>
      </c>
      <c r="L119" s="5"/>
      <c r="M119" s="16" t="s">
        <v>121</v>
      </c>
      <c r="N119" s="16"/>
      <c r="O119" s="16"/>
      <c r="P119" s="16"/>
      <c r="Q119" s="16"/>
      <c r="R119" s="16" t="s">
        <v>880</v>
      </c>
      <c r="S119" s="16" t="s">
        <v>514</v>
      </c>
      <c r="U119" s="2">
        <v>46247</v>
      </c>
      <c r="V119" s="16" t="s">
        <v>958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5">
        <f>+IF(Control[[#This Row],[Fecha de entrega]]="","",NETWORKDAYS(Control[[#This Row],[Fecha Requisición]],Control[[#This Row],[Fecha de entrega]]))</f>
        <v>9</v>
      </c>
      <c r="Z119" s="16"/>
      <c r="AA119" s="14">
        <f>+_xlfn.ISOWEEKNUM(Control[[#This Row],[Fecha Requisición]])</f>
        <v>32</v>
      </c>
    </row>
    <row r="120" spans="1:27">
      <c r="A120" s="16" t="s">
        <v>854</v>
      </c>
      <c r="B120" s="16" t="s">
        <v>855</v>
      </c>
      <c r="C120" s="16" t="s">
        <v>856</v>
      </c>
      <c r="D120" s="16" t="s">
        <v>857</v>
      </c>
      <c r="E120" s="16">
        <v>96</v>
      </c>
      <c r="F120" s="16" t="s">
        <v>858</v>
      </c>
      <c r="G120" s="16" t="s">
        <v>859</v>
      </c>
      <c r="H120" s="16" t="s">
        <v>859</v>
      </c>
      <c r="I120" s="16" t="s">
        <v>859</v>
      </c>
      <c r="J120" s="16" t="s">
        <v>30</v>
      </c>
      <c r="K120" s="5">
        <v>129472</v>
      </c>
      <c r="L120" s="5" t="s">
        <v>55</v>
      </c>
      <c r="M120" s="16" t="s">
        <v>32</v>
      </c>
      <c r="N120" s="16" t="s">
        <v>204</v>
      </c>
      <c r="O120" s="16" t="s">
        <v>57</v>
      </c>
      <c r="P120" s="16" t="s">
        <v>58</v>
      </c>
      <c r="Q120" s="16" t="s">
        <v>36</v>
      </c>
      <c r="R120" s="16" t="s">
        <v>860</v>
      </c>
      <c r="S120" s="16" t="s">
        <v>514</v>
      </c>
      <c r="U120" s="2">
        <v>46238</v>
      </c>
      <c r="V120" s="16" t="s">
        <v>876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5">
        <f>+IF(Control[[#This Row],[Fecha de entrega]]="","",NETWORKDAYS(Control[[#This Row],[Fecha Requisición]],Control[[#This Row],[Fecha de entrega]]))</f>
        <v>1</v>
      </c>
      <c r="Z120" s="16"/>
      <c r="AA120" s="14">
        <f>+_xlfn.ISOWEEKNUM(Control[[#This Row],[Fecha Requisición]])</f>
        <v>32</v>
      </c>
    </row>
    <row r="121" spans="1:27">
      <c r="A121" s="16" t="s">
        <v>866</v>
      </c>
      <c r="B121" s="16" t="s">
        <v>867</v>
      </c>
      <c r="C121" s="16" t="s">
        <v>881</v>
      </c>
      <c r="D121" s="16" t="s">
        <v>882</v>
      </c>
      <c r="E121" s="16">
        <v>98</v>
      </c>
      <c r="F121" s="16" t="s">
        <v>868</v>
      </c>
      <c r="G121" s="16" t="s">
        <v>869</v>
      </c>
      <c r="H121" s="16" t="s">
        <v>869</v>
      </c>
      <c r="I121" s="16" t="s">
        <v>869</v>
      </c>
      <c r="J121" s="16" t="s">
        <v>39</v>
      </c>
      <c r="K121" s="5"/>
      <c r="L121" s="5" t="s">
        <v>31</v>
      </c>
      <c r="M121" s="16" t="s">
        <v>883</v>
      </c>
      <c r="N121" s="16" t="s">
        <v>219</v>
      </c>
      <c r="O121" s="16" t="s">
        <v>870</v>
      </c>
      <c r="P121" s="16" t="s">
        <v>124</v>
      </c>
      <c r="Q121" s="16" t="s">
        <v>94</v>
      </c>
      <c r="R121" s="16" t="s">
        <v>884</v>
      </c>
      <c r="S121" s="16" t="s">
        <v>514</v>
      </c>
      <c r="V121" s="16" t="s">
        <v>959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1" s="9">
        <f>+DATE(YEAR(Control[[#This Row],[Fecha Requisición]]),MONTH(Control[[#This Row],[Fecha Requisición]]),1)</f>
        <v>46235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32</v>
      </c>
    </row>
    <row r="122" spans="1:27">
      <c r="A122" s="16" t="s">
        <v>871</v>
      </c>
      <c r="B122" s="16" t="s">
        <v>872</v>
      </c>
      <c r="C122" s="16" t="s">
        <v>896</v>
      </c>
      <c r="D122" s="16" t="s">
        <v>927</v>
      </c>
      <c r="E122" s="16">
        <v>99</v>
      </c>
      <c r="F122" s="16" t="s">
        <v>873</v>
      </c>
      <c r="G122" s="16" t="s">
        <v>874</v>
      </c>
      <c r="H122" s="16" t="s">
        <v>874</v>
      </c>
      <c r="I122" s="16" t="s">
        <v>874</v>
      </c>
      <c r="J122" s="16" t="s">
        <v>39</v>
      </c>
      <c r="K122" s="5">
        <v>430820</v>
      </c>
      <c r="L122" s="5" t="s">
        <v>55</v>
      </c>
      <c r="M122" s="16" t="s">
        <v>928</v>
      </c>
      <c r="N122" s="16" t="s">
        <v>204</v>
      </c>
      <c r="O122" s="16" t="s">
        <v>86</v>
      </c>
      <c r="P122" s="16" t="s">
        <v>58</v>
      </c>
      <c r="Q122" s="16" t="s">
        <v>36</v>
      </c>
      <c r="R122" s="16" t="s">
        <v>929</v>
      </c>
      <c r="S122" s="16" t="s">
        <v>514</v>
      </c>
      <c r="V122" s="16" t="s">
        <v>960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2" s="9">
        <f>+DATE(YEAR(Control[[#This Row],[Fecha Requisición]]),MONTH(Control[[#This Row],[Fecha Requisición]]),1)</f>
        <v>46235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32</v>
      </c>
    </row>
    <row r="123" spans="1:27">
      <c r="A123" s="16" t="s">
        <v>871</v>
      </c>
      <c r="B123" s="16" t="s">
        <v>872</v>
      </c>
      <c r="C123" s="16" t="s">
        <v>896</v>
      </c>
      <c r="D123" s="16" t="s">
        <v>930</v>
      </c>
      <c r="E123" s="16">
        <v>99</v>
      </c>
      <c r="F123" s="16" t="s">
        <v>873</v>
      </c>
      <c r="G123" s="16" t="s">
        <v>874</v>
      </c>
      <c r="H123" s="16" t="s">
        <v>874</v>
      </c>
      <c r="I123" s="16" t="s">
        <v>874</v>
      </c>
      <c r="J123" s="16" t="s">
        <v>30</v>
      </c>
      <c r="K123" s="5">
        <v>175893</v>
      </c>
      <c r="L123" s="5" t="s">
        <v>55</v>
      </c>
      <c r="M123" s="16" t="s">
        <v>931</v>
      </c>
      <c r="N123" s="16" t="s">
        <v>204</v>
      </c>
      <c r="O123" s="16" t="s">
        <v>86</v>
      </c>
      <c r="P123" s="16" t="s">
        <v>58</v>
      </c>
      <c r="Q123" s="16" t="s">
        <v>36</v>
      </c>
      <c r="R123" s="16" t="s">
        <v>932</v>
      </c>
      <c r="S123" s="16" t="s">
        <v>514</v>
      </c>
      <c r="V123" s="16" t="s">
        <v>960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3" s="9">
        <f>+DATE(YEAR(Control[[#This Row],[Fecha Requisición]]),MONTH(Control[[#This Row],[Fecha Requisición]]),1)</f>
        <v>46235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32</v>
      </c>
    </row>
    <row r="124" spans="1:27">
      <c r="A124" s="16" t="s">
        <v>871</v>
      </c>
      <c r="B124" s="16" t="s">
        <v>872</v>
      </c>
      <c r="C124" s="16" t="s">
        <v>896</v>
      </c>
      <c r="D124" s="16" t="s">
        <v>933</v>
      </c>
      <c r="E124" s="16">
        <v>99</v>
      </c>
      <c r="F124" s="16" t="s">
        <v>873</v>
      </c>
      <c r="G124" s="16" t="s">
        <v>874</v>
      </c>
      <c r="H124" s="16" t="s">
        <v>874</v>
      </c>
      <c r="I124" s="16" t="s">
        <v>874</v>
      </c>
      <c r="J124" s="16" t="s">
        <v>39</v>
      </c>
      <c r="K124" s="5">
        <v>582990</v>
      </c>
      <c r="L124" s="5" t="s">
        <v>55</v>
      </c>
      <c r="M124" s="16" t="s">
        <v>934</v>
      </c>
      <c r="N124" s="16" t="s">
        <v>204</v>
      </c>
      <c r="O124" s="16" t="s">
        <v>86</v>
      </c>
      <c r="P124" s="16" t="s">
        <v>58</v>
      </c>
      <c r="Q124" s="16" t="s">
        <v>36</v>
      </c>
      <c r="R124" s="16" t="s">
        <v>935</v>
      </c>
      <c r="S124" s="16" t="s">
        <v>514</v>
      </c>
      <c r="V124" s="16" t="s">
        <v>960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4" s="9">
        <f>+DATE(YEAR(Control[[#This Row],[Fecha Requisición]]),MONTH(Control[[#This Row],[Fecha Requisición]]),1)</f>
        <v>46235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32</v>
      </c>
    </row>
    <row r="125" spans="1:27">
      <c r="A125" s="16" t="s">
        <v>871</v>
      </c>
      <c r="B125" s="16" t="s">
        <v>872</v>
      </c>
      <c r="C125" s="16" t="s">
        <v>896</v>
      </c>
      <c r="D125" s="16" t="s">
        <v>936</v>
      </c>
      <c r="E125" s="16">
        <v>99</v>
      </c>
      <c r="F125" s="16" t="s">
        <v>873</v>
      </c>
      <c r="G125" s="16" t="s">
        <v>874</v>
      </c>
      <c r="H125" s="16" t="s">
        <v>874</v>
      </c>
      <c r="I125" s="16" t="s">
        <v>874</v>
      </c>
      <c r="J125" s="16" t="s">
        <v>39</v>
      </c>
      <c r="K125" s="5">
        <v>259391</v>
      </c>
      <c r="L125" s="5" t="s">
        <v>55</v>
      </c>
      <c r="M125" s="16" t="s">
        <v>937</v>
      </c>
      <c r="N125" s="16" t="s">
        <v>204</v>
      </c>
      <c r="O125" s="16" t="s">
        <v>86</v>
      </c>
      <c r="P125" s="16" t="s">
        <v>58</v>
      </c>
      <c r="Q125" s="16" t="s">
        <v>36</v>
      </c>
      <c r="R125" s="16" t="s">
        <v>938</v>
      </c>
      <c r="S125" s="16" t="s">
        <v>514</v>
      </c>
      <c r="V125" s="16" t="s">
        <v>960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46235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32</v>
      </c>
    </row>
    <row r="126" spans="1:27">
      <c r="A126" s="16" t="s">
        <v>885</v>
      </c>
      <c r="B126" s="16" t="s">
        <v>886</v>
      </c>
      <c r="C126" s="16" t="s">
        <v>895</v>
      </c>
      <c r="D126" s="16" t="s">
        <v>887</v>
      </c>
      <c r="E126" s="16">
        <v>100</v>
      </c>
      <c r="F126" s="16" t="s">
        <v>888</v>
      </c>
      <c r="G126" s="16" t="s">
        <v>889</v>
      </c>
      <c r="H126" s="16" t="s">
        <v>889</v>
      </c>
      <c r="I126" s="16" t="s">
        <v>889</v>
      </c>
      <c r="J126" s="16" t="s">
        <v>30</v>
      </c>
      <c r="K126" s="5">
        <v>536000</v>
      </c>
      <c r="L126" s="5" t="s">
        <v>55</v>
      </c>
      <c r="M126" s="16" t="s">
        <v>890</v>
      </c>
      <c r="N126" s="16" t="s">
        <v>383</v>
      </c>
      <c r="O126" s="16" t="s">
        <v>384</v>
      </c>
      <c r="P126" s="16" t="s">
        <v>58</v>
      </c>
      <c r="Q126" s="16" t="s">
        <v>36</v>
      </c>
      <c r="R126" s="16" t="s">
        <v>891</v>
      </c>
      <c r="S126" s="16" t="s">
        <v>514</v>
      </c>
      <c r="U126" s="2">
        <v>46244</v>
      </c>
      <c r="V126" s="16" t="s">
        <v>643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6" s="9">
        <f>+DATE(YEAR(Control[[#This Row],[Fecha Requisición]]),MONTH(Control[[#This Row],[Fecha Requisición]]),1)</f>
        <v>46235</v>
      </c>
      <c r="Y126" s="15">
        <f>+IF(Control[[#This Row],[Fecha de entrega]]="","",NETWORKDAYS(Control[[#This Row],[Fecha Requisición]],Control[[#This Row],[Fecha de entrega]]))</f>
        <v>3</v>
      </c>
      <c r="Z126" s="16"/>
      <c r="AA126" s="14">
        <f>+_xlfn.ISOWEEKNUM(Control[[#This Row],[Fecha Requisición]])</f>
        <v>32</v>
      </c>
    </row>
    <row r="127" spans="1:27">
      <c r="A127" s="16" t="s">
        <v>892</v>
      </c>
      <c r="B127" s="16" t="s">
        <v>893</v>
      </c>
      <c r="C127" s="16" t="s">
        <v>897</v>
      </c>
      <c r="D127" s="16" t="s">
        <v>939</v>
      </c>
      <c r="E127" s="16">
        <v>101</v>
      </c>
      <c r="F127" s="16" t="s">
        <v>894</v>
      </c>
      <c r="G127" s="16" t="s">
        <v>889</v>
      </c>
      <c r="H127" s="16" t="s">
        <v>889</v>
      </c>
      <c r="I127" s="16" t="s">
        <v>889</v>
      </c>
      <c r="J127" s="16" t="s">
        <v>30</v>
      </c>
      <c r="K127" s="5"/>
      <c r="L127" s="5" t="s">
        <v>31</v>
      </c>
      <c r="M127" s="16" t="s">
        <v>940</v>
      </c>
      <c r="N127" s="16" t="s">
        <v>307</v>
      </c>
      <c r="O127" s="16" t="s">
        <v>86</v>
      </c>
      <c r="P127" s="16" t="s">
        <v>124</v>
      </c>
      <c r="Q127" s="16" t="s">
        <v>36</v>
      </c>
      <c r="R127" s="16" t="s">
        <v>941</v>
      </c>
      <c r="S127" s="16" t="s">
        <v>514</v>
      </c>
      <c r="U127" s="2">
        <v>46247</v>
      </c>
      <c r="V127" s="16" t="s">
        <v>643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5">
        <f>+IF(Control[[#This Row],[Fecha de entrega]]="","",NETWORKDAYS(Control[[#This Row],[Fecha Requisición]],Control[[#This Row],[Fecha de entrega]]))</f>
        <v>6</v>
      </c>
      <c r="Z127" s="16"/>
      <c r="AA127" s="14">
        <f>+_xlfn.ISOWEEKNUM(Control[[#This Row],[Fecha Requisición]])</f>
        <v>32</v>
      </c>
    </row>
    <row r="128" spans="1:27">
      <c r="A128" s="16" t="s">
        <v>908</v>
      </c>
      <c r="B128" s="16" t="s">
        <v>909</v>
      </c>
      <c r="C128" s="16" t="s">
        <v>910</v>
      </c>
      <c r="D128" s="16" t="s">
        <v>949</v>
      </c>
      <c r="E128" s="16">
        <v>104</v>
      </c>
      <c r="F128" s="16" t="s">
        <v>911</v>
      </c>
      <c r="G128" s="16" t="s">
        <v>912</v>
      </c>
      <c r="H128" s="16" t="s">
        <v>912</v>
      </c>
      <c r="I128" s="16" t="s">
        <v>912</v>
      </c>
      <c r="J128" s="16" t="s">
        <v>30</v>
      </c>
      <c r="K128" s="5"/>
      <c r="L128" s="5" t="s">
        <v>31</v>
      </c>
      <c r="M128" s="16" t="s">
        <v>940</v>
      </c>
      <c r="N128" s="16" t="s">
        <v>913</v>
      </c>
      <c r="O128" s="16" t="s">
        <v>34</v>
      </c>
      <c r="P128" s="16" t="s">
        <v>273</v>
      </c>
      <c r="Q128" s="16" t="s">
        <v>36</v>
      </c>
      <c r="R128" s="16" t="s">
        <v>950</v>
      </c>
      <c r="S128" s="16" t="s">
        <v>514</v>
      </c>
      <c r="U128" s="2">
        <v>46247</v>
      </c>
      <c r="V128" s="16" t="s">
        <v>962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5">
        <f>+IF(Control[[#This Row],[Fecha de entrega]]="","",NETWORKDAYS(Control[[#This Row],[Fecha Requisición]],Control[[#This Row],[Fecha de entrega]]))</f>
        <v>3</v>
      </c>
      <c r="Z128" s="16"/>
      <c r="AA128" s="14">
        <f>+_xlfn.ISOWEEKNUM(Control[[#This Row],[Fecha Requisición]])</f>
        <v>33</v>
      </c>
    </row>
    <row r="129" spans="1:27">
      <c r="A129" s="16" t="s">
        <v>951</v>
      </c>
      <c r="B129" s="16" t="s">
        <v>952</v>
      </c>
      <c r="C129" s="16" t="s">
        <v>953</v>
      </c>
      <c r="D129" s="16" t="s">
        <v>964</v>
      </c>
      <c r="E129" s="16">
        <v>109</v>
      </c>
      <c r="F129" s="16" t="s">
        <v>954</v>
      </c>
      <c r="G129" s="16" t="s">
        <v>955</v>
      </c>
      <c r="H129" s="16" t="s">
        <v>955</v>
      </c>
      <c r="I129" s="16" t="s">
        <v>955</v>
      </c>
      <c r="J129" s="16" t="s">
        <v>39</v>
      </c>
      <c r="K129" s="5"/>
      <c r="L129" s="5" t="s">
        <v>31</v>
      </c>
      <c r="M129" s="16" t="s">
        <v>571</v>
      </c>
      <c r="N129" s="16" t="s">
        <v>219</v>
      </c>
      <c r="O129" s="16" t="s">
        <v>870</v>
      </c>
      <c r="P129" s="16" t="s">
        <v>124</v>
      </c>
      <c r="Q129" s="16" t="s">
        <v>36</v>
      </c>
      <c r="R129" s="16" t="s">
        <v>965</v>
      </c>
      <c r="S129" s="16" t="s">
        <v>514</v>
      </c>
      <c r="V129" s="16" t="s">
        <v>963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9" s="9">
        <f>+DATE(YEAR(Control[[#This Row],[Fecha Requisición]]),MONTH(Control[[#This Row],[Fecha Requisición]]),1)</f>
        <v>46235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33</v>
      </c>
    </row>
    <row r="130" spans="1:27">
      <c r="A130" s="16" t="s">
        <v>199</v>
      </c>
      <c r="B130" s="16" t="s">
        <v>200</v>
      </c>
      <c r="C130" s="16" t="s">
        <v>201</v>
      </c>
      <c r="D130" s="16"/>
      <c r="E130" s="16">
        <v>18</v>
      </c>
      <c r="F130" s="16" t="s">
        <v>202</v>
      </c>
      <c r="G130" s="16" t="s">
        <v>203</v>
      </c>
      <c r="H130" s="16" t="s">
        <v>203</v>
      </c>
      <c r="I130" s="16"/>
      <c r="J130" s="16"/>
      <c r="K130" s="5"/>
      <c r="L130" s="5" t="s">
        <v>55</v>
      </c>
      <c r="M130" s="16"/>
      <c r="N130" s="16" t="s">
        <v>204</v>
      </c>
      <c r="O130" s="16" t="s">
        <v>86</v>
      </c>
      <c r="P130" s="16" t="s">
        <v>58</v>
      </c>
      <c r="Q130" s="16" t="s">
        <v>36</v>
      </c>
      <c r="R130" s="16"/>
      <c r="S130" s="16" t="s">
        <v>642</v>
      </c>
      <c r="V130" s="16" t="s">
        <v>642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0" s="9">
        <f>+DATE(YEAR(Control[[#This Row],[Fecha Requisición]]),MONTH(Control[[#This Row],[Fecha Requisición]]),1)</f>
        <v>46174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23</v>
      </c>
    </row>
    <row r="131" spans="1:27">
      <c r="A131" s="16" t="s">
        <v>205</v>
      </c>
      <c r="B131" s="16" t="s">
        <v>206</v>
      </c>
      <c r="C131" s="16" t="s">
        <v>717</v>
      </c>
      <c r="D131" s="16"/>
      <c r="E131" s="16">
        <v>21</v>
      </c>
      <c r="F131" s="16" t="s">
        <v>207</v>
      </c>
      <c r="G131" s="16" t="s">
        <v>195</v>
      </c>
      <c r="H131" s="16" t="s">
        <v>195</v>
      </c>
      <c r="I131" s="16"/>
      <c r="J131" s="16"/>
      <c r="K131" s="5"/>
      <c r="L131" s="5" t="s">
        <v>31</v>
      </c>
      <c r="M131" s="16"/>
      <c r="N131" s="16" t="s">
        <v>167</v>
      </c>
      <c r="O131" s="16" t="s">
        <v>86</v>
      </c>
      <c r="P131" s="16" t="s">
        <v>35</v>
      </c>
      <c r="Q131" s="16" t="s">
        <v>36</v>
      </c>
      <c r="R131" s="16"/>
      <c r="S131" s="16" t="s">
        <v>642</v>
      </c>
      <c r="V131" s="16" t="s">
        <v>642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1" s="9">
        <f>+DATE(YEAR(Control[[#This Row],[Fecha Requisición]]),MONTH(Control[[#This Row],[Fecha Requisición]]),1)</f>
        <v>46174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23</v>
      </c>
    </row>
    <row r="132" spans="1:27">
      <c r="A132" s="16" t="s">
        <v>208</v>
      </c>
      <c r="B132" s="16" t="s">
        <v>209</v>
      </c>
      <c r="C132" s="16" t="s">
        <v>210</v>
      </c>
      <c r="D132" s="16"/>
      <c r="E132" s="16">
        <v>26</v>
      </c>
      <c r="F132" s="16" t="s">
        <v>211</v>
      </c>
      <c r="G132" s="16" t="s">
        <v>212</v>
      </c>
      <c r="H132" s="16" t="s">
        <v>212</v>
      </c>
      <c r="I132" s="16"/>
      <c r="J132" s="16"/>
      <c r="K132" s="5"/>
      <c r="L132" s="5" t="s">
        <v>31</v>
      </c>
      <c r="M132" s="16"/>
      <c r="N132" s="16" t="s">
        <v>213</v>
      </c>
      <c r="O132" s="16" t="s">
        <v>101</v>
      </c>
      <c r="P132" s="16" t="s">
        <v>124</v>
      </c>
      <c r="Q132" s="16" t="s">
        <v>36</v>
      </c>
      <c r="R132" s="16"/>
      <c r="S132" s="16" t="s">
        <v>642</v>
      </c>
      <c r="V132" s="16" t="s">
        <v>642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2" s="9">
        <f>+DATE(YEAR(Control[[#This Row],[Fecha Requisición]]),MONTH(Control[[#This Row],[Fecha Requisición]]),1)</f>
        <v>46174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25</v>
      </c>
    </row>
    <row r="133" spans="1:27">
      <c r="A133" s="16" t="s">
        <v>214</v>
      </c>
      <c r="B133" s="16" t="s">
        <v>215</v>
      </c>
      <c r="C133" s="16" t="s">
        <v>216</v>
      </c>
      <c r="D133" s="16"/>
      <c r="E133" s="16">
        <v>27</v>
      </c>
      <c r="F133" s="16" t="s">
        <v>217</v>
      </c>
      <c r="G133" s="16" t="s">
        <v>218</v>
      </c>
      <c r="H133" s="16" t="s">
        <v>218</v>
      </c>
      <c r="I133" s="16"/>
      <c r="J133" s="16"/>
      <c r="K133" s="5"/>
      <c r="L133" s="5" t="s">
        <v>31</v>
      </c>
      <c r="M133" s="16"/>
      <c r="N133" s="16" t="s">
        <v>219</v>
      </c>
      <c r="O133" s="16" t="s">
        <v>101</v>
      </c>
      <c r="P133" s="16" t="s">
        <v>124</v>
      </c>
      <c r="Q133" s="16" t="s">
        <v>36</v>
      </c>
      <c r="R133" s="16"/>
      <c r="S133" s="16" t="s">
        <v>642</v>
      </c>
      <c r="V133" s="16" t="s">
        <v>642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3" s="9">
        <f>+DATE(YEAR(Control[[#This Row],[Fecha Requisición]]),MONTH(Control[[#This Row],[Fecha Requisición]]),1)</f>
        <v>46174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24</v>
      </c>
    </row>
    <row r="134" spans="1:27">
      <c r="A134" s="16" t="s">
        <v>220</v>
      </c>
      <c r="B134" s="16" t="s">
        <v>221</v>
      </c>
      <c r="C134" s="16" t="s">
        <v>222</v>
      </c>
      <c r="D134" s="16"/>
      <c r="E134" s="16">
        <v>28</v>
      </c>
      <c r="F134" s="16" t="s">
        <v>223</v>
      </c>
      <c r="G134" s="16" t="s">
        <v>218</v>
      </c>
      <c r="H134" s="16" t="s">
        <v>218</v>
      </c>
      <c r="I134" s="16"/>
      <c r="J134" s="16"/>
      <c r="K134" s="5"/>
      <c r="L134" s="5" t="s">
        <v>31</v>
      </c>
      <c r="M134" s="16"/>
      <c r="N134" s="16" t="s">
        <v>158</v>
      </c>
      <c r="O134" s="16" t="s">
        <v>57</v>
      </c>
      <c r="P134" s="16" t="s">
        <v>124</v>
      </c>
      <c r="Q134" s="16" t="s">
        <v>36</v>
      </c>
      <c r="R134" s="16"/>
      <c r="S134" s="16" t="s">
        <v>642</v>
      </c>
      <c r="V134" s="16" t="s">
        <v>642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4" s="9">
        <f>+DATE(YEAR(Control[[#This Row],[Fecha Requisición]]),MONTH(Control[[#This Row],[Fecha Requisición]]),1)</f>
        <v>46174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24</v>
      </c>
    </row>
    <row r="135" spans="1:27">
      <c r="A135" s="16" t="s">
        <v>224</v>
      </c>
      <c r="B135" s="16" t="s">
        <v>225</v>
      </c>
      <c r="C135" s="16" t="s">
        <v>226</v>
      </c>
      <c r="D135" s="16"/>
      <c r="E135" s="16">
        <v>29</v>
      </c>
      <c r="F135" s="16" t="s">
        <v>227</v>
      </c>
      <c r="G135" s="16" t="s">
        <v>212</v>
      </c>
      <c r="H135" s="16" t="s">
        <v>212</v>
      </c>
      <c r="I135" s="16"/>
      <c r="J135" s="16"/>
      <c r="K135" s="5"/>
      <c r="L135" s="5" t="s">
        <v>31</v>
      </c>
      <c r="M135" s="16"/>
      <c r="N135" s="16" t="s">
        <v>219</v>
      </c>
      <c r="O135" s="16" t="s">
        <v>101</v>
      </c>
      <c r="P135" s="16" t="s">
        <v>124</v>
      </c>
      <c r="Q135" s="16" t="s">
        <v>36</v>
      </c>
      <c r="R135" s="16"/>
      <c r="S135" s="16" t="s">
        <v>642</v>
      </c>
      <c r="V135" s="16" t="s">
        <v>642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5" s="9">
        <f>+DATE(YEAR(Control[[#This Row],[Fecha Requisición]]),MONTH(Control[[#This Row],[Fecha Requisición]]),1)</f>
        <v>46174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25</v>
      </c>
    </row>
    <row r="136" spans="1:27">
      <c r="A136" s="16" t="s">
        <v>379</v>
      </c>
      <c r="B136" s="16" t="s">
        <v>380</v>
      </c>
      <c r="C136" s="16" t="s">
        <v>602</v>
      </c>
      <c r="D136" s="16"/>
      <c r="E136" s="16">
        <v>47</v>
      </c>
      <c r="F136" s="16" t="s">
        <v>381</v>
      </c>
      <c r="G136" s="16" t="s">
        <v>382</v>
      </c>
      <c r="H136" s="16" t="s">
        <v>382</v>
      </c>
      <c r="I136" s="16"/>
      <c r="J136" s="16"/>
      <c r="K136" s="5"/>
      <c r="L136" s="5" t="s">
        <v>55</v>
      </c>
      <c r="M136" s="16"/>
      <c r="N136" s="16" t="s">
        <v>383</v>
      </c>
      <c r="O136" s="16" t="s">
        <v>384</v>
      </c>
      <c r="P136" s="16" t="s">
        <v>58</v>
      </c>
      <c r="Q136" s="16" t="s">
        <v>36</v>
      </c>
      <c r="R136" s="16"/>
      <c r="S136" s="16" t="s">
        <v>642</v>
      </c>
      <c r="V136" s="16" t="s">
        <v>642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6" s="9">
        <f>+DATE(YEAR(Control[[#This Row],[Fecha Requisición]]),MONTH(Control[[#This Row],[Fecha Requisición]]),1)</f>
        <v>46204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28</v>
      </c>
    </row>
    <row r="137" spans="1:27">
      <c r="A137" s="16" t="s">
        <v>385</v>
      </c>
      <c r="B137" s="16" t="s">
        <v>386</v>
      </c>
      <c r="C137" s="16" t="s">
        <v>603</v>
      </c>
      <c r="D137" s="16"/>
      <c r="E137" s="16">
        <v>48</v>
      </c>
      <c r="F137" s="16" t="s">
        <v>387</v>
      </c>
      <c r="G137" s="16" t="s">
        <v>382</v>
      </c>
      <c r="H137" s="16" t="s">
        <v>382</v>
      </c>
      <c r="I137" s="16"/>
      <c r="J137" s="16"/>
      <c r="K137" s="5"/>
      <c r="L137" s="5"/>
      <c r="M137" s="16"/>
      <c r="N137" s="16" t="s">
        <v>388</v>
      </c>
      <c r="O137" s="16" t="s">
        <v>176</v>
      </c>
      <c r="P137" s="16" t="s">
        <v>58</v>
      </c>
      <c r="Q137" s="16" t="s">
        <v>94</v>
      </c>
      <c r="R137" s="16"/>
      <c r="S137" s="16" t="s">
        <v>642</v>
      </c>
      <c r="V137" s="16" t="s">
        <v>642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7" s="9">
        <f>+DATE(YEAR(Control[[#This Row],[Fecha Requisición]]),MONTH(Control[[#This Row],[Fecha Requisición]]),1)</f>
        <v>46204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28</v>
      </c>
    </row>
    <row r="138" spans="1:27">
      <c r="A138" s="16" t="s">
        <v>635</v>
      </c>
      <c r="B138" s="16" t="s">
        <v>636</v>
      </c>
      <c r="C138" s="16" t="s">
        <v>674</v>
      </c>
      <c r="D138" s="16"/>
      <c r="E138" s="16">
        <v>71</v>
      </c>
      <c r="F138" s="16" t="s">
        <v>637</v>
      </c>
      <c r="G138" s="16" t="s">
        <v>638</v>
      </c>
      <c r="H138" s="16" t="s">
        <v>638</v>
      </c>
      <c r="I138" s="16"/>
      <c r="J138" s="16"/>
      <c r="K138" s="5"/>
      <c r="L138" s="5" t="s">
        <v>31</v>
      </c>
      <c r="M138" s="16"/>
      <c r="N138" s="16" t="s">
        <v>307</v>
      </c>
      <c r="O138" s="16" t="s">
        <v>86</v>
      </c>
      <c r="P138" s="16" t="s">
        <v>124</v>
      </c>
      <c r="Q138" s="16" t="s">
        <v>36</v>
      </c>
      <c r="R138" s="16"/>
      <c r="S138" s="16" t="s">
        <v>725</v>
      </c>
      <c r="V138" s="16" t="s">
        <v>642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8" s="9">
        <f>+DATE(YEAR(Control[[#This Row],[Fecha Requisición]]),MONTH(Control[[#This Row],[Fecha Requisición]]),1)</f>
        <v>46204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30</v>
      </c>
    </row>
    <row r="139" spans="1:27">
      <c r="A139" s="16" t="s">
        <v>639</v>
      </c>
      <c r="B139" s="16" t="s">
        <v>640</v>
      </c>
      <c r="C139" s="16" t="s">
        <v>675</v>
      </c>
      <c r="D139" s="16"/>
      <c r="E139" s="16">
        <v>72</v>
      </c>
      <c r="F139" s="16" t="s">
        <v>641</v>
      </c>
      <c r="G139" s="16" t="s">
        <v>638</v>
      </c>
      <c r="H139" s="16" t="s">
        <v>638</v>
      </c>
      <c r="I139" s="16"/>
      <c r="J139" s="16"/>
      <c r="K139" s="5"/>
      <c r="L139" s="5" t="s">
        <v>31</v>
      </c>
      <c r="M139" s="16"/>
      <c r="N139" s="16" t="s">
        <v>307</v>
      </c>
      <c r="O139" s="16" t="s">
        <v>86</v>
      </c>
      <c r="P139" s="16" t="s">
        <v>124</v>
      </c>
      <c r="Q139" s="16" t="s">
        <v>36</v>
      </c>
      <c r="R139" s="16"/>
      <c r="S139" s="16" t="s">
        <v>642</v>
      </c>
      <c r="V139" s="16" t="s">
        <v>642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39" s="9">
        <f>+DATE(YEAR(Control[[#This Row],[Fecha Requisición]]),MONTH(Control[[#This Row],[Fecha Requisición]]),1)</f>
        <v>46204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30</v>
      </c>
    </row>
    <row r="140" spans="1:27">
      <c r="A140" s="16" t="s">
        <v>756</v>
      </c>
      <c r="B140" s="16" t="s">
        <v>757</v>
      </c>
      <c r="C140" s="16" t="s">
        <v>758</v>
      </c>
      <c r="D140" s="16"/>
      <c r="E140" s="16">
        <v>79</v>
      </c>
      <c r="F140" s="16" t="s">
        <v>759</v>
      </c>
      <c r="G140" s="16" t="s">
        <v>749</v>
      </c>
      <c r="H140" s="16" t="s">
        <v>749</v>
      </c>
      <c r="I140" s="16"/>
      <c r="J140" s="16"/>
      <c r="K140" s="5"/>
      <c r="L140" s="5" t="s">
        <v>55</v>
      </c>
      <c r="M140" s="16"/>
      <c r="N140" s="16" t="s">
        <v>706</v>
      </c>
      <c r="O140" s="16" t="s">
        <v>101</v>
      </c>
      <c r="P140" s="16" t="s">
        <v>58</v>
      </c>
      <c r="Q140" s="16" t="s">
        <v>36</v>
      </c>
      <c r="R140" s="16"/>
      <c r="S140" s="16" t="s">
        <v>514</v>
      </c>
      <c r="V140" s="16" t="s">
        <v>820</v>
      </c>
      <c r="W140" s="14" t="s">
        <v>440</v>
      </c>
      <c r="X140" s="9">
        <f>+DATE(YEAR(Control[[#This Row],[Fecha Requisición]]),MONTH(Control[[#This Row],[Fecha Requisición]]),1)</f>
        <v>46204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31</v>
      </c>
    </row>
    <row r="141" spans="1:27">
      <c r="A141" s="16" t="s">
        <v>780</v>
      </c>
      <c r="B141" s="16" t="s">
        <v>781</v>
      </c>
      <c r="C141" s="16" t="s">
        <v>837</v>
      </c>
      <c r="D141" s="16"/>
      <c r="E141" s="16">
        <v>82</v>
      </c>
      <c r="F141" s="16" t="s">
        <v>782</v>
      </c>
      <c r="G141" s="16" t="s">
        <v>783</v>
      </c>
      <c r="H141" s="16" t="s">
        <v>783</v>
      </c>
      <c r="I141" s="16"/>
      <c r="J141" s="16"/>
      <c r="K141" s="5"/>
      <c r="L141" s="5"/>
      <c r="M141" s="16"/>
      <c r="N141" s="16"/>
      <c r="O141" s="16" t="s">
        <v>57</v>
      </c>
      <c r="P141" s="16" t="s">
        <v>35</v>
      </c>
      <c r="Q141" s="16" t="s">
        <v>94</v>
      </c>
      <c r="R141" s="16"/>
      <c r="S141" s="16" t="s">
        <v>514</v>
      </c>
      <c r="U141" s="2">
        <v>46239</v>
      </c>
      <c r="V141" s="16" t="s">
        <v>643</v>
      </c>
      <c r="W141" s="14" t="s">
        <v>440</v>
      </c>
      <c r="X141" s="9">
        <f>+DATE(YEAR(Control[[#This Row],[Fecha Requisición]]),MONTH(Control[[#This Row],[Fecha Requisición]]),1)</f>
        <v>46204</v>
      </c>
      <c r="Y141" s="15">
        <f>+IF(Control[[#This Row],[Fecha de entrega]]="","",NETWORKDAYS(Control[[#This Row],[Fecha Requisición]],Control[[#This Row],[Fecha de entrega]]))</f>
        <v>6</v>
      </c>
      <c r="Z141" s="16"/>
      <c r="AA141" s="14">
        <f>+_xlfn.ISOWEEKNUM(Control[[#This Row],[Fecha Requisición]])</f>
        <v>31</v>
      </c>
    </row>
    <row r="142" spans="1:27">
      <c r="A142" s="16" t="s">
        <v>797</v>
      </c>
      <c r="B142" s="16" t="s">
        <v>798</v>
      </c>
      <c r="C142" s="16" t="s">
        <v>842</v>
      </c>
      <c r="D142" s="16"/>
      <c r="E142" s="16">
        <v>87</v>
      </c>
      <c r="F142" s="16" t="s">
        <v>799</v>
      </c>
      <c r="G142" s="16" t="s">
        <v>787</v>
      </c>
      <c r="H142" s="16" t="s">
        <v>787</v>
      </c>
      <c r="I142" s="16"/>
      <c r="J142" s="16"/>
      <c r="K142" s="5"/>
      <c r="L142" s="5" t="s">
        <v>31</v>
      </c>
      <c r="M142" s="16"/>
      <c r="N142" s="16" t="s">
        <v>196</v>
      </c>
      <c r="O142" s="16" t="s">
        <v>34</v>
      </c>
      <c r="P142" s="16" t="s">
        <v>800</v>
      </c>
      <c r="Q142" s="16" t="s">
        <v>36</v>
      </c>
      <c r="R142" s="16"/>
      <c r="S142" s="16" t="s">
        <v>517</v>
      </c>
      <c r="V142" s="16" t="s">
        <v>821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2" s="9">
        <f>+DATE(YEAR(Control[[#This Row],[Fecha Requisición]]),MONTH(Control[[#This Row],[Fecha Requisición]]),1)</f>
        <v>46235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32</v>
      </c>
    </row>
    <row r="143" spans="1:27">
      <c r="A143" s="16" t="s">
        <v>801</v>
      </c>
      <c r="B143" s="16" t="s">
        <v>802</v>
      </c>
      <c r="C143" s="16" t="s">
        <v>843</v>
      </c>
      <c r="D143" s="16"/>
      <c r="E143" s="16">
        <v>88</v>
      </c>
      <c r="F143" s="16" t="s">
        <v>803</v>
      </c>
      <c r="G143" s="16" t="s">
        <v>787</v>
      </c>
      <c r="H143" s="16" t="s">
        <v>787</v>
      </c>
      <c r="I143" s="16"/>
      <c r="J143" s="16"/>
      <c r="K143" s="5"/>
      <c r="L143" s="5" t="s">
        <v>31</v>
      </c>
      <c r="M143" s="16"/>
      <c r="N143" s="16" t="s">
        <v>196</v>
      </c>
      <c r="O143" s="16" t="s">
        <v>197</v>
      </c>
      <c r="P143" s="16" t="s">
        <v>463</v>
      </c>
      <c r="Q143" s="16" t="s">
        <v>36</v>
      </c>
      <c r="R143" s="16"/>
      <c r="S143" s="16" t="s">
        <v>517</v>
      </c>
      <c r="V143" s="16" t="s">
        <v>821</v>
      </c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3" s="9">
        <f>+DATE(YEAR(Control[[#This Row],[Fecha Requisición]]),MONTH(Control[[#This Row],[Fecha Requisición]]),1)</f>
        <v>46235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32</v>
      </c>
    </row>
    <row r="144" spans="1:27">
      <c r="A144" s="16" t="s">
        <v>807</v>
      </c>
      <c r="B144" s="16" t="s">
        <v>808</v>
      </c>
      <c r="C144" s="16"/>
      <c r="D144" s="16"/>
      <c r="E144" s="16">
        <v>90</v>
      </c>
      <c r="F144" s="16" t="s">
        <v>809</v>
      </c>
      <c r="G144" s="16" t="s">
        <v>810</v>
      </c>
      <c r="H144" s="16"/>
      <c r="I144" s="16"/>
      <c r="J144" s="16"/>
      <c r="K144" s="5"/>
      <c r="L144" s="5" t="s">
        <v>31</v>
      </c>
      <c r="M144" s="16"/>
      <c r="N144" s="16" t="s">
        <v>307</v>
      </c>
      <c r="O144" s="16" t="s">
        <v>57</v>
      </c>
      <c r="P144" s="16" t="s">
        <v>124</v>
      </c>
      <c r="Q144" s="16" t="s">
        <v>36</v>
      </c>
      <c r="R144" s="16"/>
      <c r="S144" s="16" t="s">
        <v>514</v>
      </c>
      <c r="V144" s="16" t="s">
        <v>823</v>
      </c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4" s="9">
        <f>+DATE(YEAR(Control[[#This Row],[Fecha Requisición]]),MONTH(Control[[#This Row],[Fecha Requisición]]),1)</f>
        <v>46204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27</v>
      </c>
    </row>
    <row r="145" spans="1:27">
      <c r="A145" s="16" t="s">
        <v>811</v>
      </c>
      <c r="B145" s="16" t="s">
        <v>812</v>
      </c>
      <c r="C145" s="16"/>
      <c r="D145" s="16"/>
      <c r="E145" s="16">
        <v>91</v>
      </c>
      <c r="F145" s="16" t="s">
        <v>813</v>
      </c>
      <c r="G145" s="16" t="s">
        <v>810</v>
      </c>
      <c r="H145" s="16"/>
      <c r="I145" s="16"/>
      <c r="J145" s="16"/>
      <c r="K145" s="5"/>
      <c r="L145" s="5" t="s">
        <v>31</v>
      </c>
      <c r="M145" s="16"/>
      <c r="N145" s="16" t="s">
        <v>307</v>
      </c>
      <c r="O145" s="16" t="s">
        <v>57</v>
      </c>
      <c r="P145" s="16" t="s">
        <v>124</v>
      </c>
      <c r="Q145" s="16" t="s">
        <v>36</v>
      </c>
      <c r="R145" s="16"/>
      <c r="S145" s="16" t="s">
        <v>514</v>
      </c>
      <c r="V145" s="16" t="s">
        <v>823</v>
      </c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5" s="9">
        <f>+DATE(YEAR(Control[[#This Row],[Fecha Requisición]]),MONTH(Control[[#This Row],[Fecha Requisición]]),1)</f>
        <v>46204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27</v>
      </c>
    </row>
    <row r="146" spans="1:27">
      <c r="A146" s="16" t="s">
        <v>817</v>
      </c>
      <c r="B146" s="16" t="s">
        <v>818</v>
      </c>
      <c r="C146" s="16" t="s">
        <v>845</v>
      </c>
      <c r="D146" s="16"/>
      <c r="E146" s="16">
        <v>93</v>
      </c>
      <c r="F146" s="16" t="s">
        <v>819</v>
      </c>
      <c r="G146" s="16" t="s">
        <v>773</v>
      </c>
      <c r="H146" s="16" t="s">
        <v>773</v>
      </c>
      <c r="I146" s="16"/>
      <c r="J146" s="16"/>
      <c r="K146" s="5"/>
      <c r="L146" s="5" t="s">
        <v>55</v>
      </c>
      <c r="M146" s="16"/>
      <c r="N146" s="16" t="s">
        <v>213</v>
      </c>
      <c r="O146" s="16" t="s">
        <v>197</v>
      </c>
      <c r="P146" s="16" t="s">
        <v>58</v>
      </c>
      <c r="Q146" s="16" t="s">
        <v>36</v>
      </c>
      <c r="R146" s="16"/>
      <c r="S146" s="16" t="s">
        <v>642</v>
      </c>
      <c r="V146" s="16" t="s">
        <v>642</v>
      </c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6" s="9">
        <f>+DATE(YEAR(Control[[#This Row],[Fecha Requisición]]),MONTH(Control[[#This Row],[Fecha Requisición]]),1)</f>
        <v>46204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31</v>
      </c>
    </row>
    <row r="147" spans="1:27">
      <c r="A147" s="16" t="s">
        <v>861</v>
      </c>
      <c r="B147" s="16" t="s">
        <v>862</v>
      </c>
      <c r="C147" s="16" t="s">
        <v>875</v>
      </c>
      <c r="D147" s="16"/>
      <c r="E147" s="16">
        <v>97</v>
      </c>
      <c r="F147" s="16" t="s">
        <v>863</v>
      </c>
      <c r="G147" s="16" t="s">
        <v>864</v>
      </c>
      <c r="H147" s="16" t="s">
        <v>864</v>
      </c>
      <c r="I147" s="16"/>
      <c r="J147" s="16"/>
      <c r="K147" s="5"/>
      <c r="L147" s="5" t="s">
        <v>31</v>
      </c>
      <c r="M147" s="16"/>
      <c r="N147" s="16" t="s">
        <v>865</v>
      </c>
      <c r="O147" s="16" t="s">
        <v>197</v>
      </c>
      <c r="P147" s="16" t="s">
        <v>124</v>
      </c>
      <c r="Q147" s="16" t="s">
        <v>59</v>
      </c>
      <c r="R147" s="16"/>
      <c r="S147" s="16" t="s">
        <v>517</v>
      </c>
      <c r="V147" s="16" t="s">
        <v>822</v>
      </c>
      <c r="W1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7" s="9">
        <f>+DATE(YEAR(Control[[#This Row],[Fecha Requisición]]),MONTH(Control[[#This Row],[Fecha Requisición]]),1)</f>
        <v>46204</v>
      </c>
      <c r="Y147" s="15" t="str">
        <f>+IF(Control[[#This Row],[Fecha de entrega]]="","",NETWORKDAYS(Control[[#This Row],[Fecha Requisición]],Control[[#This Row],[Fecha de entrega]]))</f>
        <v/>
      </c>
      <c r="Z147" s="16"/>
      <c r="AA147" s="14">
        <f>+_xlfn.ISOWEEKNUM(Control[[#This Row],[Fecha Requisición]])</f>
        <v>27</v>
      </c>
    </row>
    <row r="148" spans="1:27">
      <c r="A148" s="16" t="s">
        <v>898</v>
      </c>
      <c r="B148" s="16" t="s">
        <v>899</v>
      </c>
      <c r="C148" s="16" t="s">
        <v>900</v>
      </c>
      <c r="D148" s="16"/>
      <c r="E148" s="16">
        <v>102</v>
      </c>
      <c r="F148" s="16" t="s">
        <v>901</v>
      </c>
      <c r="G148" s="16" t="s">
        <v>902</v>
      </c>
      <c r="H148" s="16" t="s">
        <v>902</v>
      </c>
      <c r="I148" s="16"/>
      <c r="J148" s="16"/>
      <c r="K148" s="5"/>
      <c r="L148" s="5" t="s">
        <v>31</v>
      </c>
      <c r="M148" s="16"/>
      <c r="N148" s="16" t="s">
        <v>219</v>
      </c>
      <c r="O148" s="16" t="s">
        <v>870</v>
      </c>
      <c r="P148" s="16"/>
      <c r="Q148" s="16" t="s">
        <v>36</v>
      </c>
      <c r="R148" s="16"/>
      <c r="S148" s="16" t="s">
        <v>517</v>
      </c>
      <c r="V148" s="16" t="s">
        <v>961</v>
      </c>
      <c r="W1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8" s="9">
        <f>+DATE(YEAR(Control[[#This Row],[Fecha Requisición]]),MONTH(Control[[#This Row],[Fecha Requisición]]),1)</f>
        <v>46235</v>
      </c>
      <c r="Y148" s="15" t="str">
        <f>+IF(Control[[#This Row],[Fecha de entrega]]="","",NETWORKDAYS(Control[[#This Row],[Fecha Requisición]],Control[[#This Row],[Fecha de entrega]]))</f>
        <v/>
      </c>
      <c r="Z148" s="16"/>
      <c r="AA148" s="14">
        <f>+_xlfn.ISOWEEKNUM(Control[[#This Row],[Fecha Requisición]])</f>
        <v>32</v>
      </c>
    </row>
    <row r="149" spans="1:27">
      <c r="A149" s="16" t="s">
        <v>903</v>
      </c>
      <c r="B149" s="16" t="s">
        <v>904</v>
      </c>
      <c r="C149" s="16" t="s">
        <v>905</v>
      </c>
      <c r="D149" s="16"/>
      <c r="E149" s="16">
        <v>103</v>
      </c>
      <c r="F149" s="16" t="s">
        <v>906</v>
      </c>
      <c r="G149" s="16" t="s">
        <v>902</v>
      </c>
      <c r="H149" s="16" t="s">
        <v>902</v>
      </c>
      <c r="I149" s="16"/>
      <c r="J149" s="16"/>
      <c r="K149" s="5"/>
      <c r="L149" s="5" t="s">
        <v>55</v>
      </c>
      <c r="M149" s="16"/>
      <c r="N149" s="16" t="s">
        <v>907</v>
      </c>
      <c r="O149" s="16" t="s">
        <v>384</v>
      </c>
      <c r="P149" s="16" t="s">
        <v>58</v>
      </c>
      <c r="Q149" s="16" t="s">
        <v>36</v>
      </c>
      <c r="R149" s="16"/>
      <c r="S149" s="16" t="s">
        <v>517</v>
      </c>
      <c r="V149" s="16" t="s">
        <v>822</v>
      </c>
      <c r="W14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9" s="9">
        <f>+DATE(YEAR(Control[[#This Row],[Fecha Requisición]]),MONTH(Control[[#This Row],[Fecha Requisición]]),1)</f>
        <v>46235</v>
      </c>
      <c r="Y149" s="15" t="str">
        <f>+IF(Control[[#This Row],[Fecha de entrega]]="","",NETWORKDAYS(Control[[#This Row],[Fecha Requisición]],Control[[#This Row],[Fecha de entrega]]))</f>
        <v/>
      </c>
      <c r="Z149" s="16"/>
      <c r="AA149" s="14">
        <f>+_xlfn.ISOWEEKNUM(Control[[#This Row],[Fecha Requisición]])</f>
        <v>32</v>
      </c>
    </row>
    <row r="150" spans="1:27">
      <c r="A150" s="16" t="s">
        <v>914</v>
      </c>
      <c r="B150" s="16" t="s">
        <v>915</v>
      </c>
      <c r="C150" s="16" t="s">
        <v>916</v>
      </c>
      <c r="D150" s="16"/>
      <c r="E150" s="16">
        <v>105</v>
      </c>
      <c r="F150" s="16" t="s">
        <v>917</v>
      </c>
      <c r="G150" s="16" t="s">
        <v>912</v>
      </c>
      <c r="H150" s="16" t="s">
        <v>912</v>
      </c>
      <c r="I150" s="16"/>
      <c r="J150" s="16"/>
      <c r="K150" s="5"/>
      <c r="L150" s="5" t="s">
        <v>55</v>
      </c>
      <c r="M150" s="16"/>
      <c r="N150" s="16" t="s">
        <v>907</v>
      </c>
      <c r="O150" s="16" t="s">
        <v>384</v>
      </c>
      <c r="P150" s="16" t="s">
        <v>58</v>
      </c>
      <c r="Q150" s="16" t="s">
        <v>36</v>
      </c>
      <c r="R150" s="16"/>
      <c r="S150" s="16" t="s">
        <v>517</v>
      </c>
      <c r="V150" s="16" t="s">
        <v>776</v>
      </c>
      <c r="W15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0" s="9">
        <f>+DATE(YEAR(Control[[#This Row],[Fecha Requisición]]),MONTH(Control[[#This Row],[Fecha Requisición]]),1)</f>
        <v>46235</v>
      </c>
      <c r="Y150" s="15" t="str">
        <f>+IF(Control[[#This Row],[Fecha de entrega]]="","",NETWORKDAYS(Control[[#This Row],[Fecha Requisición]],Control[[#This Row],[Fecha de entrega]]))</f>
        <v/>
      </c>
      <c r="Z150" s="16"/>
      <c r="AA150" s="14">
        <f>+_xlfn.ISOWEEKNUM(Control[[#This Row],[Fecha Requisición]])</f>
        <v>33</v>
      </c>
    </row>
    <row r="151" spans="1:27">
      <c r="A151" s="16" t="s">
        <v>942</v>
      </c>
      <c r="B151" s="16" t="s">
        <v>943</v>
      </c>
      <c r="C151" s="16"/>
      <c r="D151" s="16"/>
      <c r="E151" s="16">
        <v>106</v>
      </c>
      <c r="F151" s="16" t="s">
        <v>944</v>
      </c>
      <c r="G151" s="16" t="s">
        <v>945</v>
      </c>
      <c r="H151" s="16"/>
      <c r="I151" s="16"/>
      <c r="J151" s="16"/>
      <c r="K151" s="5"/>
      <c r="L151" s="5" t="s">
        <v>31</v>
      </c>
      <c r="M151" s="16"/>
      <c r="N151" s="16" t="s">
        <v>204</v>
      </c>
      <c r="O151" s="16" t="s">
        <v>57</v>
      </c>
      <c r="P151" s="16" t="s">
        <v>58</v>
      </c>
      <c r="Q151" s="16" t="s">
        <v>36</v>
      </c>
      <c r="R151" s="16"/>
      <c r="S151" s="16" t="s">
        <v>517</v>
      </c>
      <c r="V151" s="16" t="s">
        <v>776</v>
      </c>
      <c r="W15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1" s="9">
        <f>+DATE(YEAR(Control[[#This Row],[Fecha Requisición]]),MONTH(Control[[#This Row],[Fecha Requisición]]),1)</f>
        <v>46235</v>
      </c>
      <c r="Y151" s="15" t="str">
        <f>+IF(Control[[#This Row],[Fecha de entrega]]="","",NETWORKDAYS(Control[[#This Row],[Fecha Requisición]],Control[[#This Row],[Fecha de entrega]]))</f>
        <v/>
      </c>
      <c r="Z151" s="16"/>
      <c r="AA151" s="14">
        <f>+_xlfn.ISOWEEKNUM(Control[[#This Row],[Fecha Requisición]])</f>
        <v>33</v>
      </c>
    </row>
    <row r="152" spans="1:27">
      <c r="A152" s="16" t="s">
        <v>946</v>
      </c>
      <c r="B152" s="16" t="s">
        <v>947</v>
      </c>
      <c r="C152" s="16"/>
      <c r="D152" s="16"/>
      <c r="E152" s="16">
        <v>107</v>
      </c>
      <c r="F152" s="16" t="s">
        <v>948</v>
      </c>
      <c r="G152" s="16" t="s">
        <v>945</v>
      </c>
      <c r="H152" s="16"/>
      <c r="I152" s="16"/>
      <c r="J152" s="16"/>
      <c r="K152" s="5"/>
      <c r="L152" s="5" t="s">
        <v>55</v>
      </c>
      <c r="M152" s="16"/>
      <c r="N152" s="16" t="s">
        <v>204</v>
      </c>
      <c r="O152" s="16" t="s">
        <v>57</v>
      </c>
      <c r="P152" s="16" t="s">
        <v>58</v>
      </c>
      <c r="Q152" s="16" t="s">
        <v>36</v>
      </c>
      <c r="R152" s="16"/>
      <c r="S152" s="16" t="s">
        <v>517</v>
      </c>
      <c r="V152" s="16" t="s">
        <v>776</v>
      </c>
      <c r="W15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2" s="9">
        <f>+DATE(YEAR(Control[[#This Row],[Fecha Requisición]]),MONTH(Control[[#This Row],[Fecha Requisición]]),1)</f>
        <v>46235</v>
      </c>
      <c r="Y152" s="15" t="str">
        <f>+IF(Control[[#This Row],[Fecha de entrega]]="","",NETWORKDAYS(Control[[#This Row],[Fecha Requisición]],Control[[#This Row],[Fecha de entrega]]))</f>
        <v/>
      </c>
      <c r="Z152" s="16"/>
      <c r="AA152" s="14">
        <f>+_xlfn.ISOWEEKNUM(Control[[#This Row],[Fecha Requisición]])</f>
        <v>33</v>
      </c>
    </row>
    <row r="153" spans="1:27">
      <c r="Z153" s="2"/>
    </row>
    <row r="154" spans="1:27">
      <c r="Z154" s="2"/>
    </row>
    <row r="155" spans="1:27">
      <c r="Z155" s="2"/>
    </row>
    <row r="167" spans="3:4" ht="15.75" thickBot="1"/>
    <row r="168" spans="3:4" ht="15.75" thickBot="1">
      <c r="C168" s="13" t="s">
        <v>616</v>
      </c>
      <c r="D168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10"/>
  <sheetViews>
    <sheetView topLeftCell="A28" workbookViewId="0">
      <selection activeCell="E65" sqref="E65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7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643</v>
      </c>
      <c r="G2" s="17"/>
    </row>
    <row r="3" spans="1:7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643</v>
      </c>
      <c r="G3" s="17"/>
    </row>
    <row r="4" spans="1:7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643</v>
      </c>
      <c r="G4" s="17"/>
    </row>
    <row r="5" spans="1:7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643</v>
      </c>
      <c r="G5" s="17"/>
    </row>
    <row r="6" spans="1:7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643</v>
      </c>
      <c r="G6" s="17"/>
    </row>
    <row r="7" spans="1:7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643</v>
      </c>
      <c r="G7" s="17"/>
    </row>
    <row r="8" spans="1:7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643</v>
      </c>
      <c r="G8" s="17"/>
    </row>
    <row r="9" spans="1:7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643</v>
      </c>
      <c r="G9" s="17"/>
    </row>
    <row r="10" spans="1:7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643</v>
      </c>
      <c r="G10" s="17"/>
    </row>
    <row r="11" spans="1:7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643</v>
      </c>
      <c r="G11" s="17"/>
    </row>
    <row r="12" spans="1:7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720</v>
      </c>
      <c r="F12" s="16" t="s">
        <v>643</v>
      </c>
      <c r="G12" s="17"/>
    </row>
    <row r="13" spans="1:7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643</v>
      </c>
      <c r="G13" s="17"/>
    </row>
    <row r="14" spans="1:7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643</v>
      </c>
      <c r="G14" s="17"/>
    </row>
    <row r="15" spans="1:7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643</v>
      </c>
      <c r="G15" s="17"/>
    </row>
    <row r="16" spans="1:7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643</v>
      </c>
      <c r="G16" s="17"/>
    </row>
    <row r="17" spans="1:8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643</v>
      </c>
      <c r="G17" s="17"/>
    </row>
    <row r="18" spans="1:8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643</v>
      </c>
      <c r="G18" s="17"/>
    </row>
    <row r="19" spans="1:8">
      <c r="A19" s="21">
        <v>18</v>
      </c>
      <c r="B19" s="19" t="s">
        <v>642</v>
      </c>
      <c r="C19" s="22" t="s">
        <v>515</v>
      </c>
      <c r="D19" s="21" t="s">
        <v>642</v>
      </c>
      <c r="E19" s="21" t="s">
        <v>642</v>
      </c>
      <c r="F19" s="19" t="s">
        <v>642</v>
      </c>
      <c r="G19" s="17"/>
    </row>
    <row r="20" spans="1:8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643</v>
      </c>
      <c r="G20" s="17"/>
    </row>
    <row r="21" spans="1:8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643</v>
      </c>
      <c r="G21" s="17"/>
    </row>
    <row r="22" spans="1:8">
      <c r="A22" s="21">
        <v>21</v>
      </c>
      <c r="B22" s="19" t="s">
        <v>642</v>
      </c>
      <c r="C22" s="22" t="s">
        <v>515</v>
      </c>
      <c r="D22" s="21" t="s">
        <v>642</v>
      </c>
      <c r="E22" s="21" t="s">
        <v>725</v>
      </c>
      <c r="F22" s="19" t="s">
        <v>642</v>
      </c>
      <c r="G22" s="17"/>
    </row>
    <row r="23" spans="1:8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721</v>
      </c>
      <c r="G23" s="17"/>
    </row>
    <row r="24" spans="1:8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643</v>
      </c>
      <c r="G24" s="17"/>
    </row>
    <row r="25" spans="1:8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643</v>
      </c>
      <c r="G25" s="17"/>
      <c r="H25">
        <v>2</v>
      </c>
    </row>
    <row r="26" spans="1:8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643</v>
      </c>
      <c r="G26" s="17"/>
    </row>
    <row r="27" spans="1:8">
      <c r="A27" s="21">
        <v>26</v>
      </c>
      <c r="B27" s="19" t="s">
        <v>642</v>
      </c>
      <c r="C27" s="22" t="s">
        <v>642</v>
      </c>
      <c r="D27" s="23" t="s">
        <v>642</v>
      </c>
      <c r="E27" s="23" t="s">
        <v>642</v>
      </c>
      <c r="F27" s="19" t="s">
        <v>642</v>
      </c>
      <c r="G27" s="17"/>
    </row>
    <row r="28" spans="1:8">
      <c r="A28" s="21">
        <v>27</v>
      </c>
      <c r="B28" s="19" t="s">
        <v>642</v>
      </c>
      <c r="C28" s="22" t="s">
        <v>642</v>
      </c>
      <c r="D28" s="23" t="s">
        <v>642</v>
      </c>
      <c r="E28" s="23" t="s">
        <v>642</v>
      </c>
      <c r="F28" s="19" t="s">
        <v>642</v>
      </c>
      <c r="G28" s="17"/>
    </row>
    <row r="29" spans="1:8">
      <c r="A29" s="21">
        <v>28</v>
      </c>
      <c r="B29" s="19" t="s">
        <v>642</v>
      </c>
      <c r="C29" s="22" t="s">
        <v>642</v>
      </c>
      <c r="D29" s="23" t="s">
        <v>642</v>
      </c>
      <c r="E29" s="23" t="s">
        <v>642</v>
      </c>
      <c r="F29" s="19" t="s">
        <v>642</v>
      </c>
      <c r="G29" s="17"/>
    </row>
    <row r="30" spans="1:8">
      <c r="A30" s="21">
        <v>29</v>
      </c>
      <c r="B30" s="19" t="s">
        <v>642</v>
      </c>
      <c r="C30" s="22" t="s">
        <v>515</v>
      </c>
      <c r="D30" s="22" t="s">
        <v>642</v>
      </c>
      <c r="E30" s="22" t="s">
        <v>642</v>
      </c>
      <c r="F30" s="19" t="s">
        <v>642</v>
      </c>
      <c r="G30" s="17"/>
    </row>
    <row r="31" spans="1:8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643</v>
      </c>
      <c r="G31" s="17"/>
    </row>
    <row r="32" spans="1:8">
      <c r="A32" s="17">
        <v>31</v>
      </c>
      <c r="B32" s="16" t="s">
        <v>514</v>
      </c>
      <c r="C32" s="20" t="s">
        <v>516</v>
      </c>
      <c r="D32" s="17"/>
      <c r="E32" s="18">
        <v>46206</v>
      </c>
      <c r="F32" s="16" t="s">
        <v>643</v>
      </c>
      <c r="G32" s="17"/>
    </row>
    <row r="33" spans="1:7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643</v>
      </c>
      <c r="G33" s="17"/>
    </row>
    <row r="34" spans="1:7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643</v>
      </c>
      <c r="G34" s="17"/>
    </row>
    <row r="35" spans="1:7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643</v>
      </c>
      <c r="G35" s="17"/>
    </row>
    <row r="36" spans="1:7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643</v>
      </c>
      <c r="G36" s="17"/>
    </row>
    <row r="37" spans="1:7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643</v>
      </c>
      <c r="G37" s="17"/>
    </row>
    <row r="38" spans="1:7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643</v>
      </c>
      <c r="G38" s="17"/>
    </row>
    <row r="39" spans="1:7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643</v>
      </c>
      <c r="G39" s="17"/>
    </row>
    <row r="40" spans="1:7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643</v>
      </c>
      <c r="G40" s="17"/>
    </row>
    <row r="41" spans="1:7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643</v>
      </c>
      <c r="G41" s="17"/>
    </row>
    <row r="42" spans="1:7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643</v>
      </c>
      <c r="G42" s="17"/>
    </row>
    <row r="43" spans="1:7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722</v>
      </c>
      <c r="G43" s="17"/>
    </row>
    <row r="44" spans="1:7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643</v>
      </c>
      <c r="G44" s="17"/>
    </row>
    <row r="45" spans="1:7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723</v>
      </c>
      <c r="G45" s="17"/>
    </row>
    <row r="46" spans="1:7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643</v>
      </c>
      <c r="G46" s="17"/>
    </row>
    <row r="47" spans="1:7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724</v>
      </c>
      <c r="G47" s="17"/>
    </row>
    <row r="48" spans="1:7">
      <c r="A48" s="21">
        <v>47</v>
      </c>
      <c r="B48" s="19" t="s">
        <v>642</v>
      </c>
      <c r="C48" s="21" t="s">
        <v>642</v>
      </c>
      <c r="D48" s="21" t="s">
        <v>642</v>
      </c>
      <c r="E48" s="21" t="s">
        <v>642</v>
      </c>
      <c r="F48" s="19" t="s">
        <v>642</v>
      </c>
      <c r="G48" s="17"/>
    </row>
    <row r="49" spans="1:7">
      <c r="A49" s="21">
        <v>48</v>
      </c>
      <c r="B49" s="19" t="s">
        <v>642</v>
      </c>
      <c r="C49" s="22" t="s">
        <v>642</v>
      </c>
      <c r="D49" s="21" t="s">
        <v>642</v>
      </c>
      <c r="E49" s="21" t="s">
        <v>725</v>
      </c>
      <c r="F49" s="19" t="s">
        <v>642</v>
      </c>
      <c r="G49" s="17"/>
    </row>
    <row r="50" spans="1:7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643</v>
      </c>
      <c r="G50" s="17"/>
    </row>
    <row r="51" spans="1:7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643</v>
      </c>
      <c r="G51" s="17"/>
    </row>
    <row r="52" spans="1:7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643</v>
      </c>
      <c r="G52" s="17"/>
    </row>
    <row r="53" spans="1:7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643</v>
      </c>
      <c r="G53" s="17"/>
    </row>
    <row r="54" spans="1:7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643</v>
      </c>
      <c r="G54" s="17"/>
    </row>
    <row r="55" spans="1:7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643</v>
      </c>
      <c r="G55" s="17"/>
    </row>
    <row r="56" spans="1:7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726</v>
      </c>
      <c r="G56" s="17"/>
    </row>
    <row r="57" spans="1:7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643</v>
      </c>
      <c r="G57" s="17"/>
    </row>
    <row r="58" spans="1:7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727</v>
      </c>
      <c r="G58" s="17"/>
    </row>
    <row r="59" spans="1:7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643</v>
      </c>
      <c r="G59" s="17"/>
    </row>
    <row r="60" spans="1:7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643</v>
      </c>
      <c r="G60" s="17"/>
    </row>
    <row r="61" spans="1:7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643</v>
      </c>
      <c r="G61" s="17"/>
    </row>
    <row r="62" spans="1:7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643</v>
      </c>
      <c r="G62" s="17"/>
    </row>
    <row r="63" spans="1:7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643</v>
      </c>
      <c r="G63" s="17"/>
    </row>
    <row r="64" spans="1:7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643</v>
      </c>
      <c r="G64" s="17"/>
    </row>
    <row r="65" spans="1:7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643</v>
      </c>
      <c r="G65" s="17"/>
    </row>
    <row r="66" spans="1:7">
      <c r="A66" s="17">
        <v>65</v>
      </c>
      <c r="B66" s="16" t="s">
        <v>514</v>
      </c>
      <c r="C66" s="20" t="s">
        <v>515</v>
      </c>
      <c r="D66" s="17" t="s">
        <v>956</v>
      </c>
      <c r="E66" s="18">
        <v>46230</v>
      </c>
      <c r="F66" s="16" t="s">
        <v>711</v>
      </c>
      <c r="G66" s="17"/>
    </row>
    <row r="67" spans="1:7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643</v>
      </c>
      <c r="G67" s="17"/>
    </row>
    <row r="68" spans="1:7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643</v>
      </c>
      <c r="G68" s="17"/>
    </row>
    <row r="69" spans="1:7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643</v>
      </c>
      <c r="G69" s="17"/>
    </row>
    <row r="70" spans="1:7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644</v>
      </c>
      <c r="G70" s="17"/>
    </row>
    <row r="71" spans="1:7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643</v>
      </c>
      <c r="G71" s="17"/>
    </row>
    <row r="72" spans="1:7">
      <c r="A72" s="21">
        <v>71</v>
      </c>
      <c r="B72" s="19" t="s">
        <v>725</v>
      </c>
      <c r="C72" s="22" t="s">
        <v>515</v>
      </c>
      <c r="D72" s="21" t="s">
        <v>642</v>
      </c>
      <c r="E72" s="21" t="s">
        <v>725</v>
      </c>
      <c r="F72" s="19" t="s">
        <v>642</v>
      </c>
      <c r="G72" s="17"/>
    </row>
    <row r="73" spans="1:7">
      <c r="A73" s="21">
        <v>72</v>
      </c>
      <c r="B73" s="19" t="s">
        <v>642</v>
      </c>
      <c r="C73" s="22" t="s">
        <v>515</v>
      </c>
      <c r="D73" s="21" t="s">
        <v>642</v>
      </c>
      <c r="E73" s="21" t="s">
        <v>642</v>
      </c>
      <c r="F73" s="19" t="s">
        <v>642</v>
      </c>
      <c r="G73" s="17"/>
    </row>
    <row r="74" spans="1:7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643</v>
      </c>
      <c r="G74" s="17"/>
    </row>
    <row r="75" spans="1:7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643</v>
      </c>
      <c r="G75" s="17"/>
    </row>
    <row r="76" spans="1:7">
      <c r="A76" s="17">
        <v>75</v>
      </c>
      <c r="B76" s="16" t="s">
        <v>514</v>
      </c>
      <c r="C76" s="17" t="s">
        <v>516</v>
      </c>
      <c r="D76" s="17" t="s">
        <v>774</v>
      </c>
      <c r="E76" s="18">
        <v>46232</v>
      </c>
      <c r="F76" s="16" t="s">
        <v>728</v>
      </c>
      <c r="G76" s="17"/>
    </row>
    <row r="77" spans="1:7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729</v>
      </c>
      <c r="G77" s="17"/>
    </row>
    <row r="78" spans="1:7">
      <c r="A78" s="17">
        <v>77</v>
      </c>
      <c r="B78" s="16" t="s">
        <v>514</v>
      </c>
      <c r="C78" s="17" t="s">
        <v>516</v>
      </c>
      <c r="D78" s="17"/>
      <c r="E78" s="17"/>
      <c r="F78" s="16" t="s">
        <v>760</v>
      </c>
      <c r="G78" s="17"/>
    </row>
    <row r="79" spans="1:7">
      <c r="A79" s="17">
        <v>78</v>
      </c>
      <c r="B79" s="16" t="s">
        <v>514</v>
      </c>
      <c r="C79" s="17" t="s">
        <v>515</v>
      </c>
      <c r="D79" s="17"/>
      <c r="E79" s="17"/>
      <c r="F79" s="16" t="s">
        <v>761</v>
      </c>
      <c r="G79" s="17"/>
    </row>
    <row r="80" spans="1:7">
      <c r="A80" s="17">
        <v>79</v>
      </c>
      <c r="B80" s="16" t="s">
        <v>514</v>
      </c>
      <c r="C80" s="17" t="s">
        <v>516</v>
      </c>
      <c r="D80" s="17"/>
      <c r="E80" s="17"/>
      <c r="F80" s="16" t="s">
        <v>820</v>
      </c>
      <c r="G80" s="17"/>
    </row>
    <row r="81" spans="1:7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643</v>
      </c>
      <c r="G81" s="17"/>
    </row>
    <row r="82" spans="1:7">
      <c r="A82" s="17">
        <v>81</v>
      </c>
      <c r="B82" s="16" t="s">
        <v>514</v>
      </c>
      <c r="C82" s="17" t="s">
        <v>515</v>
      </c>
      <c r="D82" s="17"/>
      <c r="E82" s="18">
        <v>46248</v>
      </c>
      <c r="F82" s="16" t="s">
        <v>643</v>
      </c>
      <c r="G82" s="17"/>
    </row>
    <row r="83" spans="1:7">
      <c r="A83" s="17">
        <v>82</v>
      </c>
      <c r="B83" s="16" t="s">
        <v>514</v>
      </c>
      <c r="C83" s="17" t="s">
        <v>515</v>
      </c>
      <c r="D83" s="17" t="s">
        <v>517</v>
      </c>
      <c r="E83" s="18">
        <v>46239</v>
      </c>
      <c r="F83" s="16" t="s">
        <v>643</v>
      </c>
      <c r="G83" s="17"/>
    </row>
    <row r="84" spans="1:7">
      <c r="A84" s="17">
        <v>83</v>
      </c>
      <c r="B84" s="16" t="s">
        <v>514</v>
      </c>
      <c r="C84" s="17" t="s">
        <v>515</v>
      </c>
      <c r="D84" s="17"/>
      <c r="E84" s="18">
        <v>46246</v>
      </c>
      <c r="F84" s="16" t="s">
        <v>957</v>
      </c>
      <c r="G84" s="17"/>
    </row>
    <row r="85" spans="1:7">
      <c r="A85" s="17">
        <v>84</v>
      </c>
      <c r="B85" s="16" t="s">
        <v>514</v>
      </c>
      <c r="C85" s="17" t="s">
        <v>515</v>
      </c>
      <c r="D85" s="17"/>
      <c r="E85" s="18">
        <v>46246</v>
      </c>
      <c r="F85" s="16" t="s">
        <v>957</v>
      </c>
      <c r="G85" s="17"/>
    </row>
    <row r="86" spans="1:7">
      <c r="A86" s="17">
        <v>85</v>
      </c>
      <c r="B86" s="16" t="s">
        <v>514</v>
      </c>
      <c r="C86" s="17" t="s">
        <v>515</v>
      </c>
      <c r="D86" s="17"/>
      <c r="E86" s="18">
        <v>46246</v>
      </c>
      <c r="F86" s="16" t="s">
        <v>957</v>
      </c>
      <c r="G86" s="17"/>
    </row>
    <row r="87" spans="1:7">
      <c r="A87" s="17">
        <v>86</v>
      </c>
      <c r="B87" s="16" t="s">
        <v>514</v>
      </c>
      <c r="C87" s="17" t="s">
        <v>515</v>
      </c>
      <c r="D87" s="17"/>
      <c r="E87" s="18">
        <v>46246</v>
      </c>
      <c r="F87" s="16" t="s">
        <v>957</v>
      </c>
      <c r="G87" s="17"/>
    </row>
    <row r="88" spans="1:7">
      <c r="A88" s="17">
        <v>87</v>
      </c>
      <c r="B88" s="16" t="s">
        <v>517</v>
      </c>
      <c r="C88" s="17" t="s">
        <v>515</v>
      </c>
      <c r="D88" s="17"/>
      <c r="E88" s="17"/>
      <c r="F88" s="16" t="s">
        <v>821</v>
      </c>
      <c r="G88" s="17"/>
    </row>
    <row r="89" spans="1:7">
      <c r="A89" s="17">
        <v>88</v>
      </c>
      <c r="B89" s="16" t="s">
        <v>517</v>
      </c>
      <c r="C89" s="17" t="s">
        <v>515</v>
      </c>
      <c r="D89" s="17"/>
      <c r="E89" s="17"/>
      <c r="F89" s="16" t="s">
        <v>821</v>
      </c>
      <c r="G89" s="17"/>
    </row>
    <row r="90" spans="1:7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777</v>
      </c>
      <c r="G90" s="17"/>
    </row>
    <row r="91" spans="1:7">
      <c r="A91" s="17">
        <v>90</v>
      </c>
      <c r="B91" s="16" t="s">
        <v>514</v>
      </c>
      <c r="C91" s="17" t="s">
        <v>515</v>
      </c>
      <c r="D91" s="17"/>
      <c r="E91" s="17"/>
      <c r="F91" s="16" t="s">
        <v>823</v>
      </c>
      <c r="G91" s="17"/>
    </row>
    <row r="92" spans="1:7">
      <c r="A92" s="17">
        <v>91</v>
      </c>
      <c r="B92" s="16" t="s">
        <v>514</v>
      </c>
      <c r="C92" s="17" t="s">
        <v>515</v>
      </c>
      <c r="D92" s="17"/>
      <c r="E92" s="17"/>
      <c r="F92" s="16" t="s">
        <v>823</v>
      </c>
      <c r="G92" s="17"/>
    </row>
    <row r="93" spans="1:7">
      <c r="A93" s="17">
        <v>92</v>
      </c>
      <c r="B93" s="16" t="s">
        <v>514</v>
      </c>
      <c r="C93" s="17" t="s">
        <v>515</v>
      </c>
      <c r="D93" s="17"/>
      <c r="E93" s="18">
        <v>46246</v>
      </c>
      <c r="F93" s="16" t="s">
        <v>777</v>
      </c>
      <c r="G93" s="17"/>
    </row>
    <row r="94" spans="1:7">
      <c r="A94" s="17">
        <v>93</v>
      </c>
      <c r="B94" s="19" t="s">
        <v>642</v>
      </c>
      <c r="C94" s="21" t="s">
        <v>515</v>
      </c>
      <c r="D94" s="21"/>
      <c r="E94" s="21"/>
      <c r="F94" s="19" t="s">
        <v>642</v>
      </c>
      <c r="G94" s="17"/>
    </row>
    <row r="95" spans="1:7">
      <c r="A95" s="17">
        <v>94</v>
      </c>
      <c r="B95" s="16" t="s">
        <v>514</v>
      </c>
      <c r="C95" s="17" t="s">
        <v>515</v>
      </c>
      <c r="D95" s="17"/>
      <c r="E95" s="18">
        <v>46238</v>
      </c>
      <c r="F95" s="16" t="s">
        <v>775</v>
      </c>
      <c r="G95" s="17"/>
    </row>
    <row r="96" spans="1:7">
      <c r="A96" s="17">
        <v>95</v>
      </c>
      <c r="B96" s="16" t="s">
        <v>514</v>
      </c>
      <c r="C96" s="17" t="s">
        <v>516</v>
      </c>
      <c r="D96" s="17"/>
      <c r="E96" s="18">
        <v>46247</v>
      </c>
      <c r="F96" s="16" t="s">
        <v>958</v>
      </c>
      <c r="G96" s="17"/>
    </row>
    <row r="97" spans="1:7">
      <c r="A97" s="17">
        <v>96</v>
      </c>
      <c r="B97" s="16" t="s">
        <v>514</v>
      </c>
      <c r="C97" s="17" t="s">
        <v>516</v>
      </c>
      <c r="D97" s="17"/>
      <c r="E97" s="18">
        <v>46238</v>
      </c>
      <c r="F97" s="16" t="s">
        <v>876</v>
      </c>
      <c r="G97" s="17"/>
    </row>
    <row r="98" spans="1:7">
      <c r="A98" s="17">
        <v>97</v>
      </c>
      <c r="B98" s="16" t="s">
        <v>517</v>
      </c>
      <c r="C98" s="17" t="s">
        <v>515</v>
      </c>
      <c r="D98" s="17"/>
      <c r="E98" s="17"/>
      <c r="F98" s="16" t="s">
        <v>822</v>
      </c>
      <c r="G98" s="17"/>
    </row>
    <row r="99" spans="1:7">
      <c r="A99" s="17">
        <v>98</v>
      </c>
      <c r="B99" s="16" t="s">
        <v>514</v>
      </c>
      <c r="C99" s="17" t="s">
        <v>515</v>
      </c>
      <c r="D99" s="17"/>
      <c r="E99" s="17"/>
      <c r="F99" s="16" t="s">
        <v>959</v>
      </c>
      <c r="G99" s="17"/>
    </row>
    <row r="100" spans="1:7">
      <c r="A100" s="17">
        <v>99</v>
      </c>
      <c r="B100" s="16" t="s">
        <v>514</v>
      </c>
      <c r="C100" s="17" t="s">
        <v>516</v>
      </c>
      <c r="D100" s="17"/>
      <c r="E100" s="17"/>
      <c r="F100" s="16" t="s">
        <v>960</v>
      </c>
      <c r="G100" s="17"/>
    </row>
    <row r="101" spans="1:7">
      <c r="A101" s="17">
        <v>100</v>
      </c>
      <c r="B101" s="16" t="s">
        <v>514</v>
      </c>
      <c r="C101" s="17" t="s">
        <v>516</v>
      </c>
      <c r="D101" s="17"/>
      <c r="E101" s="18">
        <v>46244</v>
      </c>
      <c r="F101" s="16" t="s">
        <v>643</v>
      </c>
      <c r="G101" s="17"/>
    </row>
    <row r="102" spans="1:7">
      <c r="A102" s="17">
        <v>101</v>
      </c>
      <c r="B102" s="16" t="s">
        <v>514</v>
      </c>
      <c r="C102" s="17" t="s">
        <v>515</v>
      </c>
      <c r="D102" s="17"/>
      <c r="E102" s="18">
        <v>46247</v>
      </c>
      <c r="F102" s="16" t="s">
        <v>643</v>
      </c>
      <c r="G102" s="17"/>
    </row>
    <row r="103" spans="1:7">
      <c r="A103" s="17">
        <v>102</v>
      </c>
      <c r="B103" s="16" t="s">
        <v>517</v>
      </c>
      <c r="C103" s="17" t="s">
        <v>515</v>
      </c>
      <c r="D103" s="17"/>
      <c r="E103" s="17"/>
      <c r="F103" s="16" t="s">
        <v>961</v>
      </c>
      <c r="G103" s="17"/>
    </row>
    <row r="104" spans="1:7">
      <c r="A104" s="17">
        <v>103</v>
      </c>
      <c r="B104" s="16" t="s">
        <v>517</v>
      </c>
      <c r="C104" s="17" t="s">
        <v>516</v>
      </c>
      <c r="D104" s="17"/>
      <c r="E104" s="17"/>
      <c r="F104" s="16" t="s">
        <v>822</v>
      </c>
      <c r="G104" s="17"/>
    </row>
    <row r="105" spans="1:7">
      <c r="A105" s="17">
        <v>104</v>
      </c>
      <c r="B105" s="16" t="s">
        <v>514</v>
      </c>
      <c r="C105" s="17" t="s">
        <v>515</v>
      </c>
      <c r="D105" s="17"/>
      <c r="E105" s="18">
        <v>46247</v>
      </c>
      <c r="F105" s="16" t="s">
        <v>962</v>
      </c>
      <c r="G105" s="17"/>
    </row>
    <row r="106" spans="1:7">
      <c r="A106" s="17">
        <v>105</v>
      </c>
      <c r="B106" s="16" t="s">
        <v>517</v>
      </c>
      <c r="C106" s="17" t="s">
        <v>516</v>
      </c>
      <c r="D106" s="17"/>
      <c r="E106" s="17"/>
      <c r="F106" s="16" t="s">
        <v>776</v>
      </c>
      <c r="G106" s="17"/>
    </row>
    <row r="107" spans="1:7">
      <c r="A107" s="17">
        <v>106</v>
      </c>
      <c r="B107" s="16" t="s">
        <v>517</v>
      </c>
      <c r="C107" s="17" t="s">
        <v>515</v>
      </c>
      <c r="D107" s="17"/>
      <c r="E107" s="17"/>
      <c r="F107" s="16" t="s">
        <v>776</v>
      </c>
      <c r="G107" s="17"/>
    </row>
    <row r="108" spans="1:7">
      <c r="A108" s="17">
        <v>107</v>
      </c>
      <c r="B108" s="16" t="s">
        <v>517</v>
      </c>
      <c r="C108" s="17" t="s">
        <v>516</v>
      </c>
      <c r="D108" s="17"/>
      <c r="E108" s="17"/>
      <c r="F108" s="16" t="s">
        <v>776</v>
      </c>
      <c r="G108" s="17"/>
    </row>
    <row r="109" spans="1:7">
      <c r="A109" s="17">
        <v>108</v>
      </c>
      <c r="B109" s="25" t="s">
        <v>642</v>
      </c>
      <c r="C109" s="21"/>
      <c r="D109" s="21"/>
      <c r="E109" s="21"/>
      <c r="F109" s="19" t="s">
        <v>642</v>
      </c>
      <c r="G109" s="21"/>
    </row>
    <row r="110" spans="1:7">
      <c r="A110" s="17">
        <v>109</v>
      </c>
      <c r="B110" s="24" t="s">
        <v>514</v>
      </c>
      <c r="C110" s="17" t="s">
        <v>515</v>
      </c>
      <c r="D110" s="17"/>
      <c r="E110" s="17"/>
      <c r="F110" s="24" t="s">
        <v>963</v>
      </c>
      <c r="G110" s="17"/>
    </row>
  </sheetData>
  <conditionalFormatting sqref="B2:B110 C27:E29 C48:E48">
    <cfRule type="cellIs" dxfId="16" priority="1" operator="equal">
      <formula>"gestionado"</formula>
    </cfRule>
    <cfRule type="cellIs" dxfId="15" priority="2" operator="equal">
      <formula>"procesado"</formula>
    </cfRule>
    <cfRule type="cellIs" dxfId="14" priority="3" operator="equal">
      <formula>"pendiente"</formula>
    </cfRule>
    <cfRule type="cellIs" dxfId="13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2026-08-13T15:53:17Z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