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CC969D9E-C869-4BE0-AF18-26FE5A2DB04A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Tabla Control" sheetId="3" r:id="rId1"/>
    <sheet name="Estado solicitudes" sheetId="18" r:id="rId2"/>
    <sheet name="Anterior" sheetId="5" state="hidden" r:id="rId3"/>
  </sheets>
  <definedNames>
    <definedName name="DatosExternos_1" localSheetId="0" hidden="1">'Tabla Control'!$A$1:$V$220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2" i="3" l="1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29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W143" i="3"/>
  <c r="W144" i="3"/>
  <c r="W145" i="3"/>
  <c r="W146" i="3"/>
  <c r="W147" i="3"/>
  <c r="W148" i="3"/>
  <c r="W149" i="3"/>
  <c r="W150" i="3"/>
  <c r="W151" i="3"/>
  <c r="W152" i="3"/>
  <c r="W153" i="3"/>
  <c r="W154" i="3"/>
  <c r="W155" i="3"/>
  <c r="W156" i="3"/>
  <c r="W157" i="3"/>
  <c r="W158" i="3"/>
  <c r="W159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4" i="3"/>
  <c r="W175" i="3"/>
  <c r="W176" i="3"/>
  <c r="W177" i="3"/>
  <c r="W178" i="3"/>
  <c r="W179" i="3"/>
  <c r="W180" i="3"/>
  <c r="W181" i="3"/>
  <c r="W182" i="3"/>
  <c r="W183" i="3"/>
  <c r="W186" i="3"/>
  <c r="W187" i="3"/>
  <c r="W188" i="3"/>
  <c r="W189" i="3"/>
  <c r="W190" i="3"/>
  <c r="W191" i="3"/>
  <c r="W192" i="3"/>
  <c r="W193" i="3"/>
  <c r="W194" i="3"/>
  <c r="W195" i="3"/>
  <c r="W196" i="3"/>
  <c r="W197" i="3"/>
  <c r="W198" i="3"/>
  <c r="W199" i="3"/>
  <c r="W200" i="3"/>
  <c r="W201" i="3"/>
  <c r="W202" i="3"/>
  <c r="W203" i="3"/>
  <c r="W204" i="3"/>
  <c r="W205" i="3"/>
  <c r="W206" i="3"/>
  <c r="W207" i="3"/>
  <c r="W208" i="3"/>
  <c r="W209" i="3"/>
  <c r="W210" i="3"/>
  <c r="W211" i="3"/>
  <c r="W212" i="3"/>
  <c r="W213" i="3"/>
  <c r="W214" i="3"/>
  <c r="W215" i="3"/>
  <c r="W216" i="3"/>
  <c r="W217" i="3"/>
  <c r="W218" i="3"/>
  <c r="W219" i="3"/>
  <c r="W220" i="3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X116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X145" i="3"/>
  <c r="X146" i="3"/>
  <c r="X147" i="3"/>
  <c r="X148" i="3"/>
  <c r="X149" i="3"/>
  <c r="X150" i="3"/>
  <c r="X151" i="3"/>
  <c r="X152" i="3"/>
  <c r="X153" i="3"/>
  <c r="X154" i="3"/>
  <c r="X155" i="3"/>
  <c r="X156" i="3"/>
  <c r="X157" i="3"/>
  <c r="X158" i="3"/>
  <c r="X159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X172" i="3"/>
  <c r="X173" i="3"/>
  <c r="X174" i="3"/>
  <c r="X175" i="3"/>
  <c r="X176" i="3"/>
  <c r="X177" i="3"/>
  <c r="X178" i="3"/>
  <c r="X179" i="3"/>
  <c r="X180" i="3"/>
  <c r="X181" i="3"/>
  <c r="X182" i="3"/>
  <c r="X183" i="3"/>
  <c r="X184" i="3"/>
  <c r="X185" i="3"/>
  <c r="X186" i="3"/>
  <c r="X187" i="3"/>
  <c r="X188" i="3"/>
  <c r="X189" i="3"/>
  <c r="X190" i="3"/>
  <c r="X191" i="3"/>
  <c r="X192" i="3"/>
  <c r="X193" i="3"/>
  <c r="X194" i="3"/>
  <c r="X195" i="3"/>
  <c r="X196" i="3"/>
  <c r="X197" i="3"/>
  <c r="X198" i="3"/>
  <c r="X199" i="3"/>
  <c r="X200" i="3"/>
  <c r="X201" i="3"/>
  <c r="X202" i="3"/>
  <c r="X203" i="3"/>
  <c r="X204" i="3"/>
  <c r="X205" i="3"/>
  <c r="X206" i="3"/>
  <c r="X207" i="3"/>
  <c r="X208" i="3"/>
  <c r="X209" i="3"/>
  <c r="X210" i="3"/>
  <c r="X211" i="3"/>
  <c r="X212" i="3"/>
  <c r="X213" i="3"/>
  <c r="X214" i="3"/>
  <c r="X215" i="3"/>
  <c r="X216" i="3"/>
  <c r="X217" i="3"/>
  <c r="X218" i="3"/>
  <c r="X219" i="3"/>
  <c r="X220" i="3"/>
  <c r="Y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Y134" i="3"/>
  <c r="Y135" i="3"/>
  <c r="Y136" i="3"/>
  <c r="Y137" i="3"/>
  <c r="Y138" i="3"/>
  <c r="Y139" i="3"/>
  <c r="Y140" i="3"/>
  <c r="Y141" i="3"/>
  <c r="Y142" i="3"/>
  <c r="Y143" i="3"/>
  <c r="Y144" i="3"/>
  <c r="Y145" i="3"/>
  <c r="Y146" i="3"/>
  <c r="Y147" i="3"/>
  <c r="Y148" i="3"/>
  <c r="Y149" i="3"/>
  <c r="Y150" i="3"/>
  <c r="Y151" i="3"/>
  <c r="Y152" i="3"/>
  <c r="Y153" i="3"/>
  <c r="Y154" i="3"/>
  <c r="Y155" i="3"/>
  <c r="Y156" i="3"/>
  <c r="Y157" i="3"/>
  <c r="Y158" i="3"/>
  <c r="Y159" i="3"/>
  <c r="Y160" i="3"/>
  <c r="Y161" i="3"/>
  <c r="Y162" i="3"/>
  <c r="Y163" i="3"/>
  <c r="Y164" i="3"/>
  <c r="Y165" i="3"/>
  <c r="Y166" i="3"/>
  <c r="Y167" i="3"/>
  <c r="Y168" i="3"/>
  <c r="Y169" i="3"/>
  <c r="Y170" i="3"/>
  <c r="Y171" i="3"/>
  <c r="Y172" i="3"/>
  <c r="Y173" i="3"/>
  <c r="Y174" i="3"/>
  <c r="Y175" i="3"/>
  <c r="Y176" i="3"/>
  <c r="Y177" i="3"/>
  <c r="Y178" i="3"/>
  <c r="Y179" i="3"/>
  <c r="Y180" i="3"/>
  <c r="Y181" i="3"/>
  <c r="Y182" i="3"/>
  <c r="Y183" i="3"/>
  <c r="Y184" i="3"/>
  <c r="Y185" i="3"/>
  <c r="Y186" i="3"/>
  <c r="Y187" i="3"/>
  <c r="Y188" i="3"/>
  <c r="Y189" i="3"/>
  <c r="Y190" i="3"/>
  <c r="Y191" i="3"/>
  <c r="Y192" i="3"/>
  <c r="Y193" i="3"/>
  <c r="Y194" i="3"/>
  <c r="Y195" i="3"/>
  <c r="Y196" i="3"/>
  <c r="Y197" i="3"/>
  <c r="Y198" i="3"/>
  <c r="Y199" i="3"/>
  <c r="Y200" i="3"/>
  <c r="Y201" i="3"/>
  <c r="Y202" i="3"/>
  <c r="Y203" i="3"/>
  <c r="Y204" i="3"/>
  <c r="Y205" i="3"/>
  <c r="Y206" i="3"/>
  <c r="Y207" i="3"/>
  <c r="Y208" i="3"/>
  <c r="Y209" i="3"/>
  <c r="Y210" i="3"/>
  <c r="Y211" i="3"/>
  <c r="Y212" i="3"/>
  <c r="Y213" i="3"/>
  <c r="Y214" i="3"/>
  <c r="Y215" i="3"/>
  <c r="Y216" i="3"/>
  <c r="Y217" i="3"/>
  <c r="Y218" i="3"/>
  <c r="Y219" i="3"/>
  <c r="Y220" i="3"/>
  <c r="AA2" i="3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  <c r="AA159" i="3"/>
  <c r="AA160" i="3"/>
  <c r="AA161" i="3"/>
  <c r="AA162" i="3"/>
  <c r="AA163" i="3"/>
  <c r="AA164" i="3"/>
  <c r="AA165" i="3"/>
  <c r="AA166" i="3"/>
  <c r="AA167" i="3"/>
  <c r="AA168" i="3"/>
  <c r="AA169" i="3"/>
  <c r="AA170" i="3"/>
  <c r="AA171" i="3"/>
  <c r="AA172" i="3"/>
  <c r="AA173" i="3"/>
  <c r="AA174" i="3"/>
  <c r="AA175" i="3"/>
  <c r="AA176" i="3"/>
  <c r="AA177" i="3"/>
  <c r="AA178" i="3"/>
  <c r="AA179" i="3"/>
  <c r="AA180" i="3"/>
  <c r="AA181" i="3"/>
  <c r="AA182" i="3"/>
  <c r="AA183" i="3"/>
  <c r="AA184" i="3"/>
  <c r="AA185" i="3"/>
  <c r="AA186" i="3"/>
  <c r="AA187" i="3"/>
  <c r="AA188" i="3"/>
  <c r="AA189" i="3"/>
  <c r="AA190" i="3"/>
  <c r="AA191" i="3"/>
  <c r="AA192" i="3"/>
  <c r="AA193" i="3"/>
  <c r="AA194" i="3"/>
  <c r="AA195" i="3"/>
  <c r="AA196" i="3"/>
  <c r="AA197" i="3"/>
  <c r="AA198" i="3"/>
  <c r="AA199" i="3"/>
  <c r="AA200" i="3"/>
  <c r="AA201" i="3"/>
  <c r="AA202" i="3"/>
  <c r="AA203" i="3"/>
  <c r="AA204" i="3"/>
  <c r="AA205" i="3"/>
  <c r="AA206" i="3"/>
  <c r="AA207" i="3"/>
  <c r="AA208" i="3"/>
  <c r="AA209" i="3"/>
  <c r="AA210" i="3"/>
  <c r="AA211" i="3"/>
  <c r="AA212" i="3"/>
  <c r="AA213" i="3"/>
  <c r="AA214" i="3"/>
  <c r="AA215" i="3"/>
  <c r="AA216" i="3"/>
  <c r="AA217" i="3"/>
  <c r="AA218" i="3"/>
  <c r="AA219" i="3"/>
  <c r="AA220" i="3"/>
  <c r="C228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B5550B-6201-4255-88D5-0BAFBF734B5A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23021AE-5F69-4EEA-BFAA-FEC3B6616B8D}" keepAlive="1" name="Consulta - 02 Cotizaciones" description="Conexión a la consulta '02 Cotizaciones' en el libro." type="5" refreshedVersion="0" background="1">
    <dbPr connection="Provider=Microsoft.Mashup.OleDb.1;Data Source=$Workbook$;Location=&quot;02 Cotizaciones&quot;;Extended Properties=&quot;&quot;" command="SELECT * FROM [02 Cotizaciones]"/>
  </connection>
  <connection id="3" xr16:uid="{50245BF7-7B63-4B62-83A9-5484EB99E290}" keepAlive="1" name="Consulta - 03 Ordenes de Compra" description="Conexión a la consulta '03 Ordenes de Compra' en el libro." type="5" refreshedVersion="0" background="1">
    <dbPr connection="Provider=Microsoft.Mashup.OleDb.1;Data Source=$Workbook$;Location=&quot;03 Ordenes de Compra&quot;;Extended Properties=&quot;&quot;" command="SELECT * FROM [03 Ordenes de Compra]"/>
  </connection>
  <connection id="4" xr16:uid="{60AE5B4B-2512-43FE-9446-BB436675A548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5" xr16:uid="{F831D47B-11A0-479A-99F3-023D2E579DEB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6" xr16:uid="{B070F672-1B6E-4C1B-B846-44E525B6C1F3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7" xr16:uid="{D49E7E86-DA0F-4F3E-8A62-562FF33B3C11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8" xr16:uid="{59391CA0-14EB-4EAB-BC43-614ADFEB725A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9" xr16:uid="{D1470A12-7CF6-4F3B-B508-7C7521DDD1BF}" keepAlive="1" name="Consulta - Contrato solicitante" description="Conexión a la consulta 'Contrato solicitante' en el libro." type="5" refreshedVersion="0" background="1">
    <dbPr connection="Provider=Microsoft.Mashup.OleDb.1;Data Source=$Workbook$;Location=&quot;Contrato solicitante&quot;;Extended Properties=&quot;&quot;" command="SELECT * FROM [Contrato solicitante]"/>
  </connection>
  <connection id="10" xr16:uid="{D86EC969-E286-4372-903C-1BE8BCC41787}" keepAlive="1" name="Consulta - Contrato y Zona" description="Conexión a la consulta 'Contrato y Zona' en el libro." type="5" refreshedVersion="0" background="1">
    <dbPr connection="Provider=Microsoft.Mashup.OleDb.1;Data Source=$Workbook$;Location=&quot;Contrato y Zona&quot;;Extended Properties=&quot;&quot;" command="SELECT * FROM [Contrato y Zona]"/>
  </connection>
  <connection id="11" xr16:uid="{101964AE-EEAA-46C2-9774-C2638766F9A7}" keepAlive="1" name="Consulta - Control" description="Conexión a la consulta 'Control' en el libro." type="5" refreshedVersion="6" background="1" saveData="1">
    <dbPr connection="Provider=Microsoft.Mashup.OleDb.1;Data Source=$Workbook$;Location=Control;Extended Properties=&quot;&quot;" command="SELECT * FROM [Control]"/>
  </connection>
  <connection id="12" xr16:uid="{EE54635A-9B8F-4610-A5C0-B42A1B0AFBDD}" keepAlive="1" name="Consulta - Control (2)" description="Conexión a la consulta 'Control (2)' en el libro." type="5" refreshedVersion="6" background="1" saveData="1">
    <dbPr connection="Provider=Microsoft.Mashup.OleDb.1;Data Source=$Workbook$;Location=&quot;Control (2)&quot;;Extended Properties=&quot;&quot;" command="SELECT * FROM [Control (2)]"/>
  </connection>
  <connection id="13" xr16:uid="{B41C723E-7E9F-4B72-83A3-14D77DC0AEE0}" keepAlive="1" name="Consulta - Detalle" description="Conexión a la consulta 'Detalle' en el libro." type="5" refreshedVersion="8" background="1" saveData="1">
    <dbPr connection="Provider=Microsoft.Mashup.OleDb.1;Data Source=$Workbook$;Location=Detalle;Extended Properties=&quot;&quot;" command="SELECT * FROM [Detalle]"/>
  </connection>
  <connection id="14" xr16:uid="{D559B956-D2B6-4449-BF4B-51FF8ADA1146}" keepAlive="1" name="Consulta - Empresa compra" description="Conexión a la consulta 'Empresa compra' en el libro." type="5" refreshedVersion="0" background="1">
    <dbPr connection="Provider=Microsoft.Mashup.OleDb.1;Data Source=$Workbook$;Location=&quot;Empresa compra&quot;;Extended Properties=&quot;&quot;" command="SELECT * FROM [Empresa compra]"/>
  </connection>
  <connection id="15" xr16:uid="{47DDBD8B-EA7A-4B49-8460-9CFB54E42043}" keepAlive="1" name="Consulta - Empresa que compra" description="Conexión a la consulta 'Empresa que compra' en el libro." type="5" refreshedVersion="0" background="1">
    <dbPr connection="Provider=Microsoft.Mashup.OleDb.1;Data Source=$Workbook$;Location=&quot;Empresa que compra&quot;;Extended Properties=&quot;&quot;" command="SELECT * FROM [Empresa que compra]"/>
  </connection>
  <connection id="16" xr16:uid="{9B98161A-D353-4D8D-8667-B7057A06EF89}" keepAlive="1" name="Consulta - Empresa solicitante y nombre solicitante" description="Conexión a la consulta 'Empresa solicitante y nombre solicitante' en el libro." type="5" refreshedVersion="0" background="1">
    <dbPr connection="Provider=Microsoft.Mashup.OleDb.1;Data Source=$Workbook$;Location=&quot;Empresa solicitante y nombre solicitante&quot;;Extended Properties=&quot;&quot;" command="SELECT * FROM [Empresa solicitante y nombre solicitante]"/>
  </connection>
  <connection id="17" xr16:uid="{34B9DC3E-9C73-4452-BC46-E202D1213044}" keepAlive="1" name="Consulta - Estado" description="Conexión a la consulta 'Estado' en el libro." type="5" refreshedVersion="0" background="1">
    <dbPr connection="Provider=Microsoft.Mashup.OleDb.1;Data Source=$Workbook$;Location=Estado;Extended Properties=&quot;&quot;" command="SELECT * FROM [Estado]"/>
  </connection>
  <connection id="18" xr16:uid="{70540ACA-5E99-487A-AF1E-B93052203BC7}" keepAlive="1" name="Consulta - Monto OC" description="Conexión a la consulta 'Monto OC' en el libro." type="5" refreshedVersion="6" background="1">
    <dbPr connection="Provider=Microsoft.Mashup.OleDb.1;Data Source=$Workbook$;Location=&quot;Monto OC&quot;;Extended Properties=&quot;&quot;" command="SELECT * FROM [Monto OC]"/>
  </connection>
  <connection id="19" xr16:uid="{99D6F590-8E8B-406B-96AB-86205F62DFFF}" keepAlive="1" name="Consulta - Monto Orden de compra" description="Conexión a la consulta 'Monto Orden de compra' en el libro." type="5" refreshedVersion="0" background="1">
    <dbPr connection="Provider=Microsoft.Mashup.OleDb.1;Data Source=$Workbook$;Location=&quot;Monto Orden de compra&quot;;Extended Properties=&quot;&quot;" command="SELECT * FROM [Monto Orden de compra]"/>
  </connection>
  <connection id="20" xr16:uid="{DDAA44D2-D025-4EC1-BA76-1EC2846FB242}" keepAlive="1" name="Consulta - Monto Orden de compra (2)" description="Conexión a la consulta 'Monto Orden de compra (2)' en el libro." type="5" refreshedVersion="0" background="1">
    <dbPr connection="Provider=Microsoft.Mashup.OleDb.1;Data Source=$Workbook$;Location=&quot;Monto Orden de compra (2)&quot;;Extended Properties=&quot;&quot;" command="SELECT * FROM [Monto Orden de compra (2)]"/>
  </connection>
  <connection id="21" xr16:uid="{46B9A22A-0E7A-4E30-B7AB-4E84A87551FF}" keepAlive="1" name="Consulta - Monto Pendiente" description="Conexión a la consulta 'Monto Pendiente' en el libro." type="5" refreshedVersion="6" background="1" saveData="1">
    <dbPr connection="Provider=Microsoft.Mashup.OleDb.1;Data Source=$Workbook$;Location=Monto Pendiente;Extended Properties=&quot;&quot;" command="SELECT * FROM [Monto Pendiente]"/>
  </connection>
  <connection id="22" xr16:uid="{6679A490-95D2-4B69-9C51-C460BFEAF42B}" keepAlive="1" name="Consulta - Monto Pendiente (2)" description="Conexión a la consulta 'Monto Pendiente (2)' en el libro." type="5" refreshedVersion="6" background="1" saveData="1">
    <dbPr connection="Provider=Microsoft.Mashup.OleDb.1;Data Source=$Workbook$;Location=&quot;Monto Pendiente (2)&quot;;Extended Properties=&quot;&quot;" command="SELECT * FROM [Monto Pendiente (2)]"/>
  </connection>
  <connection id="23" xr16:uid="{0F7ED26D-FF3B-4CA4-BBA1-AFE2D734BF21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24" xr16:uid="{9F85618E-21F4-4462-B3DE-A63AF5A96C43}" keepAlive="1" name="Consulta - Parámetro2" description="Conexión a la consulta 'Parámetro2' en el libro." type="5" refreshedVersion="0" background="1">
    <dbPr connection="Provider=Microsoft.Mashup.OleDb.1;Data Source=$Workbook$;Location=Parámetro2;Extended Properties=&quot;&quot;" command="SELECT * FROM [Parámetro2]"/>
  </connection>
  <connection id="25" xr16:uid="{C53FD777-4AE3-4192-B7BE-A3156C316CEF}" keepAlive="1" name="Consulta - Parámetro3" description="Conexión a la consulta 'Parámetro3' en el libro." type="5" refreshedVersion="0" background="1">
    <dbPr connection="Provider=Microsoft.Mashup.OleDb.1;Data Source=$Workbook$;Location=Parámetro3;Extended Properties=&quot;&quot;" command="SELECT * FROM [Parámetro3]"/>
  </connection>
  <connection id="26" xr16:uid="{18D176B8-133B-42A6-B1DF-56D710BCA6D7}" keepAlive="1" name="Consulta - Parámetro4" description="Conexión a la consulta 'Parámetro4' en el libro." type="5" refreshedVersion="0" background="1">
    <dbPr connection="Provider=Microsoft.Mashup.OleDb.1;Data Source=$Workbook$;Location=Parámetro4;Extended Properties=&quot;&quot;" command="SELECT * FROM [Parámetro4]"/>
  </connection>
  <connection id="27" xr16:uid="{1AE993E9-11D5-484E-A600-3A278F7A5AD3}" keepAlive="1" name="Consulta - Ruta" description="Conexión a la consulta 'Ruta' en el libro." type="5" refreshedVersion="0" background="1">
    <dbPr connection="Provider=Microsoft.Mashup.OleDb.1;Data Source=$Workbook$;Location=Ruta;Extended Properties=&quot;&quot;" command="SELECT * FROM [Ruta]"/>
  </connection>
  <connection id="28" xr16:uid="{41B1CCBF-A363-4109-A98A-2E63643B3204}" keepAlive="1" name="Consulta - Tipo de pago" description="Conexión a la consulta 'Tipo de pago' en el libro." type="5" refreshedVersion="0" background="1">
    <dbPr connection="Provider=Microsoft.Mashup.OleDb.1;Data Source=$Workbook$;Location=&quot;Tipo de pago&quot;;Extended Properties=&quot;&quot;" command="SELECT * FROM [Tipo de pago]"/>
  </connection>
  <connection id="29" xr16:uid="{B3B9490C-7B08-4932-A261-DCCE493110DC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0" xr16:uid="{1ECFFB3B-C5AA-4D6F-A1A0-AD5066058806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31" xr16:uid="{4728F731-016D-4A5C-8E59-51151DD3989E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32" xr16:uid="{058FDE03-C4B9-4F8A-B1C2-363C4A3397CB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33" xr16:uid="{1B2ED738-626B-40F2-8E0B-B5084E8EB789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34" xr16:uid="{E5B0AD87-0DA7-4A63-8A04-07CCE082C87B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  <connection id="35" xr16:uid="{E459DE39-5715-4C57-A9AA-ED88EA05AA2E}" keepAlive="1" name="Consulta - Transformar archivo de ejemplo (2)" description="Conexión a la consulta 'Transformar archivo de ejemplo (2)' en el libro." type="5" refreshedVersion="0" background="1">
    <dbPr connection="Provider=Microsoft.Mashup.OleDb.1;Data Source=$Workbook$;Location=&quot;Transformar archivo de ejemplo (2)&quot;;Extended Properties=&quot;&quot;" command="SELECT * FROM [Transformar archivo de ejemplo (2)]"/>
  </connection>
  <connection id="36" xr16:uid="{681AB5AD-B75D-403A-9C77-D11B1F1E4BBC}" keepAlive="1" name="Consulta - Transformar archivo de ejemplo (3)" description="Conexión a la consulta 'Transformar archivo de ejemplo (3)' en el libro." type="5" refreshedVersion="0" background="1">
    <dbPr connection="Provider=Microsoft.Mashup.OleDb.1;Data Source=$Workbook$;Location=&quot;Transformar archivo de ejemplo (3)&quot;;Extended Properties=&quot;&quot;" command="SELECT * FROM [Transformar archivo de ejemplo (3)]"/>
  </connection>
  <connection id="37" xr16:uid="{88F2AA76-F96A-469E-95C9-C95FC80DCFCE}" keepAlive="1" name="Consulta - Transformar archivo de ejemplo (4)" description="Conexión a la consulta 'Transformar archivo de ejemplo (4)' en el libro." type="5" refreshedVersion="0" background="1">
    <dbPr connection="Provider=Microsoft.Mashup.OleDb.1;Data Source=$Workbook$;Location=&quot;Transformar archivo de ejemplo (4)&quot;;Extended Properties=&quot;&quot;" command="SELECT * FROM [Transformar archivo de ejemplo (4)]"/>
  </connection>
  <connection id="38" xr16:uid="{A4D67415-CA4A-414C-AF48-BC20B103CD89}" keepAlive="1" name="Consulta - Zona requisición y TC" description="Conexión a la consulta 'Zona requisición y TC' en el libro." type="5" refreshedVersion="0" background="1">
    <dbPr connection="Provider=Microsoft.Mashup.OleDb.1;Data Source=$Workbook$;Location=&quot;Zona requisición y TC&quot;;Extended Properties=&quot;&quot;" command="SELECT * FROM [Zona requisición y TC]"/>
  </connection>
</connections>
</file>

<file path=xl/sharedStrings.xml><?xml version="1.0" encoding="utf-8"?>
<sst xmlns="http://schemas.openxmlformats.org/spreadsheetml/2006/main" count="4498" uniqueCount="1327">
  <si>
    <t>Ordenes</t>
  </si>
  <si>
    <t>Requisiciones</t>
  </si>
  <si>
    <t>Cotizaciones</t>
  </si>
  <si>
    <t>OC</t>
  </si>
  <si>
    <t>Nro de Orden</t>
  </si>
  <si>
    <t>Fecha Requisición</t>
  </si>
  <si>
    <t>Fecha Cotización</t>
  </si>
  <si>
    <t>Fecha OC</t>
  </si>
  <si>
    <t>Tipo de Pago</t>
  </si>
  <si>
    <t>Monto Orden</t>
  </si>
  <si>
    <t>Empresa solicitante</t>
  </si>
  <si>
    <t>Empresa compra</t>
  </si>
  <si>
    <t>Nombre Solicitante</t>
  </si>
  <si>
    <t>Contrato Solicitante</t>
  </si>
  <si>
    <t>Zona requisición</t>
  </si>
  <si>
    <t>Tipo de compra</t>
  </si>
  <si>
    <t>ruta</t>
  </si>
  <si>
    <t>Estado</t>
  </si>
  <si>
    <t>Periodo Requisición</t>
  </si>
  <si>
    <t>Fecha de pago</t>
  </si>
  <si>
    <t>Fecha de entrega</t>
  </si>
  <si>
    <t>Tiempo Ciclo</t>
  </si>
  <si>
    <t>Folio Factura</t>
  </si>
  <si>
    <t>semana</t>
  </si>
  <si>
    <t>001_20052026</t>
  </si>
  <si>
    <t>001_20052026_control perdida_colchagua.xlsx</t>
  </si>
  <si>
    <t>001_20052026_control perdidas_colchagua_cotizacion.xlsx</t>
  </si>
  <si>
    <t>001_20052026_control perdidas_colchagua_01_OC.xlsx</t>
  </si>
  <si>
    <t>001</t>
  </si>
  <si>
    <t>20-05-2026</t>
  </si>
  <si>
    <t>CREDITO</t>
  </si>
  <si>
    <t>APOYO ACTIVO</t>
  </si>
  <si>
    <t>MAX SERVICE SEGURIDAD INDUSTRIAL SPA</t>
  </si>
  <si>
    <t>Sofia Navia Quezada</t>
  </si>
  <si>
    <t>Control de Perdida (BBPP)</t>
  </si>
  <si>
    <t>08 Colchagua-Cardenal Caro</t>
  </si>
  <si>
    <t>Urgente</t>
  </si>
  <si>
    <t>C:\Users\rcayuleo\OneDrive - Transformadores Tusan SA\Archivos de Claudia Muñoz Farias EXT - Proceso de compras\03 Ordenes de Compra\001_20052026_control perdidas_colchagua_01_OC.xlsx</t>
  </si>
  <si>
    <t>001_20052026_control perdidas_colchagua_02_OC.xlsx</t>
  </si>
  <si>
    <t>CONTADO</t>
  </si>
  <si>
    <t>MACAYA INSUMOS INDUSTRIALES LTDA.</t>
  </si>
  <si>
    <t>C:\Users\rcayuleo\OneDrive - Transformadores Tusan SA\Archivos de Claudia Muñoz Farias EXT - Proceso de compras\03 Ordenes de Compra\001_20052026_control perdidas_colchagua_02_OC.xlsx</t>
  </si>
  <si>
    <t>001_20052026_control perdidas_colchagua_03_OC.xlsx</t>
  </si>
  <si>
    <t>MYEFERRETERIALIMITADA</t>
  </si>
  <si>
    <t>C:\Users\rcayuleo\OneDrive - Transformadores Tusan SA\Archivos de Claudia Muñoz Farias EXT - Proceso de compras\03 Ordenes de Compra\001_20052026_control perdidas_colchagua_03_OC.xlsx</t>
  </si>
  <si>
    <t>001_20052026_control perdidas_colchagua_04_OC.xlsx</t>
  </si>
  <si>
    <t>COMERCIAL SIGLO XXI</t>
  </si>
  <si>
    <t>C:\Users\rcayuleo\OneDrive - Transformadores Tusan SA\Archivos de Claudia Muñoz Farias EXT - Proceso de compras\03 Ordenes de Compra\001_20052026_control perdidas_colchagua_04_OC.xlsx</t>
  </si>
  <si>
    <t>002_19052026</t>
  </si>
  <si>
    <t>002_19052026_CYM_Villarrica.xlsx</t>
  </si>
  <si>
    <t>002_20052026_CYM_Villarrica_cotizacion..xlsx</t>
  </si>
  <si>
    <t>002_27052026_CYM_VRCA_INGECAF_EASY_01_OC.xlsx</t>
  </si>
  <si>
    <t>002</t>
  </si>
  <si>
    <t>19-05-2026</t>
  </si>
  <si>
    <t>27-05-2026</t>
  </si>
  <si>
    <t>INGECAF</t>
  </si>
  <si>
    <t>Matías Díaz</t>
  </si>
  <si>
    <t>Construcción y Mantenimiento (CYM)</t>
  </si>
  <si>
    <t>12 Araucanía</t>
  </si>
  <si>
    <t>Reposición</t>
  </si>
  <si>
    <t>C:\Users\rcayuleo\OneDrive - Transformadores Tusan SA\Archivos de Claudia Muñoz Farias EXT - Proceso de compras\03 Ordenes de Compra\002_27052026_CYM_VRCA_INGECAF_EASY_01_OC.xlsx</t>
  </si>
  <si>
    <t>003_22052026</t>
  </si>
  <si>
    <t>003_22052026_CYM_Villarrica..xlsx</t>
  </si>
  <si>
    <t>003_22052026_CYM_Villarrica_cotizacion..xlsx</t>
  </si>
  <si>
    <t>003_22052026_CYM_INGECAF_MAX SERVICE_02_OC.xlsx</t>
  </si>
  <si>
    <t>003</t>
  </si>
  <si>
    <t>22-05-2026</t>
  </si>
  <si>
    <t>Anthony Hernandez</t>
  </si>
  <si>
    <t>C:\Users\rcayuleo\OneDrive - Transformadores Tusan SA\Archivos de Claudia Muñoz Farias EXT - Proceso de compras\03 Ordenes de Compra\003_22052026_CYM_INGECAF_MAX SERVICE_02_OC.xlsx</t>
  </si>
  <si>
    <t>004_22052026</t>
  </si>
  <si>
    <t>004_22052026_control perdidas_Rancagua.xlsx</t>
  </si>
  <si>
    <t>004_22052026_control perdidas_Rancagua_cotizacion..xlsx</t>
  </si>
  <si>
    <t>004_22052026_control perdidas_Rancagua _Mercado libre_14_OC.xlsx</t>
  </si>
  <si>
    <t>004</t>
  </si>
  <si>
    <t>MERCADOLIBRE CHILE LTDA</t>
  </si>
  <si>
    <t>07 Rancagua</t>
  </si>
  <si>
    <t>C:\Users\rcayuleo\OneDrive - Transformadores Tusan SA\Archivos de Claudia Muñoz Farias EXT - Proceso de compras\03 Ordenes de Compra\004_22052026_control perdidas_Rancagua _Mercado libre_14_OC.xlsx</t>
  </si>
  <si>
    <t>004_22052026_control perdidas_Rancagua_Max service_13_OC.xlsx</t>
  </si>
  <si>
    <t>C:\Users\rcayuleo\OneDrive - Transformadores Tusan SA\Archivos de Claudia Muñoz Farias EXT - Proceso de compras\03 Ordenes de Compra\004_22052026_control perdidas_Rancagua_Max service_13_OC.xlsx</t>
  </si>
  <si>
    <t>005_25052026</t>
  </si>
  <si>
    <t>005_25052026_Prevencion Riesgos_Temuco.xlsx</t>
  </si>
  <si>
    <t>005_25052026_prevencion riesgos_Temuco_cotizacion..xlsx</t>
  </si>
  <si>
    <t>005_25052026_prevencion riesgos_Temuco INGECAF_Max service_07_OC.xlsx</t>
  </si>
  <si>
    <t>005</t>
  </si>
  <si>
    <t>25-05-2026</t>
  </si>
  <si>
    <t xml:space="preserve">Katherine Monsalves Escalona </t>
  </si>
  <si>
    <t>Prevención de Riesgo</t>
  </si>
  <si>
    <t>C:\Users\rcayuleo\OneDrive - Transformadores Tusan SA\Archivos de Claudia Muñoz Farias EXT - Proceso de compras\03 Ordenes de Compra\005_25052026_prevencion riesgos_Temuco INGECAF_Max service_07_OC.xlsx</t>
  </si>
  <si>
    <t>006_25052026</t>
  </si>
  <si>
    <t>006_25052026_CYM_Villarrica.xlsx</t>
  </si>
  <si>
    <t>006_25052026_CYM_Villarrica_cotizacion..xlsx</t>
  </si>
  <si>
    <t>006_25052026_CYM_Villarrica_INGECAF_MERCADO LIBRE_03_OC.xlsx</t>
  </si>
  <si>
    <t>006</t>
  </si>
  <si>
    <t>Ernesto Lemunao</t>
  </si>
  <si>
    <t xml:space="preserve">Planificada </t>
  </si>
  <si>
    <t>C:\Users\rcayuleo\OneDrive - Transformadores Tusan SA\Archivos de Claudia Muñoz Farias EXT - Proceso de compras\03 Ordenes de Compra\006_25052026_CYM_Villarrica_INGECAF_MERCADO LIBRE_03_OC.xlsx</t>
  </si>
  <si>
    <t>007_25052026</t>
  </si>
  <si>
    <t>007_25052026_SAE_Temuco.xlsx</t>
  </si>
  <si>
    <t>007_25052026_SAE_Temuco_cotizacion..xlsx</t>
  </si>
  <si>
    <t>007_25052026_SAE TEMUCO_INGECAF_04_OC.xlsx</t>
  </si>
  <si>
    <t>007</t>
  </si>
  <si>
    <t>Servicio Atención Emergencia (SAE)</t>
  </si>
  <si>
    <t>C:\Users\rcayuleo\OneDrive - Transformadores Tusan SA\Archivos de Claudia Muñoz Farias EXT - Proceso de compras\03 Ordenes de Compra\007_25052026_SAE TEMUCO_INGECAF_04_OC.xlsx</t>
  </si>
  <si>
    <t>008_25052026</t>
  </si>
  <si>
    <t>008_25052026_SAE_Temuco.xlsx</t>
  </si>
  <si>
    <t>008_25052026_SAE_Temuco_cotizacion..xlsx</t>
  </si>
  <si>
    <t>008_25052026_SAE TEMUCO INGECAF_SODIMAC_05_OC.xlsx</t>
  </si>
  <si>
    <t>008</t>
  </si>
  <si>
    <t>SODIMAC SA</t>
  </si>
  <si>
    <t>C:\Users\rcayuleo\OneDrive - Transformadores Tusan SA\Archivos de Claudia Muñoz Farias EXT - Proceso de compras\03 Ordenes de Compra\008_25052026_SAE TEMUCO INGECAF_SODIMAC_05_OC.xlsx</t>
  </si>
  <si>
    <t>009_25052026</t>
  </si>
  <si>
    <t>009_25052026_CYM_Villarrica.xlsx</t>
  </si>
  <si>
    <t>009_25052026_CYM_Villarrica_cotizacion..xlsx</t>
  </si>
  <si>
    <t>009_25052026_CYM VILLARRICA INGECAF_SODIMAC_06_OC.xlsx</t>
  </si>
  <si>
    <t>009</t>
  </si>
  <si>
    <t>C:\Users\rcayuleo\OneDrive - Transformadores Tusan SA\Archivos de Claudia Muñoz Farias EXT - Proceso de compras\03 Ordenes de Compra\009_25052026_CYM VILLARRICA INGECAF_SODIMAC_06_OC.xlsx</t>
  </si>
  <si>
    <t>010_19052026</t>
  </si>
  <si>
    <t>010_19052026_servicio tecnico_Maule Norte.xlsx</t>
  </si>
  <si>
    <t>010_19052026_servicio tecnico_maule norte_cotizacion.xlsx</t>
  </si>
  <si>
    <t>010_19052026_felipe lara_maule norte_Casa del liniero 07_OC.xlsx</t>
  </si>
  <si>
    <t>010</t>
  </si>
  <si>
    <t>SEGURIDAD INDUSTRIAL CORVALAN E HIJOS LIMITADA</t>
  </si>
  <si>
    <t>Felipe Lara</t>
  </si>
  <si>
    <t>Servicio Técnico (SSTT)</t>
  </si>
  <si>
    <t>09 Maule Norte</t>
  </si>
  <si>
    <t>C:\Users\rcayuleo\OneDrive - Transformadores Tusan SA\Archivos de Claudia Muñoz Farias EXT - Proceso de compras\03 Ordenes de Compra\010_19052026_felipe lara_maule norte_Casa del liniero 07_OC.xlsx</t>
  </si>
  <si>
    <t>010_19052026_felipe lara_maule norte_Ferrelectrica_08_OC.xlsx</t>
  </si>
  <si>
    <t>C:\Users\rcayuleo\OneDrive - Transformadores Tusan SA\Archivos de Claudia Muñoz Farias EXT - Proceso de compras\03 Ordenes de Compra\010_19052026_felipe lara_maule norte_Ferrelectrica_08_OC.xlsx</t>
  </si>
  <si>
    <t>010_19052026_felipe lara_maule norte_Macaya_09_OC.xlsx</t>
  </si>
  <si>
    <t>C:\Users\rcayuleo\OneDrive - Transformadores Tusan SA\Archivos de Claudia Muñoz Farias EXT - Proceso de compras\03 Ordenes de Compra\010_19052026_felipe lara_maule norte_Macaya_09_OC.xlsx</t>
  </si>
  <si>
    <t>011_19052026</t>
  </si>
  <si>
    <t>011_19052026_construccion y mantenimiento_Maule norte.xlsx</t>
  </si>
  <si>
    <t>011_19052026_contruccion y mantenimiento_Maule Norte_cotizacion.xlsx</t>
  </si>
  <si>
    <t>011_19052026_contruccion y mantenimiento_Maule Norte_05_OC.xlsx</t>
  </si>
  <si>
    <t>011</t>
  </si>
  <si>
    <t>Cristian Rojas</t>
  </si>
  <si>
    <t>C:\Users\rcayuleo\OneDrive - Transformadores Tusan SA\Archivos de Claudia Muñoz Farias EXT - Proceso de compras\03 Ordenes de Compra\011_19052026_contruccion y mantenimiento_Maule Norte_05_OC.xlsx</t>
  </si>
  <si>
    <t>011_19052026_contruccion y mantenimiento_Maule Norte_06_OC.xlsx</t>
  </si>
  <si>
    <t xml:space="preserve">FERRELECTRICA </t>
  </si>
  <si>
    <t>C:\Users\rcayuleo\OneDrive - Transformadores Tusan SA\Archivos de Claudia Muñoz Farias EXT - Proceso de compras\03 Ordenes de Compra\011_19052026_contruccion y mantenimiento_Maule Norte_06_OC.xlsx</t>
  </si>
  <si>
    <t>012_19052026</t>
  </si>
  <si>
    <t>012_19052026_SAE_Maule Norte.xlsx</t>
  </si>
  <si>
    <t>012_19052026_SAE_Maule Norte_cotizacion.xlsx</t>
  </si>
  <si>
    <t>012_19052026_SAE_Maule norte_Casa del liniero_10_OC.xlsx</t>
  </si>
  <si>
    <t>012</t>
  </si>
  <si>
    <t>Luis Contreras</t>
  </si>
  <si>
    <t>C:\Users\rcayuleo\OneDrive - Transformadores Tusan SA\Archivos de Claudia Muñoz Farias EXT - Proceso de compras\03 Ordenes de Compra\012_19052026_SAE_Maule norte_Casa del liniero_10_OC.xlsx</t>
  </si>
  <si>
    <t>012_19052026_SAE_Maule norte_Ferrelectrica_11_OC.xlsx</t>
  </si>
  <si>
    <t>FERRELECTRICA SPA</t>
  </si>
  <si>
    <t>C:\Users\rcayuleo\OneDrive - Transformadores Tusan SA\Archivos de Claudia Muñoz Farias EXT - Proceso de compras\03 Ordenes de Compra\012_19052026_SAE_Maule norte_Ferrelectrica_11_OC.xlsx</t>
  </si>
  <si>
    <t>012_19052026_SAE_Maule Norte_Macaya_12_OC.xlsx</t>
  </si>
  <si>
    <t>C:\Users\rcayuleo\OneDrive - Transformadores Tusan SA\Archivos de Claudia Muñoz Farias EXT - Proceso de compras\03 Ordenes de Compra\012_19052026_SAE_Maule Norte_Macaya_12_OC.xlsx</t>
  </si>
  <si>
    <t>013_19052026</t>
  </si>
  <si>
    <t>013_19052026_CYM_Maule Norte.xlsx</t>
  </si>
  <si>
    <t>013_19052026_CYM_Maule Norte_cotizacion.xlsx</t>
  </si>
  <si>
    <t>013_26052026_CYM_Maule Norte_Mercado libre_15_OC.xlsx</t>
  </si>
  <si>
    <t>013</t>
  </si>
  <si>
    <t>26-05-2026</t>
  </si>
  <si>
    <t>Jorge Retamal</t>
  </si>
  <si>
    <t>C:\Users\rcayuleo\OneDrive - Transformadores Tusan SA\Archivos de Claudia Muñoz Farias EXT - Proceso de compras\03 Ordenes de Compra\013_26052026_CYM_Maule Norte_Mercado libre_15_OC.xlsx</t>
  </si>
  <si>
    <t>014_01062026</t>
  </si>
  <si>
    <t>014_01062026_cym_colchagua cardenal caro.xlsx</t>
  </si>
  <si>
    <t>014_01062026_cym_colchagua cardenal caro_cotizacion.xlsx</t>
  </si>
  <si>
    <t>014_01062026_cym_colchagua cardenal caro_segurycel_17_OC.xlsx</t>
  </si>
  <si>
    <t>014</t>
  </si>
  <si>
    <t>01-06-2026</t>
  </si>
  <si>
    <t>SEGURYCEL S.A</t>
  </si>
  <si>
    <t xml:space="preserve">Roberto Yáñez </t>
  </si>
  <si>
    <t>C:\Users\rcayuleo\OneDrive - Transformadores Tusan SA\Archivos de Claudia Muñoz Farias EXT - Proceso de compras\03 Ordenes de Compra\014_01062026_cym_colchagua cardenal caro_segurycel_17_OC.xlsx</t>
  </si>
  <si>
    <t>015_01062026</t>
  </si>
  <si>
    <t>015_01062026_Colchagua Cardenal caro.xlsx</t>
  </si>
  <si>
    <t>015_01062026_ADM_Colchagua Cardenal caro_cotizacion.xlsx</t>
  </si>
  <si>
    <t>015_01062026_ADM_Colchagua Cardenal caro_PRISA_18_OC.xlsx</t>
  </si>
  <si>
    <t>015</t>
  </si>
  <si>
    <t>PROVEEDORES INTEGRALES PRISA S A</t>
  </si>
  <si>
    <t xml:space="preserve">Ximena Savaria </t>
  </si>
  <si>
    <t>Administración</t>
  </si>
  <si>
    <t>C:\Users\rcayuleo\OneDrive - Transformadores Tusan SA\Archivos de Claudia Muñoz Farias EXT - Proceso de compras\03 Ordenes de Compra\015_01062026_ADM_Colchagua Cardenal caro_PRISA_18_OC.xlsx</t>
  </si>
  <si>
    <t>015_01062026_ADM_Colchagua Cardenal caro_PRISA_19_OC.xlsx</t>
  </si>
  <si>
    <t>C:\Users\rcayuleo\OneDrive - Transformadores Tusan SA\Archivos de Claudia Muñoz Farias EXT - Proceso de compras\03 Ordenes de Compra\015_01062026_ADM_Colchagua Cardenal caro_PRISA_19_OC.xlsx</t>
  </si>
  <si>
    <t>015_01062026_ADM_Colchagua Cardenal caro_PRISA_20_OC.xlsx</t>
  </si>
  <si>
    <t>C:\Users\rcayuleo\OneDrive - Transformadores Tusan SA\Archivos de Claudia Muñoz Farias EXT - Proceso de compras\03 Ordenes de Compra\015_01062026_ADM_Colchagua Cardenal caro_PRISA_20_OC.xlsx</t>
  </si>
  <si>
    <t>016_01062026</t>
  </si>
  <si>
    <t>016_01062026_cym_coquimbo.xlsx</t>
  </si>
  <si>
    <t>016_01062026_cym_coquimbo_cotizacion.xlsx</t>
  </si>
  <si>
    <t>016_01062026_cym_coquimbo_pcelectric_16_OC.xlsx</t>
  </si>
  <si>
    <t>016</t>
  </si>
  <si>
    <t>COMERCIAL PCELECTRIC</t>
  </si>
  <si>
    <t xml:space="preserve">Linda Avila </t>
  </si>
  <si>
    <t>04 Coquimbo</t>
  </si>
  <si>
    <t>C:\Users\rcayuleo\OneDrive - Transformadores Tusan SA\Archivos de Claudia Muñoz Farias EXT - Proceso de compras\03 Ordenes de Compra\016_01062026_cym_coquimbo_pcelectric_16_OC.xlsx</t>
  </si>
  <si>
    <t>017_03062026</t>
  </si>
  <si>
    <t>017_03062026_Multiproposito_Rancagua.xlsx</t>
  </si>
  <si>
    <t>017_03062026_Multiproposito_Rancagua_cotizacion_mercado libre_21_OC.xlsx</t>
  </si>
  <si>
    <t>017</t>
  </si>
  <si>
    <t>03-06-2026</t>
  </si>
  <si>
    <t>Guillermo Azua Gonzalez</t>
  </si>
  <si>
    <t xml:space="preserve"> MULTIPROPOSITO </t>
  </si>
  <si>
    <t>C:\Users\rcayuleo\OneDrive - Transformadores Tusan SA\Archivos de Claudia Muñoz Farias EXT - Proceso de compras\03 Ordenes de Compra\017_03062026_Multiproposito_Rancagua_cotizacion_mercado libre_21_OC.xlsx</t>
  </si>
  <si>
    <t>018_02062026</t>
  </si>
  <si>
    <t>018_02062026_CYM_INGECAF_VILLARRICA.xlsx</t>
  </si>
  <si>
    <t>018_02062026_CYM_INGECAF_VILLARRICA_cotizacion.xlsx</t>
  </si>
  <si>
    <t>018</t>
  </si>
  <si>
    <t>02-06-2026</t>
  </si>
  <si>
    <t>Sebastian Sandoval</t>
  </si>
  <si>
    <t>021_03062026</t>
  </si>
  <si>
    <t>021_03062026_Prevencion riesgos_Colchagua cardenal caro.xlsx</t>
  </si>
  <si>
    <t>021</t>
  </si>
  <si>
    <t>026_15062026</t>
  </si>
  <si>
    <t>026_15062026_Sae_Maule norte.xlsx</t>
  </si>
  <si>
    <t>026_15062026_Sae_Maule norte_cotizacion.xlsx</t>
  </si>
  <si>
    <t>026</t>
  </si>
  <si>
    <t>15-06-2026</t>
  </si>
  <si>
    <t>Esteban Pineda</t>
  </si>
  <si>
    <t>027_12062026</t>
  </si>
  <si>
    <t>027_12062026_Sae_Maule Norte.xlsx</t>
  </si>
  <si>
    <t>027_12062026_Sae_Maule Norte_cotizacion.xlsx</t>
  </si>
  <si>
    <t>027</t>
  </si>
  <si>
    <t>12-06-2026</t>
  </si>
  <si>
    <t>Rodolfo Fuentes</t>
  </si>
  <si>
    <t>028_12062026</t>
  </si>
  <si>
    <t>028_12062026_CYM_Maule Norte.xlsx</t>
  </si>
  <si>
    <t>028_12062026_CYM_Maule Norte_cotizacion.xlsx</t>
  </si>
  <si>
    <t>028</t>
  </si>
  <si>
    <t>029_15062026</t>
  </si>
  <si>
    <t>029_15062026_Sae_Maule Norte.xlsx</t>
  </si>
  <si>
    <t>029_15062026_Sae_Maule Norte_cotizacion.xlsx</t>
  </si>
  <si>
    <t>029</t>
  </si>
  <si>
    <t>030_15062026</t>
  </si>
  <si>
    <t>030_15062026_CYM_INGECAF_Villarrica.xlsx</t>
  </si>
  <si>
    <t>030</t>
  </si>
  <si>
    <t>019_02062026</t>
  </si>
  <si>
    <t>019_02062026_SAE INGECAF.xlsx</t>
  </si>
  <si>
    <t>019_02062026_SAE INGECAF_cotizacion.xlsx</t>
  </si>
  <si>
    <t>019_02062026_SAE INGECAF_Macaya_08_OC.xlsx</t>
  </si>
  <si>
    <t>019</t>
  </si>
  <si>
    <t>C:\Users\rcayuleo\OneDrive - Transformadores Tusan SA\Archivos de Claudia Muñoz Farias EXT - Proceso de compras\03 Ordenes de Compra\019_02062026_SAE INGECAF_Macaya_08_OC.xlsx</t>
  </si>
  <si>
    <t>020_04062026</t>
  </si>
  <si>
    <t>020_04062026_Multiproposito_Rancagua.xlsx</t>
  </si>
  <si>
    <t>020_04062026_Multiproposito_Rancagua_cotizacion.xlsx</t>
  </si>
  <si>
    <t>020_04062026_Multiproposito_Rancagua_Coprelec_23_OC.xlsx</t>
  </si>
  <si>
    <t>020</t>
  </si>
  <si>
    <t>04-06-2026</t>
  </si>
  <si>
    <t>COPRELEC SEGURIDAD ELECTRICA E INSTRUMENTACION SPA</t>
  </si>
  <si>
    <t>C:\Users\rcayuleo\OneDrive - Transformadores Tusan SA\Archivos de Claudia Muñoz Farias EXT - Proceso de compras\03 Ordenes de Compra\020_04062026_Multiproposito_Rancagua_Coprelec_23_OC.xlsx</t>
  </si>
  <si>
    <t>020_04062026_Multiproposito_Rancagua_Kupfer_24_OC.xlsx</t>
  </si>
  <si>
    <t>KUPFER HERMANOS S.A.</t>
  </si>
  <si>
    <t>C:\Users\rcayuleo\OneDrive - Transformadores Tusan SA\Archivos de Claudia Muñoz Farias EXT - Proceso de compras\03 Ordenes de Compra\020_04062026_Multiproposito_Rancagua_Kupfer_24_OC.xlsx</t>
  </si>
  <si>
    <t>020_04062026_Multiproposito_Rancagua_Mercado Libre_22_OC.xlsx</t>
  </si>
  <si>
    <t>C:\Users\rcayuleo\OneDrive - Transformadores Tusan SA\Archivos de Claudia Muñoz Farias EXT - Proceso de compras\03 Ordenes de Compra\020_04062026_Multiproposito_Rancagua_Mercado Libre_22_OC.xlsx</t>
  </si>
  <si>
    <t>022_08062026</t>
  </si>
  <si>
    <t>022_08062026_Control perdida_Rancagua.xlsx</t>
  </si>
  <si>
    <t>022_08062026_Control perdida_Rancagua_cotizacion.xlsx</t>
  </si>
  <si>
    <t>022_08062026_Control perdida_Rancagua_Mercado libre e ebay_25_OC.xlsx</t>
  </si>
  <si>
    <t>022</t>
  </si>
  <si>
    <t>08-06-2026</t>
  </si>
  <si>
    <t xml:space="preserve">Sofía Navia Quezada </t>
  </si>
  <si>
    <t>C:\Users\rcayuleo\OneDrive - Transformadores Tusan SA\Archivos de Claudia Muñoz Farias EXT - Proceso de compras\03 Ordenes de Compra\022_08062026_Control perdida_Rancagua_Mercado libre e ebay_25_OC.xlsx</t>
  </si>
  <si>
    <t>023_03062026</t>
  </si>
  <si>
    <t>023_03062026_Prevencion riesgos_Araucania_apoyo activo_.xlsx</t>
  </si>
  <si>
    <t>023_03062026_Prevencion riesgos_Araucania_apoyo activo_cotizacion.xlsx</t>
  </si>
  <si>
    <t>023_03062026_Prevencion riesgos_Araucania_apoyo activo_Casa del liniero_27_OC.xlsx</t>
  </si>
  <si>
    <t>023</t>
  </si>
  <si>
    <t>C:\Users\rcayuleo\OneDrive - Transformadores Tusan SA\Archivos de Claudia Muñoz Farias EXT - Proceso de compras\03 Ordenes de Compra\023_03062026_Prevencion riesgos_Araucania_apoyo activo_Casa del liniero_27_OC.xlsx</t>
  </si>
  <si>
    <t>023_03062026_Prevencion riesgos_Araucania_apoyo activo_Coprelec_39.xlsx</t>
  </si>
  <si>
    <t>C:\Users\rcayuleo\OneDrive - Transformadores Tusan SA\Archivos de Claudia Muñoz Farias EXT - Proceso de compras\03 Ordenes de Compra\023_03062026_Prevencion riesgos_Araucania_apoyo activo_Coprelec_39.xlsx</t>
  </si>
  <si>
    <t>023_03062026_Prevencion riesgos_Araucania_apoyo activo_Macaya_28_OC.xlsx</t>
  </si>
  <si>
    <t>C:\Users\rcayuleo\OneDrive - Transformadores Tusan SA\Archivos de Claudia Muñoz Farias EXT - Proceso de compras\03 Ordenes de Compra\023_03062026_Prevencion riesgos_Araucania_apoyo activo_Macaya_28_OC.xlsx</t>
  </si>
  <si>
    <t>024_08062026</t>
  </si>
  <si>
    <t>024_08062026_control perdida_Arica iquique.xlsx</t>
  </si>
  <si>
    <t>024_08062026_control perdida_Arica iquique_cotizacion.xlsx</t>
  </si>
  <si>
    <t>024_08062026_control perdida_Arica iquique_Max servcice_29_OC.xlsx</t>
  </si>
  <si>
    <t>024</t>
  </si>
  <si>
    <t>01 Arica-Iquique</t>
  </si>
  <si>
    <t>C:\Users\rcayuleo\OneDrive - Transformadores Tusan SA\Archivos de Claudia Muñoz Farias EXT - Proceso de compras\03 Ordenes de Compra\024_08062026_control perdida_Arica iquique_Max servcice_29_OC.xlsx</t>
  </si>
  <si>
    <t>024_08062026_control perdida_Arica iquique_Mercado libre_30_OC.xlsx</t>
  </si>
  <si>
    <t>C:\Users\rcayuleo\OneDrive - Transformadores Tusan SA\Archivos de Claudia Muñoz Farias EXT - Proceso de compras\03 Ordenes de Compra\024_08062026_control perdida_Arica iquique_Mercado libre_30_OC.xlsx</t>
  </si>
  <si>
    <t>024_08062026_control perdida_Arica iquique_Rac Limitada_31_OC.xlsx</t>
  </si>
  <si>
    <t>MANUFACTURAS RAC LIMITADA</t>
  </si>
  <si>
    <t>C:\Users\rcayuleo\OneDrive - Transformadores Tusan SA\Archivos de Claudia Muñoz Farias EXT - Proceso de compras\03 Ordenes de Compra\024_08062026_control perdida_Arica iquique_Rac Limitada_31_OC.xlsx</t>
  </si>
  <si>
    <t>025_11062026</t>
  </si>
  <si>
    <t>025_11062026_Control de perdida_Rancagua.xlsx</t>
  </si>
  <si>
    <t>025_11062026_Control de perdida_Rancagua_cotizacion.xlsx</t>
  </si>
  <si>
    <t>025_11062026_Control de perdida_Rancagua_Max service_26_OC.xlsx</t>
  </si>
  <si>
    <t>025</t>
  </si>
  <si>
    <t>11-06-2026</t>
  </si>
  <si>
    <t>C:\Users\rcayuleo\OneDrive - Transformadores Tusan SA\Archivos de Claudia Muñoz Farias EXT - Proceso de compras\03 Ordenes de Compra\025_11062026_Control de perdida_Rancagua_Max service_26_OC.xlsx</t>
  </si>
  <si>
    <t>031_16062026</t>
  </si>
  <si>
    <t>031_16062026_CYM_INGECAF_Villarrica.xlsx</t>
  </si>
  <si>
    <t>031_16062026_CYM_INGECAF_Villarrica_Comulsa_12_OC.xlsx</t>
  </si>
  <si>
    <t>031</t>
  </si>
  <si>
    <t>16-06-2026</t>
  </si>
  <si>
    <t>C:\Users\rcayuleo\OneDrive - Transformadores Tusan SA\Archivos de Claudia Muñoz Farias EXT - Proceso de compras\03 Ordenes de Compra\031_16062026_CYM_INGECAF_Villarrica_Comulsa_12_OC.xlsx</t>
  </si>
  <si>
    <t>032_18062026</t>
  </si>
  <si>
    <t>032_18062026_Prevencion_INGECAF_Temuco.xlsx</t>
  </si>
  <si>
    <t>032_18062026_Prevencion_INGECAF_Temuco_cotizacion.xlsx</t>
  </si>
  <si>
    <t>032_18062026_Prevencion_INGECAF_Temuco_Max service_09_OC.xlsx</t>
  </si>
  <si>
    <t>032</t>
  </si>
  <si>
    <t>18-06-2026</t>
  </si>
  <si>
    <t>Katherine Monsalves</t>
  </si>
  <si>
    <t>C:\Users\rcayuleo\OneDrive - Transformadores Tusan SA\Archivos de Claudia Muñoz Farias EXT - Proceso de compras\03 Ordenes de Compra\032_18062026_Prevencion_INGECAF_Temuco_Max service_09_OC.xlsx</t>
  </si>
  <si>
    <t>033_17062026</t>
  </si>
  <si>
    <t>033_17062026_Control perdida_Rancagua.xlsx</t>
  </si>
  <si>
    <t>033_17062026_Control perdida_Rancagua_cotizacion.xlsx</t>
  </si>
  <si>
    <t>033_17062026_Control perdida_Rancagua_segurycel_32_OC.xlsx</t>
  </si>
  <si>
    <t>033</t>
  </si>
  <si>
    <t>17-06-2026</t>
  </si>
  <si>
    <t xml:space="preserve">Carlos Radatt </t>
  </si>
  <si>
    <t>C:\Users\rcayuleo\OneDrive - Transformadores Tusan SA\Archivos de Claudia Muñoz Farias EXT - Proceso de compras\03 Ordenes de Compra\033_17062026_Control perdida_Rancagua_segurycel_32_OC.xlsx</t>
  </si>
  <si>
    <t>034_19062026</t>
  </si>
  <si>
    <t>034_19062026_SAE_Maule Norte.xlsx</t>
  </si>
  <si>
    <t>034_19062026_SAE_Maule Norte_cotizacion.xlsx</t>
  </si>
  <si>
    <t>034_19062026_SAE_Maule Norte_Casa del liniero_34_OC.xlsx</t>
  </si>
  <si>
    <t>034</t>
  </si>
  <si>
    <t>19-06-2026</t>
  </si>
  <si>
    <t>C:\Users\rcayuleo\OneDrive - Transformadores Tusan SA\Archivos de Claudia Muñoz Farias EXT - Proceso de compras\03 Ordenes de Compra\034_19062026_SAE_Maule Norte_Casa del liniero_34_OC.xlsx</t>
  </si>
  <si>
    <t>034_19062026_SAE_Maule Norte_Coprelec_33_OC.xlsx</t>
  </si>
  <si>
    <t>C:\Users\rcayuleo\OneDrive - Transformadores Tusan SA\Archivos de Claudia Muñoz Farias EXT - Proceso de compras\03 Ordenes de Compra\034_19062026_SAE_Maule Norte_Coprelec_33_OC.xlsx</t>
  </si>
  <si>
    <t>034_19062026_SAE_Maule Norte_Ferrelectrica_35_OC.xlsx</t>
  </si>
  <si>
    <t>C:\Users\rcayuleo\OneDrive - Transformadores Tusan SA\Archivos de Claudia Muñoz Farias EXT - Proceso de compras\03 Ordenes de Compra\034_19062026_SAE_Maule Norte_Ferrelectrica_35_OC.xlsx</t>
  </si>
  <si>
    <t>034_19062026_SAE_Maule Norte_Macaya_36_OC.xlsx</t>
  </si>
  <si>
    <t>C:\Users\rcayuleo\OneDrive - Transformadores Tusan SA\Archivos de Claudia Muñoz Farias EXT - Proceso de compras\03 Ordenes de Compra\034_19062026_SAE_Maule Norte_Macaya_36_OC.xlsx</t>
  </si>
  <si>
    <t>034_19062026_SAE_Maule Norte_Rac_37_OC.xlsx</t>
  </si>
  <si>
    <t>C:\Users\rcayuleo\OneDrive - Transformadores Tusan SA\Archivos de Claudia Muñoz Farias EXT - Proceso de compras\03 Ordenes de Compra\034_19062026_SAE_Maule Norte_Rac_37_OC.xlsx</t>
  </si>
  <si>
    <t>035_22062026</t>
  </si>
  <si>
    <t>035_22062026_SAE_INGECAF_Araucania.xlsx</t>
  </si>
  <si>
    <t>035_22062026_SAE_INGECAF_Araucania_Prisa_13_OC.xlsx</t>
  </si>
  <si>
    <t>035</t>
  </si>
  <si>
    <t>22-06-2026</t>
  </si>
  <si>
    <t>C:\Users\rcayuleo\OneDrive - Transformadores Tusan SA\Archivos de Claudia Muñoz Farias EXT - Proceso de compras\03 Ordenes de Compra\035_22062026_SAE_INGECAF_Araucania_Prisa_13_OC.xlsx</t>
  </si>
  <si>
    <t>036_22062026</t>
  </si>
  <si>
    <t>036_22062026_Obra_Villarrica.xlsx</t>
  </si>
  <si>
    <t>036_22062026_Obra_Villarrica_cotizacion.xlsx</t>
  </si>
  <si>
    <t>036</t>
  </si>
  <si>
    <t>037_30062026</t>
  </si>
  <si>
    <t>037_30062026_CYM_INGECAF_Villarrica.xlsx</t>
  </si>
  <si>
    <t>037_30062026_CYM_INGECAF_Villarrica_cotizacion.xlsx</t>
  </si>
  <si>
    <t>037</t>
  </si>
  <si>
    <t>30-06-2026</t>
  </si>
  <si>
    <t>038_30062026</t>
  </si>
  <si>
    <t>038_30062026_SAE_INGECAF_Villarrica.xlsx</t>
  </si>
  <si>
    <t>038_30062026_SAE_INGECAF_Villarrica_cotizacion.xlsx</t>
  </si>
  <si>
    <t>038</t>
  </si>
  <si>
    <t>039_26062026</t>
  </si>
  <si>
    <t>039_26062026_SAE_Maule Norte.xlsx</t>
  </si>
  <si>
    <t>039_26062026_SAE_Maule Norte_cotizacion.xlsx</t>
  </si>
  <si>
    <t>039_26062026_SAE_Maule Norte_Coprelec_38_OC.xlsx</t>
  </si>
  <si>
    <t>039</t>
  </si>
  <si>
    <t>26-06-2026</t>
  </si>
  <si>
    <t>C:\Users\rcayuleo\OneDrive - Transformadores Tusan SA\Archivos de Claudia Muñoz Farias EXT - Proceso de compras\03 Ordenes de Compra\039_26062026_SAE_Maule Norte_Coprelec_38_OC.xlsx</t>
  </si>
  <si>
    <t>040_30062026</t>
  </si>
  <si>
    <t>040_30062026_Control perdida_Rancagua.xlsx</t>
  </si>
  <si>
    <t>040</t>
  </si>
  <si>
    <t>042_01072026</t>
  </si>
  <si>
    <t>042_01072026_SAE_INGECAF_Araucania.xlsx</t>
  </si>
  <si>
    <t>042_01072026_SAE_INGECAF_Araucania_cotizacion.xlsx</t>
  </si>
  <si>
    <t>042</t>
  </si>
  <si>
    <t>01-07-2026</t>
  </si>
  <si>
    <t xml:space="preserve">Katherine Monsalves </t>
  </si>
  <si>
    <t>041_30062026</t>
  </si>
  <si>
    <t>041_30062026_SSTT_Maule Norte.xlsx</t>
  </si>
  <si>
    <t>041</t>
  </si>
  <si>
    <t>Alvaro Maldonado</t>
  </si>
  <si>
    <t>043_02072026</t>
  </si>
  <si>
    <t>043_02072026_Control Perdida_Arica-iquique.xlsx</t>
  </si>
  <si>
    <t>043_02072026_Control Perdida_Arica-iquique_cotizacion.xlsx</t>
  </si>
  <si>
    <t>043</t>
  </si>
  <si>
    <t>02-07-2026</t>
  </si>
  <si>
    <t>044_02072026</t>
  </si>
  <si>
    <t>044_02072026_Administracion_Maule norte.xlsx</t>
  </si>
  <si>
    <t>044</t>
  </si>
  <si>
    <t>Bexsabet Opazo</t>
  </si>
  <si>
    <t>045_05072026</t>
  </si>
  <si>
    <t>045_05072026_CYM_Vilarrica_Apoyo Activo.xlsx</t>
  </si>
  <si>
    <t>045</t>
  </si>
  <si>
    <t>05-07-2026</t>
  </si>
  <si>
    <t>046_05072026</t>
  </si>
  <si>
    <t>046_05072026_CYM_Villarrica_INGECAF.xlsx</t>
  </si>
  <si>
    <t>046</t>
  </si>
  <si>
    <t>047_06072026</t>
  </si>
  <si>
    <t>047_06072026_Flota_INGECAF.xlsx</t>
  </si>
  <si>
    <t>047</t>
  </si>
  <si>
    <t>06-07-2026</t>
  </si>
  <si>
    <t>Raúl Erazo</t>
  </si>
  <si>
    <t>Flota</t>
  </si>
  <si>
    <t>048_06072026</t>
  </si>
  <si>
    <t>048_06072026_Administracion_INGECAF.xlsx</t>
  </si>
  <si>
    <t>048</t>
  </si>
  <si>
    <t>Manuel Cofré Sabaria</t>
  </si>
  <si>
    <t>049_06072026</t>
  </si>
  <si>
    <t>049_06072026_SAE_Maule Sur.xlsx</t>
  </si>
  <si>
    <t>049</t>
  </si>
  <si>
    <t>10 Maule Sur</t>
  </si>
  <si>
    <t>050_07072026</t>
  </si>
  <si>
    <t>050_07072026_Flota_INGECAF.xlsx</t>
  </si>
  <si>
    <t>050</t>
  </si>
  <si>
    <t>07-07-2026</t>
  </si>
  <si>
    <t>051_06072026</t>
  </si>
  <si>
    <t>051_06072026_Prevencion riesgos_Colchagua.xlsx</t>
  </si>
  <si>
    <t>051</t>
  </si>
  <si>
    <t xml:space="preserve">Roberto Yáñez Fuentes </t>
  </si>
  <si>
    <t>052_07072026</t>
  </si>
  <si>
    <t>052_07072026_SAE_Villarrica_INGECAF.xlsx</t>
  </si>
  <si>
    <t>052</t>
  </si>
  <si>
    <t>053_08072026</t>
  </si>
  <si>
    <t>053_08072026_Multiproposito_Rancagua.xlsx</t>
  </si>
  <si>
    <t>053</t>
  </si>
  <si>
    <t>08-07-2026</t>
  </si>
  <si>
    <t>054_08072026</t>
  </si>
  <si>
    <t>054_08072026_Multiproposito_Maule Norte.xlsx</t>
  </si>
  <si>
    <t>054</t>
  </si>
  <si>
    <t>055_08072026</t>
  </si>
  <si>
    <t>055_08072026_CYM_Maule Norte.xlsx</t>
  </si>
  <si>
    <t>055</t>
  </si>
  <si>
    <t>056_09072026</t>
  </si>
  <si>
    <t>056_09072026_Prevencion_Araucania_INGECAF.xlsx</t>
  </si>
  <si>
    <t>056</t>
  </si>
  <si>
    <t>09-07-2026</t>
  </si>
  <si>
    <t>057_08072026</t>
  </si>
  <si>
    <t>057_08072026_Sae_Maule Norte.xlsx</t>
  </si>
  <si>
    <t>057</t>
  </si>
  <si>
    <t>Pablo Zurita Flores</t>
  </si>
  <si>
    <t>058_09072026</t>
  </si>
  <si>
    <t>058_09072026_Administracion_Maule Norte.xlsx</t>
  </si>
  <si>
    <t>058</t>
  </si>
  <si>
    <t>059_10072026</t>
  </si>
  <si>
    <t>059_10072026_Flota_INGECAF.xlsx</t>
  </si>
  <si>
    <t>059</t>
  </si>
  <si>
    <t>10-07-2026</t>
  </si>
  <si>
    <t>060</t>
  </si>
  <si>
    <t>10-07-2027</t>
  </si>
  <si>
    <t>061_13072026</t>
  </si>
  <si>
    <t>061_13072026_CYM_Colchagua.xlsx</t>
  </si>
  <si>
    <t>061</t>
  </si>
  <si>
    <t>13-07-2026</t>
  </si>
  <si>
    <t>Victor Riquelme Albornoz</t>
  </si>
  <si>
    <t>062_14072026</t>
  </si>
  <si>
    <t>062_14072026_SAE_INGECAF.xlsx</t>
  </si>
  <si>
    <t>062</t>
  </si>
  <si>
    <t>14-07-2026</t>
  </si>
  <si>
    <t>Proceso OC completo</t>
  </si>
  <si>
    <t>Fecha requisicion</t>
  </si>
  <si>
    <t>03 Ordenes de Compra</t>
  </si>
  <si>
    <t>contrato</t>
  </si>
  <si>
    <t>zona</t>
  </si>
  <si>
    <t>monto</t>
  </si>
  <si>
    <t>Empresa compradora</t>
  </si>
  <si>
    <t>Columna1</t>
  </si>
  <si>
    <t>001_20052026_control perdida_colchagua</t>
  </si>
  <si>
    <t>001_20052026_control perdidas_colchagua_cotizacion</t>
  </si>
  <si>
    <t>001_20052026_control perdidas_colchagua_01_OC</t>
  </si>
  <si>
    <t>credito</t>
  </si>
  <si>
    <t xml:space="preserve">Control de Pérdida </t>
  </si>
  <si>
    <t>colchagua</t>
  </si>
  <si>
    <t>Apoyo Activo</t>
  </si>
  <si>
    <t>001_20052026_control perdidas_colchagua_02_OC</t>
  </si>
  <si>
    <t>Contado</t>
  </si>
  <si>
    <t>001_20052026_control perdidas_colchagua_03_OC</t>
  </si>
  <si>
    <t>001_20052026_control perdidas_colchagua_04_OC</t>
  </si>
  <si>
    <t>002_19052026_CYM_Villarrica</t>
  </si>
  <si>
    <t>002_20052026_CYM_Villarrica_cotizacion.</t>
  </si>
  <si>
    <t>002_CYM_VRCA_INGECAF_EASY_OC 1</t>
  </si>
  <si>
    <t>CYM</t>
  </si>
  <si>
    <t>Maule Norte</t>
  </si>
  <si>
    <t>ingecaf</t>
  </si>
  <si>
    <t>003_22052026_CYM_Villarrica.</t>
  </si>
  <si>
    <t>003_22052026_CYM_Villarrica_cotizacion.</t>
  </si>
  <si>
    <t>003_22052026_CYM_INGECAF_MAX SERVICE_02_OC</t>
  </si>
  <si>
    <t>Credito</t>
  </si>
  <si>
    <t>araucania</t>
  </si>
  <si>
    <t>004_22052026_control perdidas_Rancagua</t>
  </si>
  <si>
    <t>004_22052026_control perdidas_Rancagua_cotizacion.</t>
  </si>
  <si>
    <t>004_22052026_control perdidas_Rancagua_Max service_13_OC</t>
  </si>
  <si>
    <t>Rancagua</t>
  </si>
  <si>
    <t xml:space="preserve">004_22052026_control perdidas_Rancagua _Mercadolibre_14_OC
</t>
  </si>
  <si>
    <t>005_25052026_Prevencion Riesgos_Temuco</t>
  </si>
  <si>
    <t>005_25052026_prevencion riesgos_Temuco_cotizacion.</t>
  </si>
  <si>
    <t>005_25052026_prevencion riesgos_Temuco INGECAF_Max service_07_OC</t>
  </si>
  <si>
    <t>Prevencion Riesgo</t>
  </si>
  <si>
    <t>006_25052026_CYM_Villarrica</t>
  </si>
  <si>
    <t>006_25052026_CYM_Villarrica_cotizacion.</t>
  </si>
  <si>
    <t>006_25052026_CYM_Villarrica_INGECAF_MERCADO LIBRE_03_OC</t>
  </si>
  <si>
    <t>007_25052026_SAE_Temuco_cotizacion.</t>
  </si>
  <si>
    <t>007_25052026_SAE TEMUCO_INGECAF_04_OC</t>
  </si>
  <si>
    <t>SAE</t>
  </si>
  <si>
    <t>008_25052026_SAE_Temuco</t>
  </si>
  <si>
    <t>008_25052026_SAE_Temuco_cotizacion.</t>
  </si>
  <si>
    <t>008_25052026_SAE TEMUCO INGECAF_SODIMAC_05_OC</t>
  </si>
  <si>
    <t>009_25052026_CYM_Villarrica_cotizacion.</t>
  </si>
  <si>
    <t>009_25052026_CYM VILLARRICA INGECAF_SODIMAC_06_OC</t>
  </si>
  <si>
    <t>010_19052026_servicio tecnico_Maule Norte</t>
  </si>
  <si>
    <t>010_19052026_servicio tecnico_maule norte_cotizacion</t>
  </si>
  <si>
    <t>010_19052026_felipe lara_maule norte_Casa del liniero 07_OC</t>
  </si>
  <si>
    <t>servicio tecnico</t>
  </si>
  <si>
    <t>010_19052026_felipe lara_maule norte_Ferrelectrica_08_OC</t>
  </si>
  <si>
    <t>010_19052026_felipe lara_maule norte_Macaya_09_OC</t>
  </si>
  <si>
    <t>011_19052026_construccion y mantenimiento_Maule norte</t>
  </si>
  <si>
    <t>011_19052026_contruccion y mantenimiento_Maule Norte_cotizacion</t>
  </si>
  <si>
    <t>011_19052026_contruccion y mantenimiento_Maule Norte_05_OC</t>
  </si>
  <si>
    <t>011_19052026_contruccion y mantenimiento_Maule Norte_06_OC</t>
  </si>
  <si>
    <t>012_19052026_SAE_Maule Norte</t>
  </si>
  <si>
    <t>012_19052026_SAE_Maule Norte_cotizacion</t>
  </si>
  <si>
    <t>012_19052026_SAE_Maule norte_Casa del liniero_10_OC</t>
  </si>
  <si>
    <t>012_19052026_SAE_Maule norte_Ferrelectrica_11_OC</t>
  </si>
  <si>
    <t>012_19052026_SAE_Maule Norte_Macaya_12_OC</t>
  </si>
  <si>
    <t>013_19052026_CYM_Maule Norte</t>
  </si>
  <si>
    <t>013_19052026_CYM_Maule Norte_cotizacion</t>
  </si>
  <si>
    <t>013_CYM_Maule Norte_Mercado libre_15_OC</t>
  </si>
  <si>
    <t>maule Norte</t>
  </si>
  <si>
    <t>N° solicitud</t>
  </si>
  <si>
    <t>Empresa</t>
  </si>
  <si>
    <t xml:space="preserve">fecha pago </t>
  </si>
  <si>
    <t>fecha entrega</t>
  </si>
  <si>
    <t>Comentario</t>
  </si>
  <si>
    <t>procesado</t>
  </si>
  <si>
    <t xml:space="preserve">apoyo activo </t>
  </si>
  <si>
    <t xml:space="preserve">ingecaf </t>
  </si>
  <si>
    <t>pendiente</t>
  </si>
  <si>
    <t xml:space="preserve">credito </t>
  </si>
  <si>
    <t>063</t>
  </si>
  <si>
    <t>064</t>
  </si>
  <si>
    <t>065</t>
  </si>
  <si>
    <t>023_03062026_Prevencion riesgos_Araucania_apoyo activo_Coprelec_39_OC.xlsx</t>
  </si>
  <si>
    <t>C:\Users\rcayuleo\OneDrive - Transformadores Tusan SA\Archivos de Claudia Muñoz Farias EXT - Proceso de compras\03 Ordenes de Compra\023_03062026_Prevencion riesgos_Araucania_apoyo activo_Coprelec_39_OC.xlsx</t>
  </si>
  <si>
    <t>030_15062026_CYM_INGECAF_Villarrica_Casa del liniero_10_OC.xlsx</t>
  </si>
  <si>
    <t>C:\Users\rcayuleo\OneDrive - Transformadores Tusan SA\Archivos de Claudia Muñoz Farias EXT - Proceso de compras\03 Ordenes de Compra\030_15062026_CYM_INGECAF_Villarrica_Casa del liniero_10_OC.xlsx</t>
  </si>
  <si>
    <t>030_15062026_CYM_INGECAF_Villarrica_Kupfer_11_OC.xlsx</t>
  </si>
  <si>
    <t>C:\Users\rcayuleo\OneDrive - Transformadores Tusan SA\Archivos de Claudia Muñoz Farias EXT - Proceso de compras\03 Ordenes de Compra\030_15062026_CYM_INGECAF_Villarrica_Kupfer_11_OC.xlsx</t>
  </si>
  <si>
    <t>COMERCIALIZADORA MULTINACIONAL SPA</t>
  </si>
  <si>
    <t>036_22062026_Obra_Villarrica_INGECAF_PRISA_14_OC.xlsx</t>
  </si>
  <si>
    <t>C:\Users\rcayuleo\OneDrive - Transformadores Tusan SA\Archivos de Claudia Muñoz Farias EXT - Proceso de compras\03 Ordenes de Compra\036_22062026_Obra_Villarrica_INGECAF_PRISA_14_OC.xlsx</t>
  </si>
  <si>
    <t>037_30062026_CYM_INGECAF_Villarrica_Mercado libre_15_OC.xlsx</t>
  </si>
  <si>
    <t>C:\Users\rcayuleo\OneDrive - Transformadores Tusan SA\Archivos de Claudia Muñoz Farias EXT - Proceso de compras\03 Ordenes de Compra\037_30062026_CYM_INGECAF_Villarrica_Mercado libre_15_OC.xlsx</t>
  </si>
  <si>
    <t>038_30062026_SAE_INGECAF_Villarrica_Mercado libre_16_OC.xlsx</t>
  </si>
  <si>
    <t>C:\Users\rcayuleo\OneDrive - Transformadores Tusan SA\Archivos de Claudia Muñoz Farias EXT - Proceso de compras\03 Ordenes de Compra\038_30062026_SAE_INGECAF_Villarrica_Mercado libre_16_OC.xlsx</t>
  </si>
  <si>
    <t>040_30062026_Control perdida_Rancagua_Segurycel_41_OC.xlsx</t>
  </si>
  <si>
    <t>C:\Users\rcayuleo\OneDrive - Transformadores Tusan SA\Archivos de Claudia Muñoz Farias EXT - Proceso de compras\03 Ordenes de Compra\040_30062026_Control perdida_Rancagua_Segurycel_41_OC.xlsx</t>
  </si>
  <si>
    <t>041_30062026_SSTT_Maule Norte_Coprelec_47_OC.xlsx</t>
  </si>
  <si>
    <t>C:\Users\rcayuleo\OneDrive - Transformadores Tusan SA\Archivos de Claudia Muñoz Farias EXT - Proceso de compras\03 Ordenes de Compra\041_30062026_SSTT_Maule Norte_Coprelec_47_OC.xlsx</t>
  </si>
  <si>
    <t>041_30062026_SSTT_Maule Norte_Mercado Libre_48_OC.xlsx</t>
  </si>
  <si>
    <t>C:\Users\rcayuleo\OneDrive - Transformadores Tusan SA\Archivos de Claudia Muñoz Farias EXT - Proceso de compras\03 Ordenes de Compra\041_30062026_SSTT_Maule Norte_Mercado Libre_48_OC.xlsx</t>
  </si>
  <si>
    <t>043_02072026_Control Perdida_Arica y iquique_Segurycel_OC_40.xlsx</t>
  </si>
  <si>
    <t>C:\Users\rcayuleo\OneDrive - Transformadores Tusan SA\Archivos de Claudia Muñoz Farias EXT - Proceso de compras\03 Ordenes de Compra\043_02072026_Control Perdida_Arica y iquique_Segurycel_OC_40.xlsx</t>
  </si>
  <si>
    <t>043_02072026_Control Perdida_Arica-iquique_Coprelec_49_OC.xlsx</t>
  </si>
  <si>
    <t>C:\Users\rcayuleo\OneDrive - Transformadores Tusan SA\Archivos de Claudia Muñoz Farias EXT - Proceso de compras\03 Ordenes de Compra\043_02072026_Control Perdida_Arica-iquique_Coprelec_49_OC.xlsx</t>
  </si>
  <si>
    <t>043_02072026_Control Perdida_Arica-iquique_Ferrelectrica_50_OC.xlsx</t>
  </si>
  <si>
    <t>C:\Users\rcayuleo\OneDrive - Transformadores Tusan SA\Archivos de Claudia Muñoz Farias EXT - Proceso de compras\03 Ordenes de Compra\043_02072026_Control Perdida_Arica-iquique_Ferrelectrica_50_OC.xlsx</t>
  </si>
  <si>
    <t>043_02072026_Control Perdida_Arica-iquique_Mercado libre_51_OC.xlsx</t>
  </si>
  <si>
    <t>C:\Users\rcayuleo\OneDrive - Transformadores Tusan SA\Archivos de Claudia Muñoz Farias EXT - Proceso de compras\03 Ordenes de Compra\043_02072026_Control Perdida_Arica-iquique_Mercado libre_51_OC.xlsx</t>
  </si>
  <si>
    <t>045_05072026_CYM_Vilarrica_Apoyo Activo_cotizacion.xlsx</t>
  </si>
  <si>
    <t>045_05072026_CYM_Vilarrica_Max service_42_OC.xlsx</t>
  </si>
  <si>
    <t>C:\Users\rcayuleo\OneDrive - Transformadores Tusan SA\Archivos de Claudia Muñoz Farias EXT - Proceso de compras\03 Ordenes de Compra\045_05072026_CYM_Vilarrica_Max service_42_OC.xlsx</t>
  </si>
  <si>
    <t>046_05072026_CYM_Villarrica_INGECAF_cotizacion.xlsx</t>
  </si>
  <si>
    <t>046_05072026_CYM_Villarrica_INGECAF_Max service_17_OC.xlsx</t>
  </si>
  <si>
    <t>C:\Users\rcayuleo\OneDrive - Transformadores Tusan SA\Archivos de Claudia Muñoz Farias EXT - Proceso de compras\03 Ordenes de Compra\046_05072026_CYM_Villarrica_INGECAF_Max service_17_OC.xlsx</t>
  </si>
  <si>
    <t>049_06072026_SAE_Maule Sur_cotizacion.xlsx</t>
  </si>
  <si>
    <t>049_06072026_SAE_Maule Sur_Coprelec_43_OC.xlsx</t>
  </si>
  <si>
    <t>C:\Users\rcayuleo\OneDrive - Transformadores Tusan SA\Archivos de Claudia Muñoz Farias EXT - Proceso de compras\03 Ordenes de Compra\049_06072026_SAE_Maule Sur_Coprelec_43_OC.xlsx</t>
  </si>
  <si>
    <t>050_07072026_Flota_INGECAF_cotizacion.xlsx</t>
  </si>
  <si>
    <t>050_07072026_Flota_INGECAF_Mercado Libre_18_OC.xlsx</t>
  </si>
  <si>
    <t>C:\Users\rcayuleo\OneDrive - Transformadores Tusan SA\Archivos de Claudia Muñoz Farias EXT - Proceso de compras\03 Ordenes de Compra\050_07072026_Flota_INGECAF_Mercado Libre_18_OC.xlsx</t>
  </si>
  <si>
    <t>051_06072026_Prevencion riesgos_Colchagua_cotizacion.xlsx</t>
  </si>
  <si>
    <t>051_06072026_Prevencion riesgos_Colchagua_Segurycel_45_OC.xlsx</t>
  </si>
  <si>
    <t>C:\Users\rcayuleo\OneDrive - Transformadores Tusan SA\Archivos de Claudia Muñoz Farias EXT - Proceso de compras\03 Ordenes de Compra\051_06072026_Prevencion riesgos_Colchagua_Segurycel_45_OC.xlsx</t>
  </si>
  <si>
    <t>052_07072026_SAE_Villarrica_INGECAF_cotizacion.xlsx</t>
  </si>
  <si>
    <t>052_07072026_SAE_Villarrica_INGECAF_Ferrelectrica_20_OC.xlsx</t>
  </si>
  <si>
    <t>C:\Users\rcayuleo\OneDrive - Transformadores Tusan SA\Archivos de Claudia Muñoz Farias EXT - Proceso de compras\03 Ordenes de Compra\052_07072026_SAE_Villarrica_INGECAF_Ferrelectrica_20_OC.xlsx</t>
  </si>
  <si>
    <t>052_07072026_SAE_Villarrica_INGECAF_Max service_19_OC.xlsx</t>
  </si>
  <si>
    <t>C:\Users\rcayuleo\OneDrive - Transformadores Tusan SA\Archivos de Claudia Muñoz Farias EXT - Proceso de compras\03 Ordenes de Compra\052_07072026_SAE_Villarrica_INGECAF_Max service_19_OC.xlsx</t>
  </si>
  <si>
    <t>053_08072026_Multiproposito_Rancagua_cotizacion.xlsx</t>
  </si>
  <si>
    <t>053_08072026_Multiproposito_Rancagua_PC factory_44_OC.xlsx</t>
  </si>
  <si>
    <t>PC FACTORY</t>
  </si>
  <si>
    <t>C:\Users\rcayuleo\OneDrive - Transformadores Tusan SA\Archivos de Claudia Muñoz Farias EXT - Proceso de compras\03 Ordenes de Compra\053_08072026_Multiproposito_Rancagua_PC factory_44_OC.xlsx</t>
  </si>
  <si>
    <t>056_09072026_Prevencion_Araucania_INGECAF_cotizacion.xlsx</t>
  </si>
  <si>
    <t>056_09072026_Prevencion_Araucania_INGECAF_Max service_21_OC.xlsx</t>
  </si>
  <si>
    <t>C:\Users\rcayuleo\OneDrive - Transformadores Tusan SA\Archivos de Claudia Muñoz Farias EXT - Proceso de compras\03 Ordenes de Compra\056_09072026_Prevencion_Araucania_INGECAF_Max service_21_OC.xlsx</t>
  </si>
  <si>
    <t>058_09072026_Administracion_Maule Norte_cotizacion.xlsx</t>
  </si>
  <si>
    <t>058_09072026_Administracion_Maule Norte_Prisa_46_OC.xlsx</t>
  </si>
  <si>
    <t>C:\Users\rcayuleo\OneDrive - Transformadores Tusan SA\Archivos de Claudia Muñoz Farias EXT - Proceso de compras\03 Ordenes de Compra\058_09072026_Administracion_Maule Norte_Prisa_46_OC.xlsx</t>
  </si>
  <si>
    <t>059_10072026_Flota_INGECAF_cotizacion.xlsx</t>
  </si>
  <si>
    <t>059_10072026_Flota_INGECAF_Boris letras adhesivas_22_OC.xlsx</t>
  </si>
  <si>
    <t xml:space="preserve">LETRAS ADHESIVAS BORIS </t>
  </si>
  <si>
    <t>C:\Users\rcayuleo\OneDrive - Transformadores Tusan SA\Archivos de Claudia Muñoz Farias EXT - Proceso de compras\03 Ordenes de Compra\059_10072026_Flota_INGECAF_Boris letras adhesivas_22_OC.xlsx</t>
  </si>
  <si>
    <t>061_13072026_CYM_Colchagua_cotizacion.xlsx</t>
  </si>
  <si>
    <t>061_13072026_CYM_Colchagua_El castillo spa_53_OC.xlsx</t>
  </si>
  <si>
    <t xml:space="preserve">EL CASTILLO SPA </t>
  </si>
  <si>
    <t>C:\Users\rcayuleo\OneDrive - Transformadores Tusan SA\Archivos de Claudia Muñoz Farias EXT - Proceso de compras\03 Ordenes de Compra\061_13072026_CYM_Colchagua_El castillo spa_53_OC.xlsx</t>
  </si>
  <si>
    <t>061_13072026_CYM_Colchagua_Prisa_52_OC.xlsx</t>
  </si>
  <si>
    <t>C:\Users\rcayuleo\OneDrive - Transformadores Tusan SA\Archivos de Claudia Muñoz Farias EXT - Proceso de compras\03 Ordenes de Compra\061_13072026_CYM_Colchagua_Prisa_52_OC.xlsx</t>
  </si>
  <si>
    <t>063_15072026</t>
  </si>
  <si>
    <t>063_15072026_SAE_INGECAF.xlsx</t>
  </si>
  <si>
    <t>063_15072026_SAE_INGECAF_cotizacion.xlsx</t>
  </si>
  <si>
    <t>063_15072026_SAE_INGECAF_Max service_25_OC.xlsx</t>
  </si>
  <si>
    <t>15-07-2026</t>
  </si>
  <si>
    <t>C:\Users\rcayuleo\OneDrive - Transformadores Tusan SA\Archivos de Claudia Muñoz Farias EXT - Proceso de compras\03 Ordenes de Compra\063_15072026_SAE_INGECAF_Max service_25_OC.xlsx</t>
  </si>
  <si>
    <t>064_15072026</t>
  </si>
  <si>
    <t>064_15072026_CYM_INGECAF.xlsx</t>
  </si>
  <si>
    <t>064_15072026_CYM_INGECAF_cotizacion.xlsx</t>
  </si>
  <si>
    <t>064_15072026_CYM_INGECAF_Comulsa_23_OC.xlsx</t>
  </si>
  <si>
    <t>C:\Users\rcayuleo\OneDrive - Transformadores Tusan SA\Archivos de Claudia Muñoz Farias EXT - Proceso de compras\03 Ordenes de Compra\064_15072026_CYM_INGECAF_Comulsa_23_OC.xlsx</t>
  </si>
  <si>
    <t>064_15072026_CYM_INGECAF_Coprelec_24_OC.xlsx</t>
  </si>
  <si>
    <t>C:\Users\rcayuleo\OneDrive - Transformadores Tusan SA\Archivos de Claudia Muñoz Farias EXT - Proceso de compras\03 Ordenes de Compra\064_15072026_CYM_INGECAF_Coprelec_24_OC.xlsx</t>
  </si>
  <si>
    <t>047_06072026_Flota_INGECAF_cotizacion.xlsx</t>
  </si>
  <si>
    <t>048_06072026_Administracion_INGECAF_cotizacion.xlsx</t>
  </si>
  <si>
    <t>054_08072026_Multiproposito_Maule Norte_cotizacion.xlsx</t>
  </si>
  <si>
    <t>055_08072026_CYM_Maule Norte_cotizacion.xlsx</t>
  </si>
  <si>
    <t>057_08072026_Sae_Maule Norte_cotizacion.xlsx</t>
  </si>
  <si>
    <t>060_10072027_SAE_INGECAF_cotizacion.xlsx</t>
  </si>
  <si>
    <t>062_14072026_SAE_INGECAF_cotizacion.xlsx</t>
  </si>
  <si>
    <t>065_20072026</t>
  </si>
  <si>
    <t>065_20072026_CYM_Maule Norte.xlsx</t>
  </si>
  <si>
    <t>065_20072026_CYM_Maule norte_cotizacion.xlsx</t>
  </si>
  <si>
    <t>20-07-2026</t>
  </si>
  <si>
    <t xml:space="preserve">Jorge Retamal </t>
  </si>
  <si>
    <t>N°</t>
  </si>
  <si>
    <t>Estado Gestión</t>
  </si>
  <si>
    <t>066_21072026</t>
  </si>
  <si>
    <t>066_21072026_Multiproposito_Maule norte.xlsx</t>
  </si>
  <si>
    <t>066</t>
  </si>
  <si>
    <t>21-07-2026</t>
  </si>
  <si>
    <t>Dagoberto Acevedo</t>
  </si>
  <si>
    <t>067_21072026</t>
  </si>
  <si>
    <t>067_21072026_CYM_Maule Norte.xlsx</t>
  </si>
  <si>
    <t>067</t>
  </si>
  <si>
    <t>068_22072026</t>
  </si>
  <si>
    <t>068_22072026_Multiproposito_ Maule Norte.xlsx</t>
  </si>
  <si>
    <t>068</t>
  </si>
  <si>
    <t>22-07-2026</t>
  </si>
  <si>
    <t>069_21072026</t>
  </si>
  <si>
    <t>069_21072026_Servicio tecnico_Maule norte.xlsx</t>
  </si>
  <si>
    <t>069</t>
  </si>
  <si>
    <t>070_22072026</t>
  </si>
  <si>
    <t>070_22072026_Flota_INGECAF_Araucania.xlsx</t>
  </si>
  <si>
    <t>070</t>
  </si>
  <si>
    <t>071_23072026</t>
  </si>
  <si>
    <t>071_23072026_Prevencion de riesgos_Maule norte.xlsx</t>
  </si>
  <si>
    <t>071</t>
  </si>
  <si>
    <t>23-07-2026</t>
  </si>
  <si>
    <t>072_23072026</t>
  </si>
  <si>
    <t>072_23072026_prevencion riesgo_,maule norte.xlsx</t>
  </si>
  <si>
    <t>072</t>
  </si>
  <si>
    <t>anulado</t>
  </si>
  <si>
    <t>ok</t>
  </si>
  <si>
    <t xml:space="preserve">oc enviada pendiente a recibir articulos </t>
  </si>
  <si>
    <t>040_30062026_Control perdida_Rancagua_cotizacion.xlsx</t>
  </si>
  <si>
    <t>041_30062026_SSTT_Maule Norte_cotizacion.xlsx</t>
  </si>
  <si>
    <t>054_08072026_Multiproposito_Maule Norte_Coprelec_55_OC.xlsx</t>
  </si>
  <si>
    <t>C:\Users\rcayuleo\OneDrive - Transformadores Tusan SA\Archivos de Claudia Muñoz Farias EXT - Proceso de compras\03 Ordenes de Compra\054_08072026_Multiproposito_Maule Norte_Coprelec_55_OC.xlsx</t>
  </si>
  <si>
    <t>057_08072026_Sae_Maule Norte_Comulsa_59_OC.xlsx</t>
  </si>
  <si>
    <t>C:\Users\rcayuleo\OneDrive - Transformadores Tusan SA\Archivos de Claudia Muñoz Farias EXT - Proceso de compras\03 Ordenes de Compra\057_08072026_Sae_Maule Norte_Comulsa_59_OC.xlsx</t>
  </si>
  <si>
    <t>057_08072026_Sae_Maule Norte_Coprelec_60_OC.xlsx</t>
  </si>
  <si>
    <t>C:\Users\rcayuleo\OneDrive - Transformadores Tusan SA\Archivos de Claudia Muñoz Farias EXT - Proceso de compras\03 Ordenes de Compra\057_08072026_Sae_Maule Norte_Coprelec_60_OC.xlsx</t>
  </si>
  <si>
    <t>057_08072026_Sae_Maule Norte_Mercado Libre_61_OC.xlsx</t>
  </si>
  <si>
    <t>C:\Users\rcayuleo\OneDrive - Transformadores Tusan SA\Archivos de Claudia Muñoz Farias EXT - Proceso de compras\03 Ordenes de Compra\057_08072026_Sae_Maule Norte_Mercado Libre_61_OC.xlsx</t>
  </si>
  <si>
    <t>057_08072026_Sae_Maule Norte_Pcelectric_62_OC.xlsx</t>
  </si>
  <si>
    <t>COMERCIAL PCELECTRIC S.A</t>
  </si>
  <si>
    <t>C:\Users\rcayuleo\OneDrive - Transformadores Tusan SA\Archivos de Claudia Muñoz Farias EXT - Proceso de compras\03 Ordenes de Compra\057_08072026_Sae_Maule Norte_Pcelectric_62_OC.xlsx</t>
  </si>
  <si>
    <t>065_20072026_CYM_Maule norte_Comulsa_54_OC.xlsx</t>
  </si>
  <si>
    <t xml:space="preserve">COMULSA </t>
  </si>
  <si>
    <t>C:\Users\rcayuleo\OneDrive - Transformadores Tusan SA\Archivos de Claudia Muñoz Farias EXT - Proceso de compras\03 Ordenes de Compra\065_20072026_CYM_Maule norte_Comulsa_54_OC.xlsx</t>
  </si>
  <si>
    <t>066_21072026_Multiproposito_Maule norte_Coprelec_56_OC.xlsx</t>
  </si>
  <si>
    <t>C:\Users\rcayuleo\OneDrive - Transformadores Tusan SA\Archivos de Claudia Muñoz Farias EXT - Proceso de compras\03 Ordenes de Compra\066_21072026_Multiproposito_Maule norte_Coprelec_56_OC.xlsx</t>
  </si>
  <si>
    <t>067_21072026_CYM_Maule norte_cotizacion.xlsx</t>
  </si>
  <si>
    <t>067_21072026_CYM_Maule norte_Coprelec_57_OC.xlsx</t>
  </si>
  <si>
    <t>C:\Users\rcayuleo\OneDrive - Transformadores Tusan SA\Archivos de Claudia Muñoz Farias EXT - Proceso de compras\03 Ordenes de Compra\067_21072026_CYM_Maule norte_Coprelec_57_OC.xlsx</t>
  </si>
  <si>
    <t>068_22072026_Multiproposito_Maule norte_cotizacion.xlsx</t>
  </si>
  <si>
    <t>068_22072026_Multiproposito_Maule norte_Coprelec_58_OC.xlsx</t>
  </si>
  <si>
    <t>C:\Users\rcayuleo\OneDrive - Transformadores Tusan SA\Archivos de Claudia Muñoz Farias EXT - Proceso de compras\03 Ordenes de Compra\068_22072026_Multiproposito_Maule norte_Coprelec_58_OC.xlsx</t>
  </si>
  <si>
    <t>069_21072026_Servicio tecnico_Maule norte_cotizacion.xlsx</t>
  </si>
  <si>
    <t>069_21072026_Servicio tecnico_Maule norte_Coprelec_63_OC.xlsx</t>
  </si>
  <si>
    <t>C:\Users\rcayuleo\OneDrive - Transformadores Tusan SA\Archivos de Claudia Muñoz Farias EXT - Proceso de compras\03 Ordenes de Compra\069_21072026_Servicio tecnico_Maule norte_Coprelec_63_OC.xlsx</t>
  </si>
  <si>
    <t>044_02072026_Administracion_Maule norte_cotizacion.xlsx</t>
  </si>
  <si>
    <t>070_22072026_Flota_INGECAF_Araucania_cotizacion.xlsx</t>
  </si>
  <si>
    <t>071_23072026_Prevencion de riesgos_Maule norte_cotizacion.xlsx</t>
  </si>
  <si>
    <t>072_23072026_prevencion riesgo_,maule norte_cotizacion.xlsx</t>
  </si>
  <si>
    <t>073_22072026</t>
  </si>
  <si>
    <t>073_22072026_Adminmistracion_INGECAF_Villarrica_cotizacion.xlsx</t>
  </si>
  <si>
    <t>073</t>
  </si>
  <si>
    <t>042_01072026_SAE_INGECAF_Araucania_Coprelec_31_OC.xlsx</t>
  </si>
  <si>
    <t>C:\Users\rcayuleo\OneDrive - Transformadores Tusan SA\Archivos de Claudia Muñoz Farias EXT - Proceso de compras\03 Ordenes de Compra\042_01072026_SAE_INGECAF_Araucania_Coprelec_31_OC.xlsx</t>
  </si>
  <si>
    <t>060_10072027_SAE_INGECAF_Mercado libre_29_OC.xlsx</t>
  </si>
  <si>
    <t>C:\Users\rcayuleo\OneDrive - Transformadores Tusan SA\Archivos de Claudia Muñoz Farias EXT - Proceso de compras\03 Ordenes de Compra\060_10072027_SAE_INGECAF_Mercado libre_29_OC.xlsx</t>
  </si>
  <si>
    <t>062_14072026_SAE_INGECAF_Coprelec_28_OC.xlsx</t>
  </si>
  <si>
    <t>C:\Users\rcayuleo\OneDrive - Transformadores Tusan SA\Archivos de Claudia Muñoz Farias EXT - Proceso de compras\03 Ordenes de Compra\062_14072026_SAE_INGECAF_Coprelec_28_OC.xlsx</t>
  </si>
  <si>
    <t>063_15072026_SAE_INGECAF_Coprelec_26_OC.xlsx</t>
  </si>
  <si>
    <t>C:\Users\rcayuleo\OneDrive - Transformadores Tusan SA\Archivos de Claudia Muñoz Farias EXT - Proceso de compras\03 Ordenes de Compra\063_15072026_SAE_INGECAF_Coprelec_26_OC.xlsx</t>
  </si>
  <si>
    <t>063_15072026_SAE_INGECAF_Ferrelectrica_27_OC.xlsx</t>
  </si>
  <si>
    <t>C:\Users\rcayuleo\OneDrive - Transformadores Tusan SA\Archivos de Claudia Muñoz Farias EXT - Proceso de compras\03 Ordenes de Compra\063_15072026_SAE_INGECAF_Ferrelectrica_27_OC.xlsx</t>
  </si>
  <si>
    <t>070_22072026_Flota_INGECAF_Araucania_Mercado Libre_30_OC.xlsx</t>
  </si>
  <si>
    <t>C:\Users\rcayuleo\OneDrive - Transformadores Tusan SA\Archivos de Claudia Muñoz Farias EXT - Proceso de compras\03 Ordenes de Compra\070_22072026_Flota_INGECAF_Araucania_Mercado Libre_30_OC.xlsx</t>
  </si>
  <si>
    <t>060_10072026</t>
  </si>
  <si>
    <t>060_10072026_SAE_INGECAF.xlsx</t>
  </si>
  <si>
    <t>075_28072026</t>
  </si>
  <si>
    <t>075_28072026_CYM_INGECAF_Villarrica.xlsx</t>
  </si>
  <si>
    <t>075_28072026_CYM_INGECAF_Villarrica_cotizacion.xlsx</t>
  </si>
  <si>
    <t>075_28072026_CYM_INGECAF_Villarrica_hhrental_32_OC.xlsx</t>
  </si>
  <si>
    <t>075</t>
  </si>
  <si>
    <t>28-07-2026</t>
  </si>
  <si>
    <t>ARRIENDO DE MAQUINARIAS HECTOR HUENUQUEO EIRL</t>
  </si>
  <si>
    <t xml:space="preserve">Alexander Cariman </t>
  </si>
  <si>
    <t>C:\Users\rcayuleo\OneDrive - Transformadores Tusan SA\Archivos de Claudia Muñoz Farias EXT - Proceso de compras\03 Ordenes de Compra\075_28072026_CYM_INGECAF_Villarrica_hhrental_32_OC.xlsx</t>
  </si>
  <si>
    <t>074_27072026</t>
  </si>
  <si>
    <t>074_27072026_SAE_INGECAF_Araucania.xlsx</t>
  </si>
  <si>
    <t>074</t>
  </si>
  <si>
    <t>27-07-2026</t>
  </si>
  <si>
    <t>Katherine Monsalves E.</t>
  </si>
  <si>
    <t>076_28072026</t>
  </si>
  <si>
    <t>076_28072026_CYM_INGECAF_ARAUCANIA.xlsx</t>
  </si>
  <si>
    <t>076_28072026_CYM_INGECAF_ARAUCANIA_cotizacion.xlsx</t>
  </si>
  <si>
    <t>076</t>
  </si>
  <si>
    <t xml:space="preserve">pago realizado, proveedor debe despachar </t>
  </si>
  <si>
    <t>044_02072026_Administracion_Maule norte_Prisa_66_OC.xlsx</t>
  </si>
  <si>
    <t>C:\Users\rcayuleo\OneDrive - Transformadores Tusan SA\Archivos de Claudia Muñoz Farias EXT - Proceso de compras\03 Ordenes de Compra\044_02072026_Administracion_Maule norte_Prisa_66_OC.xlsx</t>
  </si>
  <si>
    <t>066_21072026_Multiproposito_Maule norte_cotizacion.xlsx</t>
  </si>
  <si>
    <t>076_28072026_CYM_INGECAF_ARAUCANIA_PRISA_36_OC.xlsx</t>
  </si>
  <si>
    <t>C:\Users\rcayuleo\OneDrive - Transformadores Tusan SA\Archivos de Claudia Muñoz Farias EXT - Proceso de compras\03 Ordenes de Compra\076_28072026_CYM_INGECAF_ARAUCANIA_PRISA_36_OC.xlsx</t>
  </si>
  <si>
    <t>021_03062026_Prevencion riesgos_Colchagua cardenal caro_cotizacion.xlsx</t>
  </si>
  <si>
    <t>073_22072026_Administracion_INGECAF_Villarrica.xlsx</t>
  </si>
  <si>
    <t>074_27072026_SAE_INGECAF_Araucania_cotizacion.xlsx</t>
  </si>
  <si>
    <t xml:space="preserve">kit antiderrame llego antess / la sonda optica aprox 10 julio </t>
  </si>
  <si>
    <t xml:space="preserve">oc enviada al proveedor 28/07 - pendiente a llegar </t>
  </si>
  <si>
    <t>ok - se considero valor total de cotizacion en oc como regsitro</t>
  </si>
  <si>
    <t xml:space="preserve">pendiente aprobacion por monto </t>
  </si>
  <si>
    <t xml:space="preserve">anulado </t>
  </si>
  <si>
    <t xml:space="preserve">pago enviado 29/07 aprox 5 dias para llegar </t>
  </si>
  <si>
    <t xml:space="preserve">ok, pago realizado, proveedor debe despachar </t>
  </si>
  <si>
    <t xml:space="preserve">arriendo rotomartillo x 5 dias </t>
  </si>
  <si>
    <t>ok, se gestionar compra x pagina online con credito</t>
  </si>
  <si>
    <t>074_27072026_SAE_INGECAF_Araucania_Max servicec_35_OC.xlsx</t>
  </si>
  <si>
    <t>C:\Users\rcayuleo\OneDrive - Transformadores Tusan SA\Archivos de Claudia Muñoz Farias EXT - Proceso de compras\03 Ordenes de Compra\074_27072026_SAE_INGECAF_Araucania_Max servicec_35_OC.xlsx</t>
  </si>
  <si>
    <t>017_03062026_Multiproposito_Rancagua_cotizacion.xlsx</t>
  </si>
  <si>
    <t>035_22062026_SAE_INGECAF_Araucania_cotizacion.xlsx</t>
  </si>
  <si>
    <t>030_15062026_CYM_INGECAF_Villarrica_cotizacion.xlsx</t>
  </si>
  <si>
    <t>031_16062026_CYM_INGECAF_Villarrica_cotizacion.xlsx</t>
  </si>
  <si>
    <t>055_08072026_CYM_Maule Norte_Casa del liniero_64_OC.xlsx</t>
  </si>
  <si>
    <t>C:\Users\rcayuleo\OneDrive - Transformadores Tusan SA\Archivos de Claudia Muñoz Farias EXT - Proceso de compras\03 Ordenes de Compra\055_08072026_CYM_Maule Norte_Casa del liniero_64_OC.xlsx</t>
  </si>
  <si>
    <t>055_08072026_CYM_Maule Norte_Mercado libre_65_OC.xlsx</t>
  </si>
  <si>
    <t>C:\Users\rcayuleo\OneDrive - Transformadores Tusan SA\Archivos de Claudia Muñoz Farias EXT - Proceso de compras\03 Ordenes de Compra\055_08072026_CYM_Maule Norte_Mercado libre_65_OC.xlsx</t>
  </si>
  <si>
    <t>073_22072026_Adminmistracion_INGECAF_Villarrica_Hojalateria Luis alberto_33_OC.xlsx</t>
  </si>
  <si>
    <t>HOJALATERIA LUIS ALBERTO PACHECO GONZALEZ E.I.R.L.</t>
  </si>
  <si>
    <t>C:\Users\rcayuleo\OneDrive - Transformadores Tusan SA\Archivos de Claudia Muñoz Farias EXT - Proceso de compras\03 Ordenes de Compra\073_22072026_Adminmistracion_INGECAF_Villarrica_Hojalateria Luis alberto_33_OC.xlsx</t>
  </si>
  <si>
    <t>COMULSA</t>
  </si>
  <si>
    <t>077_30072026</t>
  </si>
  <si>
    <t>077_30072026_CYM_INGECAF_Araucania.xlsx</t>
  </si>
  <si>
    <t>077_30072026_CYM_INGECAF_Araucania_cotizacion.xlsx</t>
  </si>
  <si>
    <t>077_30072026_CYM_INGECAF_Araucania_Labeel_37_OC.xlsx</t>
  </si>
  <si>
    <t>077</t>
  </si>
  <si>
    <t>30-07-2026</t>
  </si>
  <si>
    <t>LABORATORIO DE ENSAYOS ELÉCTRICOS SPA</t>
  </si>
  <si>
    <t>C:\Users\rcayuleo\OneDrive - Transformadores Tusan SA\Archivos de Claudia Muñoz Farias EXT - Proceso de compras\03 Ordenes de Compra\077_30072026_CYM_INGECAF_Araucania_Labeel_37_OC.xlsx</t>
  </si>
  <si>
    <t>078_30072026</t>
  </si>
  <si>
    <t>078_30072026_CYM_Araucania.xlsx</t>
  </si>
  <si>
    <t>078_30072026_CYM_Araucania_cotizacion.xlsx</t>
  </si>
  <si>
    <t>078</t>
  </si>
  <si>
    <t>079_30072026</t>
  </si>
  <si>
    <t>079_30072026_SAE_INGECAF_Araucania.xlsx</t>
  </si>
  <si>
    <t>079_30072026_SAE_INGECAF_Araucania_cotizacion.xlsx</t>
  </si>
  <si>
    <t>079</t>
  </si>
  <si>
    <t>ok, autorizado certificacion</t>
  </si>
  <si>
    <t>ok. Autorizado certificacion</t>
  </si>
  <si>
    <t>080_30072026</t>
  </si>
  <si>
    <t>080_30072026_CYM_Colchagua.xlsx</t>
  </si>
  <si>
    <t>080_30072026_CYM_Colchagua_cotizacion.xlsx</t>
  </si>
  <si>
    <t>080_30072026_CYM_Colchagua_Mercado libre_69.xlsx</t>
  </si>
  <si>
    <t>080</t>
  </si>
  <si>
    <t xml:space="preserve">Ximena Sabaria </t>
  </si>
  <si>
    <t>C:\Users\rcayuleo\OneDrive - Transformadores Tusan SA\Archivos de Claudia Muñoz Farias EXT - Proceso de compras\03 Ordenes de Compra\080_30072026_CYM_Colchagua_Mercado libre_69.xlsx</t>
  </si>
  <si>
    <t>081_31072026</t>
  </si>
  <si>
    <t>081_31072026_CYM_Colchagua.xlsx</t>
  </si>
  <si>
    <t>081_31072026_CYM_Colchagua_cotizacion.xlsx</t>
  </si>
  <si>
    <t>081</t>
  </si>
  <si>
    <t>31-07-2026</t>
  </si>
  <si>
    <t xml:space="preserve">pendiente </t>
  </si>
  <si>
    <t xml:space="preserve">ok, servicio segregacion pistas y señalizacion </t>
  </si>
  <si>
    <t xml:space="preserve">ok </t>
  </si>
  <si>
    <t>078_30072026_CYM_Araucania_Labeel_68_OC.xlsx</t>
  </si>
  <si>
    <t>C:\Users\rcayuleo\OneDrive - Transformadores Tusan SA\Archivos de Claudia Muñoz Farias EXT - Proceso de compras\03 Ordenes de Compra\078_30072026_CYM_Araucania_Labeel_68_OC.xlsx</t>
  </si>
  <si>
    <t>082_29072026</t>
  </si>
  <si>
    <t>082_29072026_CYM_Colchagua Cardenal Caro.xlsx</t>
  </si>
  <si>
    <t>082</t>
  </si>
  <si>
    <t>29-07-2026</t>
  </si>
  <si>
    <t>083_03082026</t>
  </si>
  <si>
    <t>083_03082026_Multiproposito_Araucania.xlsx</t>
  </si>
  <si>
    <t>083</t>
  </si>
  <si>
    <t>03-08-2026</t>
  </si>
  <si>
    <t>084_03082026</t>
  </si>
  <si>
    <t>084_03082026_Multiproposito_Maule Norte.xlsx</t>
  </si>
  <si>
    <t>084</t>
  </si>
  <si>
    <t>085_03082026</t>
  </si>
  <si>
    <t>085_03082026_Multiproposito_Arica Iquiqe.xlsx</t>
  </si>
  <si>
    <t>085</t>
  </si>
  <si>
    <t>086_03082026</t>
  </si>
  <si>
    <t>086_03082026_Multiproposito_Rancagua.xlsx</t>
  </si>
  <si>
    <t>086</t>
  </si>
  <si>
    <t>087_03082026</t>
  </si>
  <si>
    <t>087_03082026_Control perdidas_Rancagua.xlsx</t>
  </si>
  <si>
    <t>087</t>
  </si>
  <si>
    <t>RANCAGUA</t>
  </si>
  <si>
    <t>088_03082026</t>
  </si>
  <si>
    <t>088_03082026_Multiproposito_Maule Norte.xlsx</t>
  </si>
  <si>
    <t>088</t>
  </si>
  <si>
    <t>089_03082026</t>
  </si>
  <si>
    <t>089_03082026_Flota_INGECAF_Araucania.xlsx</t>
  </si>
  <si>
    <t>089</t>
  </si>
  <si>
    <t>090_03072026</t>
  </si>
  <si>
    <t>090_03072026_CYM_Maule Norte.xlsx</t>
  </si>
  <si>
    <t>090</t>
  </si>
  <si>
    <t>03-07-2026</t>
  </si>
  <si>
    <t>091_03072026</t>
  </si>
  <si>
    <t>091_03072026_CYM_Maule Norte.xlsx</t>
  </si>
  <si>
    <t>091</t>
  </si>
  <si>
    <t>092_03082026</t>
  </si>
  <si>
    <t>092_03082026_CYM_Colchagua Cardenal Caro.xlsx</t>
  </si>
  <si>
    <t>092</t>
  </si>
  <si>
    <t>093_31072026</t>
  </si>
  <si>
    <t>093_31072026_Multiproposito_Araucania.xlsx</t>
  </si>
  <si>
    <t>093</t>
  </si>
  <si>
    <t xml:space="preserve">ok, oc enviada pendiente a retirar en sucursal </t>
  </si>
  <si>
    <t>cotizado, pendiente aprobacion</t>
  </si>
  <si>
    <t xml:space="preserve">ok, procesado por prevencion </t>
  </si>
  <si>
    <t>089_03082026_Flota_INGECAF_Araucania_cotizacion.xlsx</t>
  </si>
  <si>
    <t>089_03082026_Flota_INGECAF_Araucania_Wilfredo Quintana_38_OC.xlsx</t>
  </si>
  <si>
    <t xml:space="preserve">WILDFREDO QUINTANA </t>
  </si>
  <si>
    <t>C:\Users\rcayuleo\OneDrive - Transformadores Tusan SA\Archivos de Claudia Muñoz Farias EXT - Proceso de compras\03 Ordenes de Compra\089_03082026_Flota_INGECAF_Araucania_Wilfredo Quintana_38_OC.xlsx</t>
  </si>
  <si>
    <t>094_31072027</t>
  </si>
  <si>
    <t>094_31072027_CYM_Colchagua cardenal caro.xlsx</t>
  </si>
  <si>
    <t>094_31072027_CYM_Colchagua cardenal caro_cotizacion.xlsx</t>
  </si>
  <si>
    <t>094_31072027_CYM_Colchagua cardenal caro_Casa blanca_70_OC.xlsx</t>
  </si>
  <si>
    <t>094</t>
  </si>
  <si>
    <t>31-07-2027</t>
  </si>
  <si>
    <t>CONSTRUCTORA, INMOBILIARIA E INVERSIONES CASABLANCA LTDA.</t>
  </si>
  <si>
    <t>Ximena Sabaria</t>
  </si>
  <si>
    <t>C:\Users\rcayuleo\OneDrive - Transformadores Tusan SA\Archivos de Claudia Muñoz Farias EXT - Proceso de compras\03 Ordenes de Compra\094_31072027_CYM_Colchagua cardenal caro_Casa blanca_70_OC.xlsx</t>
  </si>
  <si>
    <t>082_29072026_CYM_Maule Norte_cotizacion.xlsx</t>
  </si>
  <si>
    <t>083_03082026_Multiproposito_Araucania_cotizacion.xlsx</t>
  </si>
  <si>
    <t>084_03082026_Multiproposito_Maule Norte_cotizacion.xlsx</t>
  </si>
  <si>
    <t>085_03082026_Multiproposito_Arica Iquiqe_cotizacion.xlsx</t>
  </si>
  <si>
    <t>086_03082026_Multiproposito_Rancagua_cotizacion.xlsx</t>
  </si>
  <si>
    <t>087_03082026_Control perdidas_Rancagua_cotizacion.xlsx</t>
  </si>
  <si>
    <t>088_03082026_Multiproposito_Maule Norte_cotizacion.xlsx</t>
  </si>
  <si>
    <t>092_03082026_CYM_Colchagua Cardenal Caro_cotizacion.xlsx</t>
  </si>
  <si>
    <t>093_31072026_Multiproposito_Araucania_cotizacion.xlsx</t>
  </si>
  <si>
    <t>095_03082026</t>
  </si>
  <si>
    <t>095_03082026_SAE_INGECAF_Araucania.xlsx</t>
  </si>
  <si>
    <t>095</t>
  </si>
  <si>
    <t>092_03082026_CYM_Colchagua Cardenal Caro_Casa del liniero_72_OC.xlsx</t>
  </si>
  <si>
    <t>C:\Users\rcayuleo\OneDrive - Transformadores Tusan SA\Archivos de Claudia Muñoz Farias EXT - Proceso de compras\03 Ordenes de Compra\092_03082026_CYM_Colchagua Cardenal Caro_Casa del liniero_72_OC.xlsx</t>
  </si>
  <si>
    <t>092_03082026_CYM_Colchagua Cardenal Caro_Coprelec_71_OC.xlsx</t>
  </si>
  <si>
    <t>C:\Users\rcayuleo\OneDrive - Transformadores Tusan SA\Archivos de Claudia Muñoz Farias EXT - Proceso de compras\03 Ordenes de Compra\092_03082026_CYM_Colchagua Cardenal Caro_Coprelec_71_OC.xlsx</t>
  </si>
  <si>
    <t>095_03082026_SAE_INGECAF_Araucania_cotizacion.xlsx</t>
  </si>
  <si>
    <t>096_04082026</t>
  </si>
  <si>
    <t>096_04082026_CYM_INGECAF_Araucania.xlsx</t>
  </si>
  <si>
    <t>096_04082026_CYM_INGECAF_Araucania_cotizacion.xlsx</t>
  </si>
  <si>
    <t>096_04082026_CYM_INGECAF_Araucania_Max service_41_OC.xlsx</t>
  </si>
  <si>
    <t>096</t>
  </si>
  <si>
    <t>04-08-2026</t>
  </si>
  <si>
    <t>C:\Users\rcayuleo\OneDrive - Transformadores Tusan SA\Archivos de Claudia Muñoz Farias EXT - Proceso de compras\03 Ordenes de Compra\096_04082026_CYM_INGECAF_Araucania_Max service_41_OC.xlsx</t>
  </si>
  <si>
    <t>097_04072026</t>
  </si>
  <si>
    <t>097_04072026_Multiproposito_Maule norte.xlsx</t>
  </si>
  <si>
    <t>097</t>
  </si>
  <si>
    <t>04-07-2026</t>
  </si>
  <si>
    <t>Esteban Pineda Trujillo</t>
  </si>
  <si>
    <t>098_05082026</t>
  </si>
  <si>
    <t>098_05082026_Recursos humanos_Maule norte.xlsx</t>
  </si>
  <si>
    <t>098</t>
  </si>
  <si>
    <t>05-08-2026</t>
  </si>
  <si>
    <t>Recursos Humanos</t>
  </si>
  <si>
    <t>099_08082026</t>
  </si>
  <si>
    <t>099_08082026_Prevencios riesgos_INGECAF_Araucania.xlsx</t>
  </si>
  <si>
    <t>099</t>
  </si>
  <si>
    <t>08-08-2026</t>
  </si>
  <si>
    <t>097_04072026_Multiproposito_Maule norte_cotizacion.xlsx</t>
  </si>
  <si>
    <t xml:space="preserve">ok, compra express por prevencion </t>
  </si>
  <si>
    <t>081_31072026_CYM_Colchagua_Mercado libre_73_OC.xlsx</t>
  </si>
  <si>
    <t>C:\Users\rcayuleo\OneDrive - Transformadores Tusan SA\Archivos de Claudia Muñoz Farias EXT - Proceso de compras\03 Ordenes de Compra\081_31072026_CYM_Colchagua_Mercado libre_73_OC.xlsx</t>
  </si>
  <si>
    <t>095_03082026_SAE_INGECAF_Araucania_Casa del liniero_43.xlsx</t>
  </si>
  <si>
    <t>C:\Users\rcayuleo\OneDrive - Transformadores Tusan SA\Archivos de Claudia Muñoz Farias EXT - Proceso de compras\03 Ordenes de Compra\095_03082026_SAE_INGECAF_Araucania_Casa del liniero_43.xlsx</t>
  </si>
  <si>
    <t>098_05082026_Recursos humanos_Maule norte_cotizacion.xlsx</t>
  </si>
  <si>
    <t>098_05082026_Recursos humanos_Maule norte_74_OC.xlsx</t>
  </si>
  <si>
    <t>IMPLEMENTOS S.A.</t>
  </si>
  <si>
    <t>C:\Users\rcayuleo\OneDrive - Transformadores Tusan SA\Archivos de Claudia Muñoz Farias EXT - Proceso de compras\03 Ordenes de Compra\098_05082026_Recursos humanos_Maule norte_74_OC.xlsx</t>
  </si>
  <si>
    <t>100_06082026</t>
  </si>
  <si>
    <t>100_06082026_Flota_INGECAF_Araucania.xlsx</t>
  </si>
  <si>
    <t>100_06082026_Flota_INGECAF_Araucania_Mc repuestsos_42_OC.xlsx</t>
  </si>
  <si>
    <t>100</t>
  </si>
  <si>
    <t>06-08-2026</t>
  </si>
  <si>
    <t xml:space="preserve">MC REPUESTOS </t>
  </si>
  <si>
    <t>C:\Users\rcayuleo\OneDrive - Transformadores Tusan SA\Archivos de Claudia Muñoz Farias EXT - Proceso de compras\03 Ordenes de Compra\100_06082026_Flota_INGECAF_Araucania_Mc repuestsos_42_OC.xlsx</t>
  </si>
  <si>
    <t>101_06082026</t>
  </si>
  <si>
    <t>101_06082026_Prevencion riesgos_Maule norte.xlsx</t>
  </si>
  <si>
    <t>101</t>
  </si>
  <si>
    <t>100_06082026_Flota_INGECAF_Araucania_cotizacion.xlsx</t>
  </si>
  <si>
    <t>099_08082026_Prevencios riesgos_INGECAF_Araucania_cotizacion.xlsx</t>
  </si>
  <si>
    <t>101_06082026_Prevencion riesgos_Maule norte_cotizacion.xlsx</t>
  </si>
  <si>
    <t>102_07082026</t>
  </si>
  <si>
    <t>102_07082026_RRHH_Maule norte.xlsx</t>
  </si>
  <si>
    <t>102_07082026_RRHH_Maule norte_cotizacion.xlsx</t>
  </si>
  <si>
    <t>102</t>
  </si>
  <si>
    <t>07-08-2026</t>
  </si>
  <si>
    <t>103_07082026</t>
  </si>
  <si>
    <t>103_07082026_Flota_INGECAF_Araucania.xlsx</t>
  </si>
  <si>
    <t>103_07082026_Flota_INGECAF_Araucania_cotizacion.xlsx</t>
  </si>
  <si>
    <t>103</t>
  </si>
  <si>
    <t>Raúl Erazo, Rodolfo Fuentes</t>
  </si>
  <si>
    <t>104_11082026</t>
  </si>
  <si>
    <t>104_11082026_Control_de_perdidas_Iquique.xlsx</t>
  </si>
  <si>
    <t>104_11082026_Control perdidas_Iquique_cotizacion.xlsx</t>
  </si>
  <si>
    <t>104</t>
  </si>
  <si>
    <t>11-08-2026</t>
  </si>
  <si>
    <t>Luis Igor R.</t>
  </si>
  <si>
    <t>105_11082026</t>
  </si>
  <si>
    <t>105_11082026_Flota_Araucania.xlsx</t>
  </si>
  <si>
    <t>105_11082026_Flota_INGECAF_Araucania_cotizacion.xlsx</t>
  </si>
  <si>
    <t>105</t>
  </si>
  <si>
    <t>083_03082026_Multiproposito_Araucania_Labeel_75_OC.xlsx</t>
  </si>
  <si>
    <t xml:space="preserve">LABEEL </t>
  </si>
  <si>
    <t>C:\Users\rcayuleo\OneDrive - Transformadores Tusan SA\Archivos de Claudia Muñoz Farias EXT - Proceso de compras\03 Ordenes de Compra\083_03082026_Multiproposito_Araucania_Labeel_75_OC.xlsx</t>
  </si>
  <si>
    <t>084_03082026_Multiproposito_Maule Norte_Labeel_76_OC.xlsx</t>
  </si>
  <si>
    <t>C:\Users\rcayuleo\OneDrive - Transformadores Tusan SA\Archivos de Claudia Muñoz Farias EXT - Proceso de compras\03 Ordenes de Compra\084_03082026_Multiproposito_Maule Norte_Labeel_76_OC.xlsx</t>
  </si>
  <si>
    <t>085_03082026_Multiproposito_Arica Iquiqe_Labeel_77_OC.xlsx</t>
  </si>
  <si>
    <t>C:\Users\rcayuleo\OneDrive - Transformadores Tusan SA\Archivos de Claudia Muñoz Farias EXT - Proceso de compras\03 Ordenes de Compra\085_03082026_Multiproposito_Arica Iquiqe_Labeel_77_OC.xlsx</t>
  </si>
  <si>
    <t>086_03082026_Multiproposito_Rancagua_Labeel_78_OC.xlsx</t>
  </si>
  <si>
    <t>C:\Users\rcayuleo\OneDrive - Transformadores Tusan SA\Archivos de Claudia Muñoz Farias EXT - Proceso de compras\03 Ordenes de Compra\086_03082026_Multiproposito_Rancagua_Labeel_78_OC.xlsx</t>
  </si>
  <si>
    <t>099_08082026_Prevencios riesgos_INGECAF_Araucania_Macaya_44_OC.xlsx</t>
  </si>
  <si>
    <t xml:space="preserve">MACAYA </t>
  </si>
  <si>
    <t>C:\Users\rcayuleo\OneDrive - Transformadores Tusan SA\Archivos de Claudia Muñoz Farias EXT - Proceso de compras\03 Ordenes de Compra\099_08082026_Prevencios riesgos_INGECAF_Araucania_Macaya_44_OC.xlsx</t>
  </si>
  <si>
    <t>099_08082026_Prevencios riesgos_INGECAF_Araucania_Max service_45_OC.xlsx</t>
  </si>
  <si>
    <t xml:space="preserve">MAX SERVICE </t>
  </si>
  <si>
    <t>C:\Users\rcayuleo\OneDrive - Transformadores Tusan SA\Archivos de Claudia Muñoz Farias EXT - Proceso de compras\03 Ordenes de Compra\099_08082026_Prevencios riesgos_INGECAF_Araucania_Max service_45_OC.xlsx</t>
  </si>
  <si>
    <t>099_08082026_Prevencios riesgos_INGECAF_Araucania_Mercado Libre_46_OC.xlsx</t>
  </si>
  <si>
    <t xml:space="preserve">MERCADO LIBRE </t>
  </si>
  <si>
    <t>C:\Users\rcayuleo\OneDrive - Transformadores Tusan SA\Archivos de Claudia Muñoz Farias EXT - Proceso de compras\03 Ordenes de Compra\099_08082026_Prevencios riesgos_INGECAF_Araucania_Mercado Libre_46_OC.xlsx</t>
  </si>
  <si>
    <t>099_08082026_Prevencios riesgos_INGECAF_Araucania_RAC_47_OC.xlsx</t>
  </si>
  <si>
    <t>RAC</t>
  </si>
  <si>
    <t>C:\Users\rcayuleo\OneDrive - Transformadores Tusan SA\Archivos de Claudia Muñoz Farias EXT - Proceso de compras\03 Ordenes de Compra\099_08082026_Prevencios riesgos_INGECAF_Araucania_RAC_47_OC.xlsx</t>
  </si>
  <si>
    <t>101_06082026_Prevencion riesgos_Maule norte_Segurycel_79_OC.xlsx</t>
  </si>
  <si>
    <t xml:space="preserve">SEGURYCEL </t>
  </si>
  <si>
    <t>C:\Users\rcayuleo\OneDrive - Transformadores Tusan SA\Archivos de Claudia Muñoz Farias EXT - Proceso de compras\03 Ordenes de Compra\101_06082026_Prevencion riesgos_Maule norte_Segurycel_79_OC.xlsx</t>
  </si>
  <si>
    <t>106_12082026</t>
  </si>
  <si>
    <t>106_12082026_CYM_Araucania.xlsx</t>
  </si>
  <si>
    <t>106</t>
  </si>
  <si>
    <t>12-08-2026</t>
  </si>
  <si>
    <t>107_12082026</t>
  </si>
  <si>
    <t>107_12082026_CYM_INGECAF_Araucania.xlsx</t>
  </si>
  <si>
    <t>107</t>
  </si>
  <si>
    <t>104_11082026_Control perdidas_Iquique_Segurycel_80_OC.xlsx</t>
  </si>
  <si>
    <t>C:\Users\rcayuleo\OneDrive - Transformadores Tusan SA\Archivos de Claudia Muñoz Farias EXT - Proceso de compras\03 Ordenes de Compra\104_11082026_Control perdidas_Iquique_Segurycel_80_OC.xlsx</t>
  </si>
  <si>
    <t>109_13082026</t>
  </si>
  <si>
    <t>109_13082026_RRHH_Maule norte.xlsx</t>
  </si>
  <si>
    <t>109_13082026_RRHH_Maule norte_cotizacion.xlsx</t>
  </si>
  <si>
    <t>109</t>
  </si>
  <si>
    <t>13-08-2026</t>
  </si>
  <si>
    <t>ok, oc creada</t>
  </si>
  <si>
    <t>ok, despachados</t>
  </si>
  <si>
    <t>109_13082026_RRHH_Maule norte_Pc factory_81_OC.xlsx</t>
  </si>
  <si>
    <t>C:\Users\rcayuleo\OneDrive - Transformadores Tusan SA\Archivos de Claudia Muñoz Farias EXT - Proceso de compras\03 Ordenes de Compra\109_13082026_RRHH_Maule norte_Pc factory_81_OC.xlsx</t>
  </si>
  <si>
    <t>102_07082026_RRHH_Maule norte_DIP SEGURIDAD_82_OC.xlsx</t>
  </si>
  <si>
    <t>DIP SEGURIDAD</t>
  </si>
  <si>
    <t>C:\Users\rcayuleo\OneDrive - Transformadores Tusan SA\Archivos de Claudia Muñoz Farias EXT - Proceso de compras\03 Ordenes de Compra\102_07082026_RRHH_Maule norte_DIP SEGURIDAD_82_OC.xlsx</t>
  </si>
  <si>
    <t>103_07082026_Flota_INGECAF_Araucania_RTK_48_OC.xlsx</t>
  </si>
  <si>
    <t>MAQUINARIAS RTK LTDA.</t>
  </si>
  <si>
    <t>C:\Users\rcayuleo\OneDrive - Transformadores Tusan SA\Archivos de Claudia Muñoz Farias EXT - Proceso de compras\03 Ordenes de Compra\103_07082026_Flota_INGECAF_Araucania_RTK_48_OC.xlsx</t>
  </si>
  <si>
    <t>105_11082026_Flota_INGECAF_Araucania_Serv integrales full motors_49_OC.xlsx</t>
  </si>
  <si>
    <t>SERVICIOS INTEGRALES FULL MOTOR</t>
  </si>
  <si>
    <t>C:\Users\rcayuleo\OneDrive - Transformadores Tusan SA\Archivos de Claudia Muñoz Farias EXT - Proceso de compras\03 Ordenes de Compra\105_11082026_Flota_INGECAF_Araucania_Serv integrales full motors_49_OC.xlsx</t>
  </si>
  <si>
    <t>106_12082026_CYM_Araucania_cotizacion.xlsx</t>
  </si>
  <si>
    <t>107_12082026_CYM_INGECAF_Araucania_cotizacion.xlsx</t>
  </si>
  <si>
    <t>110_13082026</t>
  </si>
  <si>
    <t>110_13082026_CYM_INGECAF_Araucania.xlsx</t>
  </si>
  <si>
    <t>110_13082026_CYM_Araucania_cotizacion.xlsx</t>
  </si>
  <si>
    <t>110</t>
  </si>
  <si>
    <t>111_13082026</t>
  </si>
  <si>
    <t>111_13082026_CYM_Maule norte.xlsx</t>
  </si>
  <si>
    <t>111_13082026_CYM_Maule norte_cotizacion.xlsx</t>
  </si>
  <si>
    <t>111</t>
  </si>
  <si>
    <t>Carlos Radatt</t>
  </si>
  <si>
    <t>112_13082026</t>
  </si>
  <si>
    <t>112_13082026_SAE_Maule norte.xlsx</t>
  </si>
  <si>
    <t>112_13082026_SAE_Maule norte_cotizacion.xlsx</t>
  </si>
  <si>
    <t>112</t>
  </si>
  <si>
    <t>113_13082026</t>
  </si>
  <si>
    <t>113_13082026_Servicio Tenico_Maule norte.xlsx</t>
  </si>
  <si>
    <t>113_13082026_Servicio Tenico_Maule norte_cotizacion.xlsx</t>
  </si>
  <si>
    <t>113</t>
  </si>
  <si>
    <t>114_14082026</t>
  </si>
  <si>
    <t>114_14082026_CYM_Colchagua.xlsx</t>
  </si>
  <si>
    <t>114</t>
  </si>
  <si>
    <t>14-08-2026</t>
  </si>
  <si>
    <t>115_14082026</t>
  </si>
  <si>
    <t>115_14082026_Flota_INGECAF_Araucania.xlsx</t>
  </si>
  <si>
    <t>115_14082026_Flota_INGECAF_Araucania_cotizacion.xlsx</t>
  </si>
  <si>
    <t>115</t>
  </si>
  <si>
    <t>114_14082026_CYM_Colchagua_cotizacion.xlsx</t>
  </si>
  <si>
    <t>106_12082026_CYM_Araucania_Max service_83_OC.xlsx</t>
  </si>
  <si>
    <t>C:\Users\rcayuleo\OneDrive - Transformadores Tusan SA\Archivos de Claudia Muñoz Farias EXT - Proceso de compras\03 Ordenes de Compra\106_12082026_CYM_Araucania_Max service_83_OC.xlsx</t>
  </si>
  <si>
    <t>107_12082026_CYM_INGECAF_Araucania_max service_50_OC.xlsx</t>
  </si>
  <si>
    <t>MAX SEVICE</t>
  </si>
  <si>
    <t>C:\Users\rcayuleo\OneDrive - Transformadores Tusan SA\Archivos de Claudia Muñoz Farias EXT - Proceso de compras\03 Ordenes de Compra\107_12082026_CYM_INGECAF_Araucania_max service_50_OC.xlsx</t>
  </si>
  <si>
    <t>110_13082026_CYM_INGECAF_Araucania_Labeel_51_OC.xlsx</t>
  </si>
  <si>
    <t>C:\Users\rcayuleo\OneDrive - Transformadores Tusan SA\Archivos de Claudia Muñoz Farias EXT - Proceso de compras\03 Ordenes de Compra\110_13082026_CYM_INGECAF_Araucania_Labeel_51_OC.xlsx</t>
  </si>
  <si>
    <t>111_13082026_CYM_Maule norte_Labeel_84_OC.xlsx</t>
  </si>
  <si>
    <t>LABEEL</t>
  </si>
  <si>
    <t>C:\Users\rcayuleo\OneDrive - Transformadores Tusan SA\Archivos de Claudia Muñoz Farias EXT - Proceso de compras\03 Ordenes de Compra\111_13082026_CYM_Maule norte_Labeel_84_OC.xlsx</t>
  </si>
  <si>
    <t>112_13082026_SAE_Maule norte_Labeel_85_OC.xlsx</t>
  </si>
  <si>
    <t>C:\Users\rcayuleo\OneDrive - Transformadores Tusan SA\Archivos de Claudia Muñoz Farias EXT - Proceso de compras\03 Ordenes de Compra\112_13082026_SAE_Maule norte_Labeel_85_OC.xlsx</t>
  </si>
  <si>
    <t>113_13082026_Servicio Tenico_Maule norte_Labeel_86_OC.xlsx</t>
  </si>
  <si>
    <t>C:\Users\rcayuleo\OneDrive - Transformadores Tusan SA\Archivos de Claudia Muñoz Farias EXT - Proceso de compras\03 Ordenes de Compra\113_13082026_Servicio Tenico_Maule norte_Labeel_86_OC.xlsx</t>
  </si>
  <si>
    <t>114_14082026_CYM_Colchagua_Labeel_87_OC.xlsx</t>
  </si>
  <si>
    <t>C:\Users\rcayuleo\OneDrive - Transformadores Tusan SA\Archivos de Claudia Muñoz Farias EXT - Proceso de compras\03 Ordenes de Compra\114_14082026_CYM_Colchagua_Labeel_87_OC.xlsx</t>
  </si>
  <si>
    <t>115_14082026_Flota_INGECAF_Araucania_Alexia vasquez_52_OC.xlsx</t>
  </si>
  <si>
    <t xml:space="preserve">ALEXIA VASQUEZ CAMPOS </t>
  </si>
  <si>
    <t>C:\Users\rcayuleo\OneDrive - Transformadores Tusan SA\Archivos de Claudia Muñoz Farias EXT - Proceso de compras\03 Ordenes de Compra\115_14082026_Flota_INGECAF_Araucania_Alexia vasquez_52_OC.xlsx</t>
  </si>
  <si>
    <t>116_17082026</t>
  </si>
  <si>
    <t>116_17082026_FLOTA_Maule Norte.xlsx</t>
  </si>
  <si>
    <t>116_17082026_FLOTA_Maule Norte _cotizacion.xlsx</t>
  </si>
  <si>
    <t>116</t>
  </si>
  <si>
    <t>17-08-2026</t>
  </si>
  <si>
    <t>117_18082026</t>
  </si>
  <si>
    <t>117_18082026_RRHH_INGECAF_Araucania.xlsx</t>
  </si>
  <si>
    <t>117_18082026_RRHH_INGECAF_Araucania_cotizacion.xlsx</t>
  </si>
  <si>
    <t>117</t>
  </si>
  <si>
    <t>18-08-2026</t>
  </si>
  <si>
    <t>118_18082026</t>
  </si>
  <si>
    <t>118_18082026_CYM_Araucania.xlsx</t>
  </si>
  <si>
    <t>118_18082026_CYM_Araucania_cotizacion.xlsx</t>
  </si>
  <si>
    <t>118</t>
  </si>
  <si>
    <t>119_18082026</t>
  </si>
  <si>
    <t>119_18082026_CYM_INGECAF_Araucania.xlsx</t>
  </si>
  <si>
    <t>119_18082026_CYM_INGECAF_Araucania_cotizacion.xlsx</t>
  </si>
  <si>
    <t>119</t>
  </si>
  <si>
    <t xml:space="preserve">pendiente  </t>
  </si>
  <si>
    <t>ok, orden de compra enviadas con bordados ambas 19/08</t>
  </si>
  <si>
    <t xml:space="preserve">ok, solo faltan pisones llegan el 22 al 1 septiembre  </t>
  </si>
  <si>
    <t>120_20082026</t>
  </si>
  <si>
    <t>120_20082026_Multiproposito_Arica e iquique.xlsx</t>
  </si>
  <si>
    <t>120_20082026_Multiproposito_Arica e iquique_cotizacion.xlsx</t>
  </si>
  <si>
    <t>120</t>
  </si>
  <si>
    <t>20-08-2026</t>
  </si>
  <si>
    <t>074_27072026_SAE_INGECAF_Araucania_Coprelec_34_OC.xlsx</t>
  </si>
  <si>
    <t>C:\Users\rcayuleo\OneDrive - Transformadores Tusan SA\Archivos de Claudia Muñoz Farias EXT - Proceso de compras\03 Ordenes de Compra\074_27072026_SAE_INGECAF_Araucania_Coprelec_34_OC.xlsx</t>
  </si>
  <si>
    <t>119_18082026_CYM_INGECAF_Araucania_Max service_53_OC.xlsx</t>
  </si>
  <si>
    <t>C:\Users\rcayuleo\OneDrive - Transformadores Tusan SA\Archivos de Claudia Muñoz Farias EXT - Proceso de compras\03 Ordenes de Compra\119_18082026_CYM_INGECAF_Araucania_Max service_53_OC.xlsx</t>
  </si>
  <si>
    <t>121_21082026</t>
  </si>
  <si>
    <t>121_21082026_CYM_Colchagua cardenal caro.xlsx</t>
  </si>
  <si>
    <t>121</t>
  </si>
  <si>
    <t>21-08-2026</t>
  </si>
  <si>
    <t>122_24082026</t>
  </si>
  <si>
    <t>122_24082026_CYM_INGECAF_Araucania.xlsx</t>
  </si>
  <si>
    <t>122_24082026_CYM_INGECAF_Araucania_cotizacion.xlsx</t>
  </si>
  <si>
    <t>122</t>
  </si>
  <si>
    <t>24-08-2026</t>
  </si>
  <si>
    <t>123_24082026</t>
  </si>
  <si>
    <t>123_24082026_SAE_INGECAF_Araucania.xlsx</t>
  </si>
  <si>
    <t>123_24082026_SAE_INGECAF_Araucania_cotizacion.xlsx</t>
  </si>
  <si>
    <t>123</t>
  </si>
  <si>
    <t>124_24082026</t>
  </si>
  <si>
    <t>124_24082026_SAE_INGECAF_Araucania.xlsx</t>
  </si>
  <si>
    <t>124_24082026_SAE_INGECAF_Araucania_cotizacion.xlsx</t>
  </si>
  <si>
    <t>124</t>
  </si>
  <si>
    <t>125_24082026</t>
  </si>
  <si>
    <t>125_24082026_BackOffice_Metropolitana oriente.xlsx</t>
  </si>
  <si>
    <t>125_24082026_BackOffice_Metropolitana oriente_cotizacion.xlsx</t>
  </si>
  <si>
    <t>125</t>
  </si>
  <si>
    <t>Claudia Muñoz Farias</t>
  </si>
  <si>
    <t>BackOffice (BBOO)</t>
  </si>
  <si>
    <t>06 Metropolitana Oriente</t>
  </si>
  <si>
    <t>126_24082026</t>
  </si>
  <si>
    <t>126_24082026_Flota_Maule norte.xlsx</t>
  </si>
  <si>
    <t>126_24082026_Flota_Maule norte_cotizacion.xlsx</t>
  </si>
  <si>
    <t>126</t>
  </si>
  <si>
    <t>Rodolfo Fuenets</t>
  </si>
  <si>
    <t>127_25082026</t>
  </si>
  <si>
    <t>127_25082026_CYM_Maule Norte.xlsx</t>
  </si>
  <si>
    <t>127_25082026_CYM_Maule Norte_cotizacion.xlsx</t>
  </si>
  <si>
    <t>127</t>
  </si>
  <si>
    <t>25-08-2026</t>
  </si>
  <si>
    <t>128_25082026</t>
  </si>
  <si>
    <t>128_25082026_SAE_Maule norte.xlsx</t>
  </si>
  <si>
    <t>128_25082026_SAE_Maule norte_cotizacion.xlsx</t>
  </si>
  <si>
    <t>128</t>
  </si>
  <si>
    <t>129_25082026</t>
  </si>
  <si>
    <t>129_25082026_Servicio tecnico_Maule norte.xlsx</t>
  </si>
  <si>
    <t>129_25082026_Servicio tecnico_Maule norte_cotizacion.xlsx</t>
  </si>
  <si>
    <t>129</t>
  </si>
  <si>
    <t>ok, se paga cuando edp cge cancele</t>
  </si>
  <si>
    <t>se realizara una solicitud generalizada</t>
  </si>
  <si>
    <t>pendiente despacho</t>
  </si>
  <si>
    <t xml:space="preserve">ok, certificacion en validacion </t>
  </si>
  <si>
    <t>ok, certifacio en validacion</t>
  </si>
  <si>
    <t>087_03082026_Control perdidas_Rancagua_Coprelec_97_OC.xlsx</t>
  </si>
  <si>
    <t>COPRELEC</t>
  </si>
  <si>
    <t>C:\Users\rcayuleo\OneDrive - Transformadores Tusan SA\Archivos de Claudia Muñoz Farias EXT - Proceso de compras\03 Ordenes de Compra\087_03082026_Control perdidas_Rancagua_Coprelec_97_OC.xlsx</t>
  </si>
  <si>
    <t>087_03082026_Control perdidas_Rancagua_RAC_96_OC.xlsx</t>
  </si>
  <si>
    <t>C:\Users\rcayuleo\OneDrive - Transformadores Tusan SA\Archivos de Claudia Muñoz Farias EXT - Proceso de compras\03 Ordenes de Compra\087_03082026_Control perdidas_Rancagua_RAC_96_OC.xlsx</t>
  </si>
  <si>
    <t>088_03082026_Multiproposito_Maule Norte_Mercado Libre_98_OC.xlsx</t>
  </si>
  <si>
    <t>C:\Users\rcayuleo\OneDrive - Transformadores Tusan SA\Archivos de Claudia Muñoz Farias EXT - Proceso de compras\03 Ordenes de Compra\088_03082026_Multiproposito_Maule Norte_Mercado Libre_98_OC.xlsx</t>
  </si>
  <si>
    <t>097_04072026_Multiproposito_Maule norte_Max service_88_OC.xlsx</t>
  </si>
  <si>
    <t>C:\Users\rcayuleo\OneDrive - Transformadores Tusan SA\Archivos de Claudia Muñoz Farias EXT - Proceso de compras\03 Ordenes de Compra\097_04072026_Multiproposito_Maule norte_Max service_88_OC.xlsx</t>
  </si>
  <si>
    <t>097_04072026_Multiproposito_Maule norte_Segurycel_89_OC.xlsx</t>
  </si>
  <si>
    <t>C:\Users\rcayuleo\OneDrive - Transformadores Tusan SA\Archivos de Claudia Muñoz Farias EXT - Proceso de compras\03 Ordenes de Compra\097_04072026_Multiproposito_Maule norte_Segurycel_89_OC.xlsx</t>
  </si>
  <si>
    <t>106_12082026_CYM_Araucania_Casa del liniero_92_OC.xlsx</t>
  </si>
  <si>
    <t>CASA DEL LINIERO</t>
  </si>
  <si>
    <t>C:\Users\rcayuleo\OneDrive - Transformadores Tusan SA\Archivos de Claudia Muñoz Farias EXT - Proceso de compras\03 Ordenes de Compra\106_12082026_CYM_Araucania_Casa del liniero_92_OC.xlsx</t>
  </si>
  <si>
    <t>106_12082026_CYM_Araucania_Coprelec_93_OC.xlsx</t>
  </si>
  <si>
    <t xml:space="preserve">COPRELEC </t>
  </si>
  <si>
    <t>C:\Users\rcayuleo\OneDrive - Transformadores Tusan SA\Archivos de Claudia Muñoz Farias EXT - Proceso de compras\03 Ordenes de Compra\106_12082026_CYM_Araucania_Coprelec_93_OC.xlsx</t>
  </si>
  <si>
    <t>106_12082026_CYM_Araucania_Macaya_94_OC.xlsx</t>
  </si>
  <si>
    <t>C:\Users\rcayuleo\OneDrive - Transformadores Tusan SA\Archivos de Claudia Muñoz Farias EXT - Proceso de compras\03 Ordenes de Compra\106_12082026_CYM_Araucania_Macaya_94_OC.xlsx</t>
  </si>
  <si>
    <t>106_12082026_CYM_Araucania_Mercado libre_95_OC.xlsx</t>
  </si>
  <si>
    <t>C:\Users\rcayuleo\OneDrive - Transformadores Tusan SA\Archivos de Claudia Muñoz Farias EXT - Proceso de compras\03 Ordenes de Compra\106_12082026_CYM_Araucania_Mercado libre_95_OC.xlsx</t>
  </si>
  <si>
    <t>116_17082026_FLOTA_Maule Norte _Kupfer_99_OC.xlsx</t>
  </si>
  <si>
    <t>KUPFER</t>
  </si>
  <si>
    <t>C:\Users\rcayuleo\OneDrive - Transformadores Tusan SA\Archivos de Claudia Muñoz Farias EXT - Proceso de compras\03 Ordenes de Compra\116_17082026_FLOTA_Maule Norte _Kupfer_99_OC.xlsx</t>
  </si>
  <si>
    <t>118_18082026_CYM_Araucania_Max service_90_OC.xlsx</t>
  </si>
  <si>
    <t>MAX SERVICE</t>
  </si>
  <si>
    <t>C:\Users\rcayuleo\OneDrive - Transformadores Tusan SA\Archivos de Claudia Muñoz Farias EXT - Proceso de compras\03 Ordenes de Compra\118_18082026_CYM_Araucania_Max service_90_OC.xlsx</t>
  </si>
  <si>
    <t>121_21082026_CYM_Colchagua cardenal caro_casa blanca_91_OC.xlsx</t>
  </si>
  <si>
    <t>C:\Users\rcayuleo\OneDrive - Transformadores Tusan SA\Archivos de Claudia Muñoz Farias EXT - Proceso de compras\03 Ordenes de Compra\121_21082026_CYM_Colchagua cardenal caro_casa blanca_91_OC.xlsx</t>
  </si>
  <si>
    <t>126_24082026_Flota_Maule norte_SEBMAQ_100_OC.xlsx</t>
  </si>
  <si>
    <t>SEBMAQ SPA</t>
  </si>
  <si>
    <t>C:\Users\rcayuleo\OneDrive - Transformadores Tusan SA\Archivos de Claudia Muñoz Farias EXT - Proceso de compras\03 Ordenes de Compra\126_24082026_Flota_Maule norte_SEBMAQ_100_OC.xlsx</t>
  </si>
  <si>
    <t>130_25082026</t>
  </si>
  <si>
    <t>130_25082026_SAE_INGECAF_Araucania.xlsx</t>
  </si>
  <si>
    <t>130</t>
  </si>
  <si>
    <t>131_25082026</t>
  </si>
  <si>
    <t>131_25082026_SAE_INGECAF_Villarrica.xlsx</t>
  </si>
  <si>
    <t>131</t>
  </si>
  <si>
    <t>132_25082026</t>
  </si>
  <si>
    <t>132_25082026_SAE_INGECAF_Araucania.xlsx</t>
  </si>
  <si>
    <t>132_25082026_SAE_INGECAF_Araucania_cotizacion.xlsx</t>
  </si>
  <si>
    <t>132</t>
  </si>
  <si>
    <t>133_25082026</t>
  </si>
  <si>
    <t>133_25082026_CYM_INGECAF_Araucania.xlsx</t>
  </si>
  <si>
    <t>133</t>
  </si>
  <si>
    <t>134_25082026</t>
  </si>
  <si>
    <t>134_25082026_SAE_INGECAF_Araucania.xlsx</t>
  </si>
  <si>
    <t>134</t>
  </si>
  <si>
    <t>130_25082026_SAE_INGECAF_Araucania_cotizacion.xlsx</t>
  </si>
  <si>
    <t>131_25082026_SAE_INGECAF_Villarrica_cotizacion.xlsx</t>
  </si>
  <si>
    <t>133_25082026_CYM_INGECAF_Araucania_cotizacion.xlsx</t>
  </si>
  <si>
    <t>134_25082026_SAE_INGECAF_Araucania_cotizacion.xlsx</t>
  </si>
  <si>
    <t xml:space="preserve">ok, se le asignara una caja al area </t>
  </si>
  <si>
    <t xml:space="preserve">ok,solo aprobaron 2 </t>
  </si>
  <si>
    <t xml:space="preserve">ok,oc enviada y deben cordinar certificacion </t>
  </si>
  <si>
    <t>107_12082026_CYM_INGECAF_Araucania_Casa del liniero_56_OC.xlsx</t>
  </si>
  <si>
    <t xml:space="preserve">CASA DEL LINIERO </t>
  </si>
  <si>
    <t>C:\Users\rcayuleo\OneDrive - Transformadores Tusan SA\Archivos de Claudia Muñoz Farias EXT - Proceso de compras\03 Ordenes de Compra\107_12082026_CYM_INGECAF_Araucania_Casa del liniero_56_OC.xlsx</t>
  </si>
  <si>
    <t>107_12082026_CYM_INGECAF_Araucania_Coprelec_57_OC.xlsx</t>
  </si>
  <si>
    <t>C:\Users\rcayuleo\OneDrive - Transformadores Tusan SA\Archivos de Claudia Muñoz Farias EXT - Proceso de compras\03 Ordenes de Compra\107_12082026_CYM_INGECAF_Araucania_Coprelec_57_OC.xlsx</t>
  </si>
  <si>
    <t>107_12082026_CYM_INGECAF_Araucania_Macaya_58_OC.xlsx</t>
  </si>
  <si>
    <t>C:\Users\rcayuleo\OneDrive - Transformadores Tusan SA\Archivos de Claudia Muñoz Farias EXT - Proceso de compras\03 Ordenes de Compra\107_12082026_CYM_INGECAF_Araucania_Macaya_58_OC.xlsx</t>
  </si>
  <si>
    <t>107_12082026_CYM_INGECAF_Araucania_Mercado libre_59_OC.xlsx</t>
  </si>
  <si>
    <t>C:\Users\rcayuleo\OneDrive - Transformadores Tusan SA\Archivos de Claudia Muñoz Farias EXT - Proceso de compras\03 Ordenes de Compra\107_12082026_CYM_INGECAF_Araucania_Mercado libre_59_OC.xlsx</t>
  </si>
  <si>
    <t>117_18082026_RRHH_INGECAF_Araucania_54_OC.xlsx</t>
  </si>
  <si>
    <t xml:space="preserve">HITES </t>
  </si>
  <si>
    <t>C:\Users\rcayuleo\OneDrive - Transformadores Tusan SA\Archivos de Claudia Muñoz Farias EXT - Proceso de compras\03 Ordenes de Compra\117_18082026_RRHH_INGECAF_Araucania_54_OC.xlsx</t>
  </si>
  <si>
    <t>122_24082026_CYM_INGECAF_Araucania_Raul Calfual_60_OC.xlsx</t>
  </si>
  <si>
    <t xml:space="preserve">RAUL CALFUAL </t>
  </si>
  <si>
    <t>C:\Users\rcayuleo\OneDrive - Transformadores Tusan SA\Archivos de Claudia Muñoz Farias EXT - Proceso de compras\03 Ordenes de Compra\122_24082026_CYM_INGECAF_Araucania_Raul Calfual_60_OC.xlsx</t>
  </si>
  <si>
    <t>125_24082026_BackOffice_Metropolitana oriente_Lider_101_OC.xlsx</t>
  </si>
  <si>
    <t>LIDER</t>
  </si>
  <si>
    <t>C:\Users\rcayuleo\OneDrive - Transformadores Tusan SA\Archivos de Claudia Muñoz Farias EXT - Proceso de compras\03 Ordenes de Compra\125_24082026_BackOffice_Metropolitana oriente_Lider_101_OC.xlsx</t>
  </si>
  <si>
    <t>132_25082026_SAE_INGECAF_Araucania_Labeel_62_OC.xlsx</t>
  </si>
  <si>
    <t>C:\Users\rcayuleo\OneDrive - Transformadores Tusan SA\Archivos de Claudia Muñoz Farias EXT - Proceso de compras\03 Ordenes de Compra\132_25082026_SAE_INGECAF_Araucania_Labeel_62_OC.xlsx</t>
  </si>
  <si>
    <t>135_26082026</t>
  </si>
  <si>
    <t>135_26082026_CYM_INGECAF_Araucania.xlsx</t>
  </si>
  <si>
    <t>135_26082026_CYM_INGECAF_Araucania_cotizacion.xlsx</t>
  </si>
  <si>
    <t>135_26082026_CYM_INGECAF_Araucania_PRISA_63_OC.xlsx</t>
  </si>
  <si>
    <t>135</t>
  </si>
  <si>
    <t>26-08-2026</t>
  </si>
  <si>
    <t>PRISA</t>
  </si>
  <si>
    <t>C:\Users\rcayuleo\OneDrive - Transformadores Tusan SA\Archivos de Claudia Muñoz Farias EXT - Proceso de compras\03 Ordenes de Compra\135_26082026_CYM_INGECAF_Araucania_PRISA_63_OC.xlsx</t>
  </si>
  <si>
    <t>137_27082026</t>
  </si>
  <si>
    <t>137_27082026_SAE_INGECAF_Temuco.xlsx</t>
  </si>
  <si>
    <t>137_27082026_SAE_INGECAF_Temuco_cotizacion.xlsx</t>
  </si>
  <si>
    <t>137_27082026_SAE_INGECAF_Temuco_Labeel_64_OC.xlsx</t>
  </si>
  <si>
    <t>137</t>
  </si>
  <si>
    <t>27-08-2026</t>
  </si>
  <si>
    <t>C:\Users\rcayuleo\OneDrive - Transformadores Tusan SA\Archivos de Claudia Muñoz Farias EXT - Proceso de compras\03 Ordenes de Compra\137_27082026_SAE_INGECAF_Temuco_Labeel_64_OC.xlsx</t>
  </si>
  <si>
    <t>136_26082026</t>
  </si>
  <si>
    <t>136_26082026_CYM_Maule norte.xlsx</t>
  </si>
  <si>
    <t>136_26082026_CYM_Maule norte_cotizacion.xlsx</t>
  </si>
  <si>
    <t>136</t>
  </si>
  <si>
    <t>ok, manguillas llegan a final de septiembre</t>
  </si>
  <si>
    <t>ok. oc enviada y deben cordinar certificaciones</t>
  </si>
  <si>
    <t xml:space="preserve">ok, cotizado pendiente aprobacion / 35 dias habiles en llegar </t>
  </si>
  <si>
    <t>preguntar si anular pq se solicito nueva solicitud 142</t>
  </si>
  <si>
    <t>141_31082026</t>
  </si>
  <si>
    <t>141_31082026_CYM_Maule norte.xlsx</t>
  </si>
  <si>
    <t>141_31082026_CYM_Maule norte_cotizacion.xlsx</t>
  </si>
  <si>
    <t>141_31082026_Retiro Escombros Junio, Julio, Agosto_55_OC.xlsx</t>
  </si>
  <si>
    <t>141</t>
  </si>
  <si>
    <t>31-08-2026</t>
  </si>
  <si>
    <t>ESCOMBROS ISICOMAX</t>
  </si>
  <si>
    <t>Casablanca Limitada</t>
  </si>
  <si>
    <t>C:\Users\rcayuleo\OneDrive - Transformadores Tusan SA\Archivos de Claudia Muñoz Farias EXT - Proceso de compras\03 Ordenes de Compra\141_31082026_Retiro Escombros Junio, Julio, Agosto_55_OC.xlsx</t>
  </si>
  <si>
    <t>138_27082026</t>
  </si>
  <si>
    <t>138_27082026_FLota_INGECAF_Araucania.xlsx</t>
  </si>
  <si>
    <t>138_27082026_FLota_INGECAF_Araucania_cotizacion.xlsx</t>
  </si>
  <si>
    <t>138</t>
  </si>
  <si>
    <t>139_27082026</t>
  </si>
  <si>
    <t>139_27082026_SAE_Maule norte.xlsx</t>
  </si>
  <si>
    <t>139_27082026_SAE_Maule norte_cotizacion.xlsx</t>
  </si>
  <si>
    <t>139</t>
  </si>
  <si>
    <t>140_31082026</t>
  </si>
  <si>
    <t>140_31082026_SAE_INGECAF_Araucania.xlsx</t>
  </si>
  <si>
    <t>140_31082026_SAE_INGECAF_Araucania_cotizacion.xlsx</t>
  </si>
  <si>
    <t>140</t>
  </si>
  <si>
    <t>Matias Diaz</t>
  </si>
  <si>
    <t>142_02092026</t>
  </si>
  <si>
    <t>142_02092026_SAE_INGECAF_Araucania.xlsx</t>
  </si>
  <si>
    <t>142_02092026_SAE_INGECAF_Araucania_cotizacion.xlsx</t>
  </si>
  <si>
    <t>142</t>
  </si>
  <si>
    <t>02-09-2026</t>
  </si>
  <si>
    <t xml:space="preserve">esperar respuesta rodolfo y solicitar reembolso RTK </t>
  </si>
  <si>
    <t xml:space="preserve">aprobado, nomina cargada pendiente liberacion </t>
  </si>
  <si>
    <t xml:space="preserve">ok. oc creada se pagara cuando edp sea cancelado por cge </t>
  </si>
  <si>
    <t>143_03092026</t>
  </si>
  <si>
    <t>143_03092026_CYM_Maule Norte.xlsx</t>
  </si>
  <si>
    <t>143_03092026_CYM_Maule Norte_cotizacion.xlsx</t>
  </si>
  <si>
    <t>143</t>
  </si>
  <si>
    <t>03-09-2026</t>
  </si>
  <si>
    <t>144_03092026</t>
  </si>
  <si>
    <t>144_03092026_SSTT_Maule_Norte.xlsx</t>
  </si>
  <si>
    <t>144_03092026_SSTT_Maule_Norte_cotizacion.xlsx</t>
  </si>
  <si>
    <t>144</t>
  </si>
  <si>
    <t>145_03092026</t>
  </si>
  <si>
    <t>145_03092026_SAE_Maule Norte.xlsx</t>
  </si>
  <si>
    <t>145_03092026_SAE_Maule Norte_cotizacion.xlsx</t>
  </si>
  <si>
    <t>145</t>
  </si>
  <si>
    <t>146_03092026</t>
  </si>
  <si>
    <t>146_03092026_Administracion_Maule Norte.xlsx</t>
  </si>
  <si>
    <t>146_03092026_Administracion_Maule Norte_cotizacion.xlsx</t>
  </si>
  <si>
    <t>146</t>
  </si>
  <si>
    <t>aprobada</t>
  </si>
  <si>
    <t xml:space="preserve">cotizado, pendiente de enviar oc hasta que me actualizen precios proveedor segurycel </t>
  </si>
  <si>
    <t xml:space="preserve">oc segurycel enviada, faltan manguillas cambiar proveedor </t>
  </si>
  <si>
    <t xml:space="preserve">oc enviadas a max service y segurycel ( con bordados) </t>
  </si>
  <si>
    <t>oc creada y nomina pendiente a liberacion</t>
  </si>
  <si>
    <t>099_08082026_Prevencios riesgos_INGECAF_Coprelec_65_OC.xlsx</t>
  </si>
  <si>
    <t>C:\Users\rcayuleo\OneDrive - Transformadores Tusan SA\Archivos de Claudia Muñoz Farias EXT - Proceso de compras\03 Ordenes de Compra\099_08082026_Prevencios riesgos_INGECAF_Coprelec_65_OC.xlsx</t>
  </si>
  <si>
    <t>140_31082026_SAE_INGECAF_Comulsa_66_OC.xlsx</t>
  </si>
  <si>
    <t>C:\Users\rcayuleo\OneDrive - Transformadores Tusan SA\Archivos de Claudia Muñoz Farias EXT - Proceso de compras\03 Ordenes de Compra\140_31082026_SAE_INGECAF_Comulsa_66_OC.xlsx</t>
  </si>
  <si>
    <t>141_31082026_CYM_Maule norte_Casa blanca_102_OC.xlsx</t>
  </si>
  <si>
    <t xml:space="preserve">CASA BLANCA </t>
  </si>
  <si>
    <t>C:\Users\rcayuleo\OneDrive - Transformadores Tusan SA\Archivos de Claudia Muñoz Farias EXT - Proceso de compras\03 Ordenes de Compra\141_31082026_CYM_Maule norte_Casa blanca_102_OC.xlsx</t>
  </si>
  <si>
    <t>143_03092026_CYM_Maule Norte_Max service_103_OC.xlsx</t>
  </si>
  <si>
    <t>SEGURYCEL</t>
  </si>
  <si>
    <t>C:\Users\rcayuleo\OneDrive - Transformadores Tusan SA\Archivos de Claudia Muñoz Farias EXT - Proceso de compras\03 Ordenes de Compra\143_03092026_CYM_Maule Norte_Max service_103_OC.xlsx</t>
  </si>
  <si>
    <t>144_03092026_SSTT_Maule_Norte_SEGURYCEL_104_OC.xlsx</t>
  </si>
  <si>
    <t>C:\Users\rcayuleo\OneDrive - Transformadores Tusan SA\Archivos de Claudia Muñoz Farias EXT - Proceso de compras\03 Ordenes de Compra\144_03092026_SSTT_Maule_Norte_SEGURYCEL_104_OC.xlsx</t>
  </si>
  <si>
    <t>145_03092026_SAE_Maule Norte_Max service_105_OC.xlsx</t>
  </si>
  <si>
    <t>C:\Users\rcayuleo\OneDrive - Transformadores Tusan SA\Archivos de Claudia Muñoz Farias EXT - Proceso de compras\03 Ordenes de Compra\145_03092026_SAE_Maule Norte_Max service_105_OC.xlsx</t>
  </si>
  <si>
    <t>145_03092026_SAE_Maule Norte_SEGURYCEL_106_OC.xlsx</t>
  </si>
  <si>
    <t>C:\Users\rcayuleo\OneDrive - Transformadores Tusan SA\Archivos de Claudia Muñoz Farias EXT - Proceso de compras\03 Ordenes de Compra\145_03092026_SAE_Maule Norte_SEGURYCEL_106_OC.xlsx</t>
  </si>
  <si>
    <t>147_04092026</t>
  </si>
  <si>
    <t>147_04092026_Control perdidas_Arica iquique.xlsx</t>
  </si>
  <si>
    <t>147_04092026_Control perdidas_Arica iquique_cotizacion.xlsx</t>
  </si>
  <si>
    <t>147</t>
  </si>
  <si>
    <t>04-09-2026</t>
  </si>
  <si>
    <t>148_04092026</t>
  </si>
  <si>
    <t>148_04092026_CYM_Maule Norte.xlsx</t>
  </si>
  <si>
    <t>148_04092026_CYM_Maule Norte_cotizacion.xlsx</t>
  </si>
  <si>
    <t>148</t>
  </si>
  <si>
    <t>149_04092026</t>
  </si>
  <si>
    <t>149_04092026_CYM_Colchagua cardenal caro.xlsx</t>
  </si>
  <si>
    <t>149_04092026_CYM_Colchagua cardenal caro_cotizacion.xlsx</t>
  </si>
  <si>
    <t>149</t>
  </si>
  <si>
    <t>150_04092026</t>
  </si>
  <si>
    <t>150_04092026_SAE_INGECAF_Araucania.xlsx</t>
  </si>
  <si>
    <t>150_04092026_SAE_INGECAF_Araucania_cotizacion.xlsx</t>
  </si>
  <si>
    <t>150</t>
  </si>
  <si>
    <t>cotizado, pendiente de aprobacion</t>
  </si>
  <si>
    <t>152_08092026</t>
  </si>
  <si>
    <t>152_08092026_CYM_INGECAF_Araucania.xlsx</t>
  </si>
  <si>
    <t>152_08092026_CYM_INGECAF_Araucania_cotizacion.xlsx</t>
  </si>
  <si>
    <t>152</t>
  </si>
  <si>
    <t>08-09-2026</t>
  </si>
  <si>
    <t>153_08092026</t>
  </si>
  <si>
    <t>153_08092026_CYM_Araucania.xlsx</t>
  </si>
  <si>
    <t>153_08092026_CYM_Araucania_cotizacion.xlsx</t>
  </si>
  <si>
    <t>153</t>
  </si>
  <si>
    <t>154_08092026</t>
  </si>
  <si>
    <t>154_08092026_SAE_Maule Sur.xlsx</t>
  </si>
  <si>
    <t>154_08092026_SAE_Maule Sur_cotizacion.xlsx</t>
  </si>
  <si>
    <t>154</t>
  </si>
  <si>
    <t>155_08092026</t>
  </si>
  <si>
    <t>155_08092026_SAE_Maule Norte.xlsx</t>
  </si>
  <si>
    <t>155_08092026_SAE_Maule Norte_cotizacion.xlsx</t>
  </si>
  <si>
    <t>155</t>
  </si>
  <si>
    <t>156_08092026</t>
  </si>
  <si>
    <t>156_08092026_CYM_Maule Norte.xlsx</t>
  </si>
  <si>
    <t>156_08092026_CYM_Maule Norte_cotizacion.xlsx</t>
  </si>
  <si>
    <t>156</t>
  </si>
  <si>
    <t>cotizado, los montos son aproximados y cotizados por rodolfo</t>
  </si>
  <si>
    <t>157_08092026</t>
  </si>
  <si>
    <t>157_08092026_CYM_Maule norte.xlsx</t>
  </si>
  <si>
    <t>157_08092026_CYM_Maule norte_cotizacion.xlsx</t>
  </si>
  <si>
    <t>157</t>
  </si>
  <si>
    <t>158_08092026</t>
  </si>
  <si>
    <t>158_08092026_CYM_INGECAF_Araucania.xlsx</t>
  </si>
  <si>
    <t>158_08092026_CYM_INGECAF_Araucania_cotizacion.xlsx</t>
  </si>
  <si>
    <t>158</t>
  </si>
  <si>
    <t>159_08092026</t>
  </si>
  <si>
    <t>159_08092026_SAE_INGECAF_Araucania.xlsx</t>
  </si>
  <si>
    <t>159_08092026_SAE_INGECAF_Araucania_cotizacion.xlsx</t>
  </si>
  <si>
    <t>159</t>
  </si>
  <si>
    <t xml:space="preserve">Sebastian Sandoval </t>
  </si>
  <si>
    <t>160_08092026</t>
  </si>
  <si>
    <t>160_08092026_Multiproposito_Araucania.xlsx</t>
  </si>
  <si>
    <t>160_08092026_Multiproposito_Araucania_cotizacion.xlsx</t>
  </si>
  <si>
    <t>160</t>
  </si>
  <si>
    <t>161_08092026</t>
  </si>
  <si>
    <t>161_08092026_Multiproposito_Araucania_cotizacion.xlsx</t>
  </si>
  <si>
    <t>161</t>
  </si>
  <si>
    <t>162_08092026</t>
  </si>
  <si>
    <t>162_08092026_FLOTA_INGECAF_Araucania.xlsx</t>
  </si>
  <si>
    <t>162_08092026_FLOTA_INGECAF_cotizacion.xlsx</t>
  </si>
  <si>
    <t>162</t>
  </si>
  <si>
    <t>163_08092026</t>
  </si>
  <si>
    <t>163_08092026_FLOTA_INGECAF_Araucania.xlsx</t>
  </si>
  <si>
    <t>163_08092026_FLOTA_INGECAF_Araucania_cotizacion.xlsx</t>
  </si>
  <si>
    <t>163</t>
  </si>
  <si>
    <t>164_08092026</t>
  </si>
  <si>
    <t>164_08092026_Flota_Maule Norte.xlsx</t>
  </si>
  <si>
    <t>164_08092026_Flota_Maule Norte_cotizacion.xlsx</t>
  </si>
  <si>
    <t>164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</si>
</sst>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 &quot;$&quot;* #,##0_ ;_ &quot;$&quot;* \-#,##0_ ;_ &quot;$&quot;* &quot;-&quot;_ ;_ @_ "/>
    <numFmt numFmtId="41" formatCode="_ * #,##0_ ;_ * \-#,##0_ ;_ * &quot;-&quot;_ ;_ @_ "/>
  </numFmts>
  <fonts count="8">
    <font>
      <sz val="11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242424"/>
      <name val="Aptos Narrow"/>
      <family val="2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</cellStyleXfs>
  <cellXfs count="33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42" fontId="0" fillId="0" borderId="0" xfId="2" applyFont="1"/>
    <xf numFmtId="0" fontId="4" fillId="0" borderId="0" xfId="0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0" fontId="1" fillId="0" borderId="0" xfId="0" applyFont="1"/>
    <xf numFmtId="14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41" fontId="0" fillId="0" borderId="0" xfId="1" applyFont="1"/>
    <xf numFmtId="0" fontId="4" fillId="0" borderId="0" xfId="0" applyFont="1"/>
    <xf numFmtId="0" fontId="0" fillId="0" borderId="0" xfId="0" applyNumberFormat="1"/>
    <xf numFmtId="41" fontId="0" fillId="0" borderId="0" xfId="1" applyNumberFormat="1" applyFont="1"/>
    <xf numFmtId="0" fontId="0" fillId="0" borderId="0" xfId="0"/>
    <xf numFmtId="0" fontId="6" fillId="0" borderId="0" xfId="0" applyFont="1"/>
    <xf numFmtId="0" fontId="0" fillId="0" borderId="0" xfId="0" applyAlignment="1"/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0" fillId="2" borderId="0" xfId="0" applyFill="1"/>
    <xf numFmtId="0" fontId="6" fillId="2" borderId="0" xfId="0" applyFont="1" applyFill="1"/>
    <xf numFmtId="0" fontId="7" fillId="0" borderId="0" xfId="0" applyFont="1" applyAlignment="1">
      <alignment horizontal="center"/>
    </xf>
  </cellXfs>
  <cellStyles count="5">
    <cellStyle name="Millares [0]" xfId="1" builtinId="6"/>
    <cellStyle name="Millares [0] 2" xfId="3" xr:uid="{AE796EA3-4904-49EA-86C4-87B519735CB9}"/>
    <cellStyle name="Moneda [0]" xfId="2" builtinId="7"/>
    <cellStyle name="Moneda [0] 2" xfId="4" xr:uid="{67BB5893-74A6-450E-B262-64B00903DBD4}"/>
    <cellStyle name="Normal" xfId="0" builtinId="0"/>
  </cellStyles>
  <dxfs count="28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3" formatCode="_ * #,##0_ ;_ * \-#,##0_ ;_ * &quot;-&quot;_ ;_ @_ 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</dxf>
    <dxf>
      <numFmt numFmtId="19" formatCode="d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connections" Target="connection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1" xr16:uid="{95347A55-38C0-4940-B5AE-2D63C694C451}" autoFormatId="16" applyNumberFormats="0" applyBorderFormats="0" applyFontFormats="0" applyPatternFormats="0" applyAlignmentFormats="0" applyWidthHeightFormats="0">
  <queryTableRefresh nextId="67" unboundColumnsRight="5">
    <queryTableFields count="27">
      <queryTableField id="2" name="Ordenes" tableColumnId="2"/>
      <queryTableField id="3" name="Requisiciones" tableColumnId="3"/>
      <queryTableField id="4" name="Cotizaciones" tableColumnId="4"/>
      <queryTableField id="25" name="OC" tableColumnId="17"/>
      <queryTableField id="55" name="N°" tableColumnId="25"/>
      <queryTableField id="21" name="Nro de Orden" tableColumnId="1"/>
      <queryTableField id="22" name="Fecha Requisición" tableColumnId="9"/>
      <queryTableField id="23" name="Fecha Cotización" tableColumnId="15"/>
      <queryTableField id="24" name="Fecha OC" tableColumnId="16"/>
      <queryTableField id="32" name="Tipo de Pago" tableColumnId="19"/>
      <queryTableField id="30" name="Monto Orden" tableColumnId="18"/>
      <queryTableField id="42" name="Empresa solicitante" tableColumnId="5"/>
      <queryTableField id="51" name="Empresa compra" tableColumnId="24"/>
      <queryTableField id="43" name="Nombre Solicitante" tableColumnId="10"/>
      <queryTableField id="38" name="Contrato Solicitante" tableColumnId="21"/>
      <queryTableField id="44" name="Zona requisición" tableColumnId="11"/>
      <queryTableField id="45" name="Tipo de compra" tableColumnId="12"/>
      <queryTableField id="53" name="ruta" tableColumnId="20"/>
      <queryTableField id="56" name="Estado Gestión" tableColumnId="26"/>
      <queryTableField id="63" name="Fecha de pago" tableColumnId="30"/>
      <queryTableField id="64" name="Fecha de entrega" tableColumnId="31"/>
      <queryTableField id="57" name="Comentario" tableColumnId="27"/>
      <queryTableField id="6" dataBound="0" tableColumnId="6"/>
      <queryTableField id="48" dataBound="0" tableColumnId="13"/>
      <queryTableField id="20" dataBound="0" tableColumnId="14"/>
      <queryTableField id="40" dataBound="0" tableColumnId="23"/>
      <queryTableField id="54" dataBound="0" tableColumnId="22"/>
    </queryTableFields>
    <queryTableDeletedFields count="1">
      <deletedField name="ruta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AEC143-DC29-47C4-B0F2-AA8ED4143EC6}" name="Control" displayName="Control" ref="A1:AA220" tableType="queryTable" totalsRowShown="0" headerRowDxfId="27">
  <autoFilter ref="A1:AA220" xr:uid="{FDA11577-8B06-46D1-ADA8-5D8875297866}"/>
  <tableColumns count="27">
    <tableColumn id="2" xr3:uid="{FA210C73-BF1D-4949-8EA7-7CD13D1E2403}" uniqueName="2" name="Ordenes" queryTableFieldId="2"/>
    <tableColumn id="3" xr3:uid="{EDA3B587-37DF-4A38-AA86-D97CCD23DA7C}" uniqueName="3" name="Requisiciones" queryTableFieldId="3"/>
    <tableColumn id="4" xr3:uid="{E796796F-30CF-4A6E-9A4C-1FB77EA0C6CD}" uniqueName="4" name="Cotizaciones" queryTableFieldId="4"/>
    <tableColumn id="17" xr3:uid="{0C78F359-F354-4F5D-B6CE-0D94D9873A60}" uniqueName="17" name="OC" queryTableFieldId="25"/>
    <tableColumn id="25" xr3:uid="{50676EE9-B33B-465A-AEF9-393BDC6D09D7}" uniqueName="25" name="N°" queryTableFieldId="55"/>
    <tableColumn id="1" xr3:uid="{142E5F28-153D-4662-878B-F595DBB69A1B}" uniqueName="1" name="Nro de Orden" queryTableFieldId="21"/>
    <tableColumn id="9" xr3:uid="{EEFEAFDA-0E2F-4C9E-9233-4FCB8480251C}" uniqueName="9" name="Fecha Requisición" queryTableFieldId="22"/>
    <tableColumn id="15" xr3:uid="{7AFF2733-1DAE-4BAB-8ADF-198FEBCEAD90}" uniqueName="15" name="Fecha Cotización" queryTableFieldId="23"/>
    <tableColumn id="16" xr3:uid="{F6A006B2-BCC6-43FB-9A4E-1E54D5B0D6EF}" uniqueName="16" name="Fecha OC" queryTableFieldId="24"/>
    <tableColumn id="19" xr3:uid="{A8CCCE54-EFF6-4CE0-AAA3-6DB920DBC917}" uniqueName="19" name="Tipo de Pago" queryTableFieldId="32"/>
    <tableColumn id="18" xr3:uid="{F1EF7808-1A15-4D6E-A493-359673D2AF3C}" uniqueName="18" name="Monto Orden" queryTableFieldId="30" dataDxfId="7" dataCellStyle="Moneda [0]"/>
    <tableColumn id="5" xr3:uid="{E65A88A5-24CE-4A80-9F7D-8FCEFFDDBC10}" uniqueName="5" name="Empresa solicitante" queryTableFieldId="42" dataDxfId="6" dataCellStyle="Moneda [0]"/>
    <tableColumn id="24" xr3:uid="{D7B636D9-38A6-408B-932D-1268760668F0}" uniqueName="24" name="Empresa compra" queryTableFieldId="51"/>
    <tableColumn id="10" xr3:uid="{F80EA7CE-010F-4361-9324-B2FED212FF32}" uniqueName="10" name="Nombre Solicitante" queryTableFieldId="43"/>
    <tableColumn id="21" xr3:uid="{A1F1C9EE-91D1-4C8F-AA36-D4BB7474F051}" uniqueName="21" name="Contrato Solicitante" queryTableFieldId="38"/>
    <tableColumn id="11" xr3:uid="{B3F3E92C-B1D8-4E24-9E8A-C3E4B9AE2091}" uniqueName="11" name="Zona requisición" queryTableFieldId="44"/>
    <tableColumn id="12" xr3:uid="{5462FF95-9982-4360-B222-DA02F984C7DB}" uniqueName="12" name="Tipo de compra" queryTableFieldId="45"/>
    <tableColumn id="20" xr3:uid="{123AF3DB-AF33-46B5-A2AA-C3D4E86E006F}" uniqueName="20" name="ruta" queryTableFieldId="53"/>
    <tableColumn id="26" xr3:uid="{49D907D7-52F3-42AE-95EE-75B72EE0110A}" uniqueName="26" name="Estado Gestión" queryTableFieldId="56"/>
    <tableColumn id="30" xr3:uid="{5FE4332D-CD0D-4B92-A70C-2823D80D5B14}" uniqueName="30" name="Fecha de pago" queryTableFieldId="63" dataDxfId="5"/>
    <tableColumn id="31" xr3:uid="{C3500460-C4F6-4AB4-B89B-8B9CA9A8E046}" uniqueName="31" name="Fecha de entrega" queryTableFieldId="64" dataDxfId="4"/>
    <tableColumn id="27" xr3:uid="{F40F4A80-1B77-4557-9BE7-9B79092A2C5A}" uniqueName="27" name="Comentario" queryTableFieldId="57"/>
    <tableColumn id="6" xr3:uid="{A141DB03-FB77-4FCC-95E0-DEDE9DBFE217}" uniqueName="6" name="Estado" queryTableFieldId="6" dataDxfId="3">
      <calculatedColumnFormula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calculatedColumnFormula>
    </tableColumn>
    <tableColumn id="13" xr3:uid="{E39E211C-842B-49B9-8311-690A92FF91AC}" uniqueName="13" name="Periodo Requisición" queryTableFieldId="48" dataDxfId="2">
      <calculatedColumnFormula>+DATE(YEAR(Control[[#This Row],[Fecha Requisición]]),MONTH(Control[[#This Row],[Fecha Requisición]]),1)</calculatedColumnFormula>
    </tableColumn>
    <tableColumn id="14" xr3:uid="{D71DF6B8-C80C-4A7E-95E3-9C18E6E806CC}" uniqueName="14" name="Tiempo Ciclo" queryTableFieldId="20" dataDxfId="1" dataCellStyle="Millares [0]">
      <calculatedColumnFormula>+IF(Control[[#This Row],[Fecha de entrega]]="","",NETWORKDAYS(Control[[#This Row],[Fecha Requisición]],Control[[#This Row],[Fecha de entrega]]))</calculatedColumnFormula>
    </tableColumn>
    <tableColumn id="23" xr3:uid="{B2CC4017-B161-4D83-ABA2-2302C7045596}" uniqueName="23" name="Folio Factura" queryTableFieldId="40"/>
    <tableColumn id="22" xr3:uid="{AA8B8556-40E9-48DD-9C52-A329FE0CA0B6}" uniqueName="22" name="semana" queryTableFieldId="54" dataDxfId="0">
      <calculatedColumnFormula>+_xlfn.ISOWEEKNUM(Control[[#This Row],[Fecha Requisición]])</calculatedColumnFormula>
    </tableColumn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390E8C-D54D-4099-836C-23905C62CBB5}" name="Estado" displayName="Estado" ref="A1:G165" totalsRowShown="0" headerRowDxfId="26" dataDxfId="25">
  <autoFilter ref="A1:G165" xr:uid="{0EB08CB5-F347-46F6-A2BB-419FEB016475}"/>
  <tableColumns count="7">
    <tableColumn id="1" xr3:uid="{EA8F1E43-6EF0-43E9-B71B-98D3C4584ACC}" name="N° solicitud" dataDxfId="21"/>
    <tableColumn id="2" xr3:uid="{9FA8BFE5-861C-4596-A02E-A670F1BDB608}" name="Estado" dataDxfId="20"/>
    <tableColumn id="3" xr3:uid="{E58581DB-8B04-4C13-8B4F-27FC5E1AE281}" name="Empresa" dataDxfId="19"/>
    <tableColumn id="6" xr3:uid="{DAADF8D0-34FE-479B-9430-88C5F34DBAE2}" name="fecha pago " dataDxfId="18"/>
    <tableColumn id="7" xr3:uid="{7D80F5CD-A672-43F9-903B-537A4B66EACC}" name="fecha entrega" dataDxfId="17"/>
    <tableColumn id="5" xr3:uid="{16163A18-549A-4B29-B76F-2E153A8FC4F4}" name="Comentario" dataDxfId="16"/>
    <tableColumn id="4" xr3:uid="{AB2C7C8D-292F-499F-B490-59E3C5CBAC30}" name="Columna1" dataDxfId="24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31B326-59C7-41C0-A28B-CAAA4C80345B}" name="Tabla2" displayName="Tabla2" ref="A1:N23" totalsRowShown="0">
  <autoFilter ref="A1:N23" xr:uid="{69E9F723-D1B3-47E3-ADF6-8D44502B743F}"/>
  <tableColumns count="14">
    <tableColumn id="1" xr3:uid="{9097C4DF-EAD1-4A18-9B44-E53BA1DA2538}" name="Ordenes"/>
    <tableColumn id="2" xr3:uid="{4E7383F1-BCFE-47BB-9684-9C8907626ABD}" name="Fecha requisicion"/>
    <tableColumn id="3" xr3:uid="{8347B1DB-292D-4D55-81F6-56CCB4A32869}" name="Requisiciones"/>
    <tableColumn id="4" xr3:uid="{A35C2147-0475-4771-A970-DB3323E80F08}" name="Cotizaciones"/>
    <tableColumn id="5" xr3:uid="{F599B05F-9168-46D2-8F0D-5686946C1A12}" name="03 Ordenes de Compra"/>
    <tableColumn id="6" xr3:uid="{679AB51F-6CB9-4B4B-9883-21D5B154FDDB}" name="Estado"/>
    <tableColumn id="7" xr3:uid="{D25C5B16-56F7-4FEA-BBC8-350BE2C1AA5D}" name="Tipo de compra"/>
    <tableColumn id="8" xr3:uid="{A6DD26EB-182E-47E7-85D4-2C6FFBA41963}" name="Fecha de pago" dataDxfId="23"/>
    <tableColumn id="9" xr3:uid="{64335130-2EC5-44A7-9C4C-F057150832C4}" name="Fecha de entrega" dataDxfId="22"/>
    <tableColumn id="10" xr3:uid="{43729C9F-873C-4348-AD4C-B691911EC451}" name="contrato"/>
    <tableColumn id="11" xr3:uid="{5639EF85-BAE7-4F9A-948D-83D7FCCB037D}" name="zona"/>
    <tableColumn id="12" xr3:uid="{E750219C-E62B-4FE6-8BBD-E4FA574760C5}" name="monto" dataCellStyle="Moneda [0]"/>
    <tableColumn id="13" xr3:uid="{684FE013-C129-48DF-8512-2A3079777673}" name="Empresa compradora"/>
    <tableColumn id="14" xr3:uid="{19F0F2DB-9E0D-4C7C-8B70-584D74318397}" name="Columna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3FEA4-E2CE-4753-B564-FD6CE9440EF5}">
  <sheetPr>
    <tabColor rgb="FF00B050"/>
    <pageSetUpPr fitToPage="1"/>
  </sheetPr>
  <dimension ref="A1:AA236"/>
  <sheetViews>
    <sheetView tabSelected="1" topLeftCell="S182" zoomScaleNormal="100" workbookViewId="0">
      <selection activeCell="W186" sqref="W186"/>
    </sheetView>
  </sheetViews>
  <sheetFormatPr baseColWidth="10" defaultColWidth="11.42578125" defaultRowHeight="15"/>
  <cols>
    <col min="1" max="1" width="13.140625" bestFit="1" customWidth="1"/>
    <col min="2" max="2" width="58.85546875" style="2" bestFit="1" customWidth="1"/>
    <col min="3" max="3" width="68.28515625" bestFit="1" customWidth="1"/>
    <col min="4" max="4" width="80.5703125" bestFit="1" customWidth="1"/>
    <col min="5" max="5" width="5.42578125" customWidth="1"/>
    <col min="6" max="6" width="15.28515625" style="5" customWidth="1"/>
    <col min="7" max="7" width="19.28515625" customWidth="1"/>
    <col min="8" max="8" width="18" customWidth="1"/>
    <col min="9" max="9" width="11.42578125" customWidth="1"/>
    <col min="10" max="10" width="14.5703125" customWidth="1"/>
    <col min="11" max="11" width="16.140625" bestFit="1" customWidth="1"/>
    <col min="12" max="12" width="20.7109375" customWidth="1"/>
    <col min="13" max="13" width="61.7109375" bestFit="1" customWidth="1"/>
    <col min="14" max="14" width="28.42578125" customWidth="1"/>
    <col min="15" max="16" width="34.42578125" customWidth="1"/>
    <col min="17" max="17" width="16.85546875" customWidth="1"/>
    <col min="18" max="18" width="81.140625" customWidth="1"/>
    <col min="19" max="19" width="16.5703125" customWidth="1"/>
    <col min="20" max="20" width="15.85546875" style="2" customWidth="1"/>
    <col min="21" max="21" width="18.5703125" style="2" customWidth="1"/>
    <col min="22" max="22" width="79.28515625" style="2" bestFit="1" customWidth="1"/>
    <col min="23" max="23" width="20" bestFit="1" customWidth="1"/>
    <col min="24" max="24" width="23.42578125" bestFit="1" customWidth="1"/>
    <col min="25" max="25" width="17.85546875" bestFit="1" customWidth="1"/>
    <col min="26" max="26" width="16.85546875" bestFit="1" customWidth="1"/>
    <col min="27" max="27" width="12.42578125" bestFit="1" customWidth="1"/>
    <col min="28" max="28" width="16.85546875" bestFit="1" customWidth="1"/>
    <col min="29" max="29" width="12.42578125" bestFit="1" customWidth="1"/>
    <col min="30" max="30" width="24.28515625" bestFit="1" customWidth="1"/>
    <col min="31" max="31" width="11.7109375" bestFit="1" customWidth="1"/>
  </cols>
  <sheetData>
    <row r="1" spans="1:27">
      <c r="A1" s="1" t="s">
        <v>0</v>
      </c>
      <c r="B1" s="1" t="s">
        <v>1</v>
      </c>
      <c r="C1" s="1" t="s">
        <v>2</v>
      </c>
      <c r="D1" t="s">
        <v>3</v>
      </c>
      <c r="E1" t="s">
        <v>614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s="5" t="s">
        <v>9</v>
      </c>
      <c r="L1" s="8" t="s">
        <v>10</v>
      </c>
      <c r="M1" s="8" t="s">
        <v>11</v>
      </c>
      <c r="N1" s="8" t="s">
        <v>12</v>
      </c>
      <c r="O1" s="8" t="s">
        <v>13</v>
      </c>
      <c r="P1" s="8" t="s">
        <v>14</v>
      </c>
      <c r="Q1" s="8" t="s">
        <v>15</v>
      </c>
      <c r="R1" t="s">
        <v>16</v>
      </c>
      <c r="S1" s="8" t="s">
        <v>615</v>
      </c>
      <c r="T1" t="s">
        <v>19</v>
      </c>
      <c r="U1" s="2" t="s">
        <v>20</v>
      </c>
      <c r="V1" s="8" t="s">
        <v>513</v>
      </c>
      <c r="W1" s="10" t="s">
        <v>17</v>
      </c>
      <c r="X1" s="6" t="s">
        <v>18</v>
      </c>
      <c r="Y1" s="7" t="s">
        <v>21</v>
      </c>
      <c r="Z1" s="1" t="s">
        <v>22</v>
      </c>
      <c r="AA1" s="1" t="s">
        <v>23</v>
      </c>
    </row>
    <row r="2" spans="1:27">
      <c r="A2" t="s">
        <v>24</v>
      </c>
      <c r="B2" t="s">
        <v>25</v>
      </c>
      <c r="C2" t="s">
        <v>26</v>
      </c>
      <c r="D2" t="s">
        <v>27</v>
      </c>
      <c r="E2">
        <v>1</v>
      </c>
      <c r="F2" t="s">
        <v>28</v>
      </c>
      <c r="G2" t="s">
        <v>29</v>
      </c>
      <c r="H2" t="s">
        <v>29</v>
      </c>
      <c r="I2" t="s">
        <v>29</v>
      </c>
      <c r="J2" t="s">
        <v>30</v>
      </c>
      <c r="K2" s="5">
        <v>485948</v>
      </c>
      <c r="L2" s="5" t="s">
        <v>31</v>
      </c>
      <c r="M2" t="s">
        <v>32</v>
      </c>
      <c r="N2" t="s">
        <v>33</v>
      </c>
      <c r="O2" t="s">
        <v>34</v>
      </c>
      <c r="P2" t="s">
        <v>35</v>
      </c>
      <c r="Q2" t="s">
        <v>36</v>
      </c>
      <c r="R2" t="s">
        <v>37</v>
      </c>
      <c r="S2" t="s">
        <v>514</v>
      </c>
      <c r="U2" s="2">
        <v>46177</v>
      </c>
      <c r="V2" t="s">
        <v>642</v>
      </c>
      <c r="W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" s="9">
        <f>+DATE(YEAR(Control[[#This Row],[Fecha Requisición]]),MONTH(Control[[#This Row],[Fecha Requisición]]),1)</f>
        <v>46143</v>
      </c>
      <c r="Y2" s="11">
        <f>+IF(Control[[#This Row],[Fecha de entrega]]="","",NETWORKDAYS(Control[[#This Row],[Fecha Requisición]],Control[[#This Row],[Fecha de entrega]]))</f>
        <v>12</v>
      </c>
      <c r="AA2">
        <f>+_xlfn.ISOWEEKNUM(Control[[#This Row],[Fecha Requisición]])</f>
        <v>21</v>
      </c>
    </row>
    <row r="3" spans="1:27">
      <c r="A3" t="s">
        <v>24</v>
      </c>
      <c r="B3" t="s">
        <v>25</v>
      </c>
      <c r="C3" t="s">
        <v>26</v>
      </c>
      <c r="D3" t="s">
        <v>38</v>
      </c>
      <c r="E3">
        <v>1</v>
      </c>
      <c r="F3" t="s">
        <v>28</v>
      </c>
      <c r="G3" t="s">
        <v>29</v>
      </c>
      <c r="H3" t="s">
        <v>29</v>
      </c>
      <c r="I3" t="s">
        <v>29</v>
      </c>
      <c r="J3" t="s">
        <v>39</v>
      </c>
      <c r="K3" s="5">
        <v>81998</v>
      </c>
      <c r="L3" s="5" t="s">
        <v>31</v>
      </c>
      <c r="M3" t="s">
        <v>40</v>
      </c>
      <c r="N3" t="s">
        <v>33</v>
      </c>
      <c r="O3" t="s">
        <v>34</v>
      </c>
      <c r="P3" t="s">
        <v>35</v>
      </c>
      <c r="Q3" t="s">
        <v>36</v>
      </c>
      <c r="R3" t="s">
        <v>41</v>
      </c>
      <c r="S3" t="s">
        <v>514</v>
      </c>
      <c r="U3" s="2">
        <v>46177</v>
      </c>
      <c r="V3" t="s">
        <v>642</v>
      </c>
      <c r="W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" s="9">
        <f>+DATE(YEAR(Control[[#This Row],[Fecha Requisición]]),MONTH(Control[[#This Row],[Fecha Requisición]]),1)</f>
        <v>46143</v>
      </c>
      <c r="Y3" s="11">
        <f>+IF(Control[[#This Row],[Fecha de entrega]]="","",NETWORKDAYS(Control[[#This Row],[Fecha Requisición]],Control[[#This Row],[Fecha de entrega]]))</f>
        <v>12</v>
      </c>
      <c r="AA3">
        <f>+_xlfn.ISOWEEKNUM(Control[[#This Row],[Fecha Requisición]])</f>
        <v>21</v>
      </c>
    </row>
    <row r="4" spans="1:27">
      <c r="A4" t="s">
        <v>24</v>
      </c>
      <c r="B4" t="s">
        <v>25</v>
      </c>
      <c r="C4" t="s">
        <v>26</v>
      </c>
      <c r="D4" t="s">
        <v>42</v>
      </c>
      <c r="E4">
        <v>1</v>
      </c>
      <c r="F4" t="s">
        <v>28</v>
      </c>
      <c r="G4" t="s">
        <v>29</v>
      </c>
      <c r="H4" t="s">
        <v>29</v>
      </c>
      <c r="I4" t="s">
        <v>29</v>
      </c>
      <c r="J4" t="s">
        <v>39</v>
      </c>
      <c r="K4" s="5">
        <v>19990</v>
      </c>
      <c r="L4" s="5" t="s">
        <v>31</v>
      </c>
      <c r="M4" t="s">
        <v>43</v>
      </c>
      <c r="N4" t="s">
        <v>33</v>
      </c>
      <c r="O4" t="s">
        <v>34</v>
      </c>
      <c r="P4" t="s">
        <v>35</v>
      </c>
      <c r="Q4" t="s">
        <v>36</v>
      </c>
      <c r="R4" t="s">
        <v>44</v>
      </c>
      <c r="S4" t="s">
        <v>514</v>
      </c>
      <c r="U4" s="2">
        <v>46177</v>
      </c>
      <c r="V4" t="s">
        <v>642</v>
      </c>
      <c r="W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" s="9">
        <f>+DATE(YEAR(Control[[#This Row],[Fecha Requisición]]),MONTH(Control[[#This Row],[Fecha Requisición]]),1)</f>
        <v>46143</v>
      </c>
      <c r="Y4" s="11">
        <f>+IF(Control[[#This Row],[Fecha de entrega]]="","",NETWORKDAYS(Control[[#This Row],[Fecha Requisición]],Control[[#This Row],[Fecha de entrega]]))</f>
        <v>12</v>
      </c>
      <c r="AA4">
        <f>+_xlfn.ISOWEEKNUM(Control[[#This Row],[Fecha Requisición]])</f>
        <v>21</v>
      </c>
    </row>
    <row r="5" spans="1:27">
      <c r="A5" t="s">
        <v>24</v>
      </c>
      <c r="B5" t="s">
        <v>25</v>
      </c>
      <c r="C5" t="s">
        <v>26</v>
      </c>
      <c r="D5" t="s">
        <v>45</v>
      </c>
      <c r="E5">
        <v>1</v>
      </c>
      <c r="F5" t="s">
        <v>28</v>
      </c>
      <c r="G5" t="s">
        <v>29</v>
      </c>
      <c r="H5" t="s">
        <v>29</v>
      </c>
      <c r="I5" t="s">
        <v>29</v>
      </c>
      <c r="J5" t="s">
        <v>39</v>
      </c>
      <c r="K5" s="5">
        <v>19190</v>
      </c>
      <c r="L5" s="5" t="s">
        <v>31</v>
      </c>
      <c r="M5" t="s">
        <v>46</v>
      </c>
      <c r="N5" t="s">
        <v>33</v>
      </c>
      <c r="O5" t="s">
        <v>34</v>
      </c>
      <c r="P5" t="s">
        <v>35</v>
      </c>
      <c r="Q5" t="s">
        <v>36</v>
      </c>
      <c r="R5" t="s">
        <v>47</v>
      </c>
      <c r="S5" t="s">
        <v>514</v>
      </c>
      <c r="U5" s="2">
        <v>46177</v>
      </c>
      <c r="V5" t="s">
        <v>642</v>
      </c>
      <c r="W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" s="9">
        <f>+DATE(YEAR(Control[[#This Row],[Fecha Requisición]]),MONTH(Control[[#This Row],[Fecha Requisición]]),1)</f>
        <v>46143</v>
      </c>
      <c r="Y5" s="11">
        <f>+IF(Control[[#This Row],[Fecha de entrega]]="","",NETWORKDAYS(Control[[#This Row],[Fecha Requisición]],Control[[#This Row],[Fecha de entrega]]))</f>
        <v>12</v>
      </c>
      <c r="AA5">
        <f>+_xlfn.ISOWEEKNUM(Control[[#This Row],[Fecha Requisición]])</f>
        <v>21</v>
      </c>
    </row>
    <row r="6" spans="1:27">
      <c r="A6" t="s">
        <v>48</v>
      </c>
      <c r="B6" t="s">
        <v>49</v>
      </c>
      <c r="C6" t="s">
        <v>50</v>
      </c>
      <c r="D6" t="s">
        <v>51</v>
      </c>
      <c r="E6">
        <v>2</v>
      </c>
      <c r="F6" t="s">
        <v>52</v>
      </c>
      <c r="G6" t="s">
        <v>53</v>
      </c>
      <c r="H6" t="s">
        <v>29</v>
      </c>
      <c r="I6" t="s">
        <v>54</v>
      </c>
      <c r="J6" t="s">
        <v>39</v>
      </c>
      <c r="K6" s="5">
        <v>227646</v>
      </c>
      <c r="L6" s="5" t="s">
        <v>55</v>
      </c>
      <c r="M6" t="s">
        <v>32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514</v>
      </c>
      <c r="U6" s="2">
        <v>46177</v>
      </c>
      <c r="V6" t="s">
        <v>642</v>
      </c>
      <c r="W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" s="9">
        <f>+DATE(YEAR(Control[[#This Row],[Fecha Requisición]]),MONTH(Control[[#This Row],[Fecha Requisición]]),1)</f>
        <v>46143</v>
      </c>
      <c r="Y6" s="11">
        <f>+IF(Control[[#This Row],[Fecha de entrega]]="","",NETWORKDAYS(Control[[#This Row],[Fecha Requisición]],Control[[#This Row],[Fecha de entrega]]))</f>
        <v>13</v>
      </c>
      <c r="AA6">
        <f>+_xlfn.ISOWEEKNUM(Control[[#This Row],[Fecha Requisición]])</f>
        <v>21</v>
      </c>
    </row>
    <row r="7" spans="1:27">
      <c r="A7" t="s">
        <v>61</v>
      </c>
      <c r="B7" t="s">
        <v>62</v>
      </c>
      <c r="C7" t="s">
        <v>63</v>
      </c>
      <c r="D7" t="s">
        <v>64</v>
      </c>
      <c r="E7">
        <v>3</v>
      </c>
      <c r="F7" t="s">
        <v>65</v>
      </c>
      <c r="G7" t="s">
        <v>66</v>
      </c>
      <c r="H7" t="s">
        <v>66</v>
      </c>
      <c r="I7" t="s">
        <v>66</v>
      </c>
      <c r="J7" t="s">
        <v>39</v>
      </c>
      <c r="K7" s="5">
        <v>65695</v>
      </c>
      <c r="L7" s="5" t="s">
        <v>55</v>
      </c>
      <c r="M7" t="s">
        <v>32</v>
      </c>
      <c r="N7" t="s">
        <v>67</v>
      </c>
      <c r="O7" t="s">
        <v>57</v>
      </c>
      <c r="P7" t="s">
        <v>58</v>
      </c>
      <c r="Q7" t="s">
        <v>36</v>
      </c>
      <c r="R7" t="s">
        <v>68</v>
      </c>
      <c r="S7" t="s">
        <v>514</v>
      </c>
      <c r="U7" s="2">
        <v>46171</v>
      </c>
      <c r="V7" t="s">
        <v>642</v>
      </c>
      <c r="W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" s="9">
        <f>+DATE(YEAR(Control[[#This Row],[Fecha Requisición]]),MONTH(Control[[#This Row],[Fecha Requisición]]),1)</f>
        <v>46143</v>
      </c>
      <c r="Y7" s="11">
        <f>+IF(Control[[#This Row],[Fecha de entrega]]="","",NETWORKDAYS(Control[[#This Row],[Fecha Requisición]],Control[[#This Row],[Fecha de entrega]]))</f>
        <v>6</v>
      </c>
      <c r="AA7">
        <f>+_xlfn.ISOWEEKNUM(Control[[#This Row],[Fecha Requisición]])</f>
        <v>21</v>
      </c>
    </row>
    <row r="8" spans="1:27">
      <c r="A8" t="s">
        <v>69</v>
      </c>
      <c r="B8" t="s">
        <v>70</v>
      </c>
      <c r="C8" t="s">
        <v>71</v>
      </c>
      <c r="D8" t="s">
        <v>72</v>
      </c>
      <c r="E8">
        <v>4</v>
      </c>
      <c r="F8" t="s">
        <v>73</v>
      </c>
      <c r="G8" t="s">
        <v>66</v>
      </c>
      <c r="H8" t="s">
        <v>66</v>
      </c>
      <c r="I8" t="s">
        <v>66</v>
      </c>
      <c r="J8" t="s">
        <v>30</v>
      </c>
      <c r="K8" s="5">
        <v>39999</v>
      </c>
      <c r="L8" s="5" t="s">
        <v>31</v>
      </c>
      <c r="M8" t="s">
        <v>74</v>
      </c>
      <c r="N8" t="s">
        <v>33</v>
      </c>
      <c r="O8" t="s">
        <v>34</v>
      </c>
      <c r="P8" t="s">
        <v>75</v>
      </c>
      <c r="Q8" t="s">
        <v>59</v>
      </c>
      <c r="R8" t="s">
        <v>76</v>
      </c>
      <c r="S8" t="s">
        <v>514</v>
      </c>
      <c r="U8" s="2">
        <v>46177</v>
      </c>
      <c r="V8" t="s">
        <v>642</v>
      </c>
      <c r="W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" s="9">
        <f>+DATE(YEAR(Control[[#This Row],[Fecha Requisición]]),MONTH(Control[[#This Row],[Fecha Requisición]]),1)</f>
        <v>46143</v>
      </c>
      <c r="Y8" s="11">
        <f>+IF(Control[[#This Row],[Fecha de entrega]]="","",NETWORKDAYS(Control[[#This Row],[Fecha Requisición]],Control[[#This Row],[Fecha de entrega]]))</f>
        <v>10</v>
      </c>
      <c r="AA8">
        <f>+_xlfn.ISOWEEKNUM(Control[[#This Row],[Fecha Requisición]])</f>
        <v>21</v>
      </c>
    </row>
    <row r="9" spans="1:27">
      <c r="A9" s="3" t="s">
        <v>69</v>
      </c>
      <c r="B9" t="s">
        <v>70</v>
      </c>
      <c r="C9" s="4" t="s">
        <v>71</v>
      </c>
      <c r="D9" t="s">
        <v>77</v>
      </c>
      <c r="E9">
        <v>4</v>
      </c>
      <c r="F9" t="s">
        <v>73</v>
      </c>
      <c r="G9" t="s">
        <v>66</v>
      </c>
      <c r="H9" t="s">
        <v>66</v>
      </c>
      <c r="I9" t="s">
        <v>66</v>
      </c>
      <c r="J9" t="s">
        <v>30</v>
      </c>
      <c r="K9" s="5">
        <v>364592</v>
      </c>
      <c r="L9" s="5" t="s">
        <v>31</v>
      </c>
      <c r="M9" t="s">
        <v>32</v>
      </c>
      <c r="N9" t="s">
        <v>33</v>
      </c>
      <c r="O9" t="s">
        <v>34</v>
      </c>
      <c r="P9" t="s">
        <v>75</v>
      </c>
      <c r="Q9" t="s">
        <v>59</v>
      </c>
      <c r="R9" t="s">
        <v>78</v>
      </c>
      <c r="S9" t="s">
        <v>514</v>
      </c>
      <c r="U9" s="2">
        <v>46177</v>
      </c>
      <c r="V9" t="s">
        <v>642</v>
      </c>
      <c r="W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" s="9">
        <f>+DATE(YEAR(Control[[#This Row],[Fecha Requisición]]),MONTH(Control[[#This Row],[Fecha Requisición]]),1)</f>
        <v>46143</v>
      </c>
      <c r="Y9" s="11">
        <f>+IF(Control[[#This Row],[Fecha de entrega]]="","",NETWORKDAYS(Control[[#This Row],[Fecha Requisición]],Control[[#This Row],[Fecha de entrega]]))</f>
        <v>10</v>
      </c>
      <c r="AA9">
        <f>+_xlfn.ISOWEEKNUM(Control[[#This Row],[Fecha Requisición]])</f>
        <v>21</v>
      </c>
    </row>
    <row r="10" spans="1:27">
      <c r="A10" t="s">
        <v>79</v>
      </c>
      <c r="B10" t="s">
        <v>80</v>
      </c>
      <c r="C10" t="s">
        <v>81</v>
      </c>
      <c r="D10" t="s">
        <v>82</v>
      </c>
      <c r="E10">
        <v>5</v>
      </c>
      <c r="F10" t="s">
        <v>83</v>
      </c>
      <c r="G10" t="s">
        <v>84</v>
      </c>
      <c r="H10" t="s">
        <v>84</v>
      </c>
      <c r="I10" t="s">
        <v>84</v>
      </c>
      <c r="J10" t="s">
        <v>30</v>
      </c>
      <c r="K10" s="5">
        <v>227646</v>
      </c>
      <c r="L10" s="5" t="s">
        <v>55</v>
      </c>
      <c r="M10" t="s">
        <v>32</v>
      </c>
      <c r="N10" t="s">
        <v>85</v>
      </c>
      <c r="O10" t="s">
        <v>86</v>
      </c>
      <c r="P10" t="s">
        <v>58</v>
      </c>
      <c r="Q10" t="s">
        <v>59</v>
      </c>
      <c r="R10" t="s">
        <v>87</v>
      </c>
      <c r="S10" t="s">
        <v>514</v>
      </c>
      <c r="U10" s="2">
        <v>46171</v>
      </c>
      <c r="V10" t="s">
        <v>642</v>
      </c>
      <c r="W1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" s="9">
        <f>+DATE(YEAR(Control[[#This Row],[Fecha Requisición]]),MONTH(Control[[#This Row],[Fecha Requisición]]),1)</f>
        <v>46143</v>
      </c>
      <c r="Y10" s="11">
        <f>+IF(Control[[#This Row],[Fecha de entrega]]="","",NETWORKDAYS(Control[[#This Row],[Fecha Requisición]],Control[[#This Row],[Fecha de entrega]]))</f>
        <v>5</v>
      </c>
      <c r="AA10">
        <f>+_xlfn.ISOWEEKNUM(Control[[#This Row],[Fecha Requisición]])</f>
        <v>22</v>
      </c>
    </row>
    <row r="11" spans="1:27">
      <c r="A11" t="s">
        <v>88</v>
      </c>
      <c r="B11" t="s">
        <v>89</v>
      </c>
      <c r="C11" t="s">
        <v>90</v>
      </c>
      <c r="D11" t="s">
        <v>91</v>
      </c>
      <c r="E11">
        <v>6</v>
      </c>
      <c r="F11" t="s">
        <v>92</v>
      </c>
      <c r="G11" t="s">
        <v>84</v>
      </c>
      <c r="H11" t="s">
        <v>84</v>
      </c>
      <c r="I11" t="s">
        <v>84</v>
      </c>
      <c r="J11" t="s">
        <v>39</v>
      </c>
      <c r="K11" s="5">
        <v>29990</v>
      </c>
      <c r="L11" s="5" t="s">
        <v>55</v>
      </c>
      <c r="M11" t="s">
        <v>74</v>
      </c>
      <c r="N11" t="s">
        <v>93</v>
      </c>
      <c r="O11" t="s">
        <v>57</v>
      </c>
      <c r="P11" t="s">
        <v>58</v>
      </c>
      <c r="Q11" t="s">
        <v>94</v>
      </c>
      <c r="R11" t="s">
        <v>95</v>
      </c>
      <c r="S11" t="s">
        <v>514</v>
      </c>
      <c r="T11" s="2">
        <v>46170</v>
      </c>
      <c r="U11" s="2">
        <v>46175</v>
      </c>
      <c r="V11" t="s">
        <v>642</v>
      </c>
      <c r="W1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" s="9">
        <f>+DATE(YEAR(Control[[#This Row],[Fecha Requisición]]),MONTH(Control[[#This Row],[Fecha Requisición]]),1)</f>
        <v>46143</v>
      </c>
      <c r="Y11" s="11">
        <f>+IF(Control[[#This Row],[Fecha de entrega]]="","",NETWORKDAYS(Control[[#This Row],[Fecha Requisición]],Control[[#This Row],[Fecha de entrega]]))</f>
        <v>7</v>
      </c>
      <c r="AA11">
        <f>+_xlfn.ISOWEEKNUM(Control[[#This Row],[Fecha Requisición]])</f>
        <v>22</v>
      </c>
    </row>
    <row r="12" spans="1:27">
      <c r="A12" t="s">
        <v>96</v>
      </c>
      <c r="B12" t="s">
        <v>97</v>
      </c>
      <c r="C12" t="s">
        <v>98</v>
      </c>
      <c r="D12" t="s">
        <v>99</v>
      </c>
      <c r="E12">
        <v>7</v>
      </c>
      <c r="F12" t="s">
        <v>100</v>
      </c>
      <c r="G12" t="s">
        <v>84</v>
      </c>
      <c r="H12" t="s">
        <v>84</v>
      </c>
      <c r="I12" t="s">
        <v>84</v>
      </c>
      <c r="J12" t="s">
        <v>39</v>
      </c>
      <c r="K12" s="5">
        <v>29990</v>
      </c>
      <c r="L12" s="5" t="s">
        <v>55</v>
      </c>
      <c r="M12" t="s">
        <v>74</v>
      </c>
      <c r="N12" t="s">
        <v>93</v>
      </c>
      <c r="O12" t="s">
        <v>101</v>
      </c>
      <c r="P12" t="s">
        <v>58</v>
      </c>
      <c r="Q12" t="s">
        <v>94</v>
      </c>
      <c r="R12" t="s">
        <v>102</v>
      </c>
      <c r="S12" t="s">
        <v>514</v>
      </c>
      <c r="T12" s="2">
        <v>46171</v>
      </c>
      <c r="U12" s="2">
        <v>46175</v>
      </c>
      <c r="V12" t="s">
        <v>642</v>
      </c>
      <c r="W1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" s="9">
        <f>+DATE(YEAR(Control[[#This Row],[Fecha Requisición]]),MONTH(Control[[#This Row],[Fecha Requisición]]),1)</f>
        <v>46143</v>
      </c>
      <c r="Y12" s="11">
        <f>+IF(Control[[#This Row],[Fecha de entrega]]="","",NETWORKDAYS(Control[[#This Row],[Fecha Requisición]],Control[[#This Row],[Fecha de entrega]]))</f>
        <v>7</v>
      </c>
      <c r="AA12">
        <f>+_xlfn.ISOWEEKNUM(Control[[#This Row],[Fecha Requisición]])</f>
        <v>22</v>
      </c>
    </row>
    <row r="13" spans="1:27">
      <c r="A13" t="s">
        <v>103</v>
      </c>
      <c r="B13" t="s">
        <v>104</v>
      </c>
      <c r="C13" t="s">
        <v>105</v>
      </c>
      <c r="D13" t="s">
        <v>106</v>
      </c>
      <c r="E13">
        <v>8</v>
      </c>
      <c r="F13" t="s">
        <v>107</v>
      </c>
      <c r="G13" t="s">
        <v>84</v>
      </c>
      <c r="H13" t="s">
        <v>84</v>
      </c>
      <c r="I13" t="s">
        <v>84</v>
      </c>
      <c r="J13" t="s">
        <v>39</v>
      </c>
      <c r="K13" s="5">
        <v>71091</v>
      </c>
      <c r="L13" s="5" t="s">
        <v>55</v>
      </c>
      <c r="M13" t="s">
        <v>108</v>
      </c>
      <c r="N13" t="s">
        <v>93</v>
      </c>
      <c r="O13" t="s">
        <v>101</v>
      </c>
      <c r="P13" t="s">
        <v>58</v>
      </c>
      <c r="Q13" t="s">
        <v>94</v>
      </c>
      <c r="R13" t="s">
        <v>109</v>
      </c>
      <c r="S13" t="s">
        <v>514</v>
      </c>
      <c r="U13" s="2">
        <v>46179</v>
      </c>
      <c r="V13" t="s">
        <v>642</v>
      </c>
      <c r="W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" s="9">
        <f>+DATE(YEAR(Control[[#This Row],[Fecha Requisición]]),MONTH(Control[[#This Row],[Fecha Requisición]]),1)</f>
        <v>46143</v>
      </c>
      <c r="Y13" s="11">
        <f>+IF(Control[[#This Row],[Fecha de entrega]]="","",NETWORKDAYS(Control[[#This Row],[Fecha Requisición]],Control[[#This Row],[Fecha de entrega]]))</f>
        <v>10</v>
      </c>
      <c r="AA13">
        <f>+_xlfn.ISOWEEKNUM(Control[[#This Row],[Fecha Requisición]])</f>
        <v>22</v>
      </c>
    </row>
    <row r="14" spans="1:27">
      <c r="A14" t="s">
        <v>110</v>
      </c>
      <c r="B14" t="s">
        <v>111</v>
      </c>
      <c r="C14" t="s">
        <v>112</v>
      </c>
      <c r="D14" t="s">
        <v>113</v>
      </c>
      <c r="E14">
        <v>9</v>
      </c>
      <c r="F14" t="s">
        <v>114</v>
      </c>
      <c r="G14" t="s">
        <v>84</v>
      </c>
      <c r="H14" t="s">
        <v>84</v>
      </c>
      <c r="I14" t="s">
        <v>84</v>
      </c>
      <c r="J14" t="s">
        <v>39</v>
      </c>
      <c r="K14" s="5">
        <v>71091</v>
      </c>
      <c r="L14" s="5" t="s">
        <v>55</v>
      </c>
      <c r="M14" t="s">
        <v>108</v>
      </c>
      <c r="N14" t="s">
        <v>93</v>
      </c>
      <c r="O14" t="s">
        <v>57</v>
      </c>
      <c r="P14" t="s">
        <v>58</v>
      </c>
      <c r="Q14" t="s">
        <v>94</v>
      </c>
      <c r="R14" t="s">
        <v>115</v>
      </c>
      <c r="S14" t="s">
        <v>514</v>
      </c>
      <c r="U14" s="2">
        <v>46179</v>
      </c>
      <c r="V14" t="s">
        <v>642</v>
      </c>
      <c r="W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" s="9">
        <f>+DATE(YEAR(Control[[#This Row],[Fecha Requisición]]),MONTH(Control[[#This Row],[Fecha Requisición]]),1)</f>
        <v>46143</v>
      </c>
      <c r="Y14" s="11">
        <f>+IF(Control[[#This Row],[Fecha de entrega]]="","",NETWORKDAYS(Control[[#This Row],[Fecha Requisición]],Control[[#This Row],[Fecha de entrega]]))</f>
        <v>10</v>
      </c>
      <c r="AA14">
        <f>+_xlfn.ISOWEEKNUM(Control[[#This Row],[Fecha Requisición]])</f>
        <v>22</v>
      </c>
    </row>
    <row r="15" spans="1:27">
      <c r="A15" t="s">
        <v>116</v>
      </c>
      <c r="B15" t="s">
        <v>117</v>
      </c>
      <c r="C15" t="s">
        <v>118</v>
      </c>
      <c r="D15" t="s">
        <v>119</v>
      </c>
      <c r="E15">
        <v>10</v>
      </c>
      <c r="F15" t="s">
        <v>120</v>
      </c>
      <c r="G15" t="s">
        <v>53</v>
      </c>
      <c r="H15" t="s">
        <v>53</v>
      </c>
      <c r="I15" t="s">
        <v>53</v>
      </c>
      <c r="J15" t="s">
        <v>30</v>
      </c>
      <c r="K15" s="5">
        <v>51131</v>
      </c>
      <c r="L15" s="5" t="s">
        <v>31</v>
      </c>
      <c r="M15" t="s">
        <v>121</v>
      </c>
      <c r="N15" t="s">
        <v>122</v>
      </c>
      <c r="O15" t="s">
        <v>123</v>
      </c>
      <c r="P15" t="s">
        <v>124</v>
      </c>
      <c r="Q15" t="s">
        <v>36</v>
      </c>
      <c r="R15" t="s">
        <v>125</v>
      </c>
      <c r="S15" t="s">
        <v>514</v>
      </c>
      <c r="T15" s="2">
        <v>46170</v>
      </c>
      <c r="U15" s="2">
        <v>46181</v>
      </c>
      <c r="V15" t="s">
        <v>642</v>
      </c>
      <c r="W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" s="9">
        <f>+DATE(YEAR(Control[[#This Row],[Fecha Requisición]]),MONTH(Control[[#This Row],[Fecha Requisición]]),1)</f>
        <v>46143</v>
      </c>
      <c r="Y15" s="11">
        <f>+IF(Control[[#This Row],[Fecha de entrega]]="","",NETWORKDAYS(Control[[#This Row],[Fecha Requisición]],Control[[#This Row],[Fecha de entrega]]))</f>
        <v>15</v>
      </c>
      <c r="AA15">
        <f>+_xlfn.ISOWEEKNUM(Control[[#This Row],[Fecha Requisición]])</f>
        <v>21</v>
      </c>
    </row>
    <row r="16" spans="1:27">
      <c r="A16" t="s">
        <v>116</v>
      </c>
      <c r="B16" t="s">
        <v>117</v>
      </c>
      <c r="C16" t="s">
        <v>118</v>
      </c>
      <c r="D16" t="s">
        <v>126</v>
      </c>
      <c r="E16">
        <v>10</v>
      </c>
      <c r="F16" t="s">
        <v>120</v>
      </c>
      <c r="G16" t="s">
        <v>53</v>
      </c>
      <c r="H16" t="s">
        <v>53</v>
      </c>
      <c r="I16" t="s">
        <v>53</v>
      </c>
      <c r="J16" t="s">
        <v>39</v>
      </c>
      <c r="K16" s="5">
        <v>51131</v>
      </c>
      <c r="L16" s="5" t="s">
        <v>31</v>
      </c>
      <c r="M16" t="s">
        <v>121</v>
      </c>
      <c r="N16" t="s">
        <v>122</v>
      </c>
      <c r="O16" t="s">
        <v>123</v>
      </c>
      <c r="P16" t="s">
        <v>124</v>
      </c>
      <c r="Q16" t="s">
        <v>36</v>
      </c>
      <c r="R16" t="s">
        <v>127</v>
      </c>
      <c r="S16" t="s">
        <v>514</v>
      </c>
      <c r="T16" s="2">
        <v>46170</v>
      </c>
      <c r="U16" s="2">
        <v>46181</v>
      </c>
      <c r="V16" t="s">
        <v>642</v>
      </c>
      <c r="W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" s="9">
        <f>+DATE(YEAR(Control[[#This Row],[Fecha Requisición]]),MONTH(Control[[#This Row],[Fecha Requisición]]),1)</f>
        <v>46143</v>
      </c>
      <c r="Y16" s="11">
        <f>+IF(Control[[#This Row],[Fecha de entrega]]="","",NETWORKDAYS(Control[[#This Row],[Fecha Requisición]],Control[[#This Row],[Fecha de entrega]]))</f>
        <v>15</v>
      </c>
      <c r="AA16">
        <f>+_xlfn.ISOWEEKNUM(Control[[#This Row],[Fecha Requisición]])</f>
        <v>21</v>
      </c>
    </row>
    <row r="17" spans="1:27">
      <c r="A17" t="s">
        <v>116</v>
      </c>
      <c r="B17" t="s">
        <v>117</v>
      </c>
      <c r="C17" t="s">
        <v>118</v>
      </c>
      <c r="D17" t="s">
        <v>128</v>
      </c>
      <c r="E17">
        <v>10</v>
      </c>
      <c r="F17" t="s">
        <v>120</v>
      </c>
      <c r="G17" t="s">
        <v>53</v>
      </c>
      <c r="H17" t="s">
        <v>53</v>
      </c>
      <c r="I17" t="s">
        <v>53</v>
      </c>
      <c r="J17" t="s">
        <v>39</v>
      </c>
      <c r="K17" s="5">
        <v>460942</v>
      </c>
      <c r="L17" s="5" t="s">
        <v>31</v>
      </c>
      <c r="M17" t="s">
        <v>40</v>
      </c>
      <c r="N17" t="s">
        <v>122</v>
      </c>
      <c r="O17" t="s">
        <v>123</v>
      </c>
      <c r="P17" t="s">
        <v>124</v>
      </c>
      <c r="Q17" t="s">
        <v>36</v>
      </c>
      <c r="R17" t="s">
        <v>129</v>
      </c>
      <c r="S17" t="s">
        <v>514</v>
      </c>
      <c r="T17" s="2">
        <v>46170</v>
      </c>
      <c r="U17" s="2">
        <v>46181</v>
      </c>
      <c r="V17" t="s">
        <v>642</v>
      </c>
      <c r="W1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7" s="9">
        <f>+DATE(YEAR(Control[[#This Row],[Fecha Requisición]]),MONTH(Control[[#This Row],[Fecha Requisición]]),1)</f>
        <v>46143</v>
      </c>
      <c r="Y17" s="11">
        <f>+IF(Control[[#This Row],[Fecha de entrega]]="","",NETWORKDAYS(Control[[#This Row],[Fecha Requisición]],Control[[#This Row],[Fecha de entrega]]))</f>
        <v>15</v>
      </c>
      <c r="AA17">
        <f>+_xlfn.ISOWEEKNUM(Control[[#This Row],[Fecha Requisición]])</f>
        <v>21</v>
      </c>
    </row>
    <row r="18" spans="1:27">
      <c r="A18" t="s">
        <v>130</v>
      </c>
      <c r="B18" t="s">
        <v>131</v>
      </c>
      <c r="C18" t="s">
        <v>132</v>
      </c>
      <c r="D18" t="s">
        <v>133</v>
      </c>
      <c r="E18">
        <v>11</v>
      </c>
      <c r="F18" t="s">
        <v>134</v>
      </c>
      <c r="G18" t="s">
        <v>53</v>
      </c>
      <c r="H18" t="s">
        <v>53</v>
      </c>
      <c r="I18" t="s">
        <v>53</v>
      </c>
      <c r="J18" t="s">
        <v>39</v>
      </c>
      <c r="K18" s="5">
        <v>21459</v>
      </c>
      <c r="L18" s="5" t="s">
        <v>31</v>
      </c>
      <c r="M18" t="s">
        <v>121</v>
      </c>
      <c r="N18" t="s">
        <v>135</v>
      </c>
      <c r="O18" t="s">
        <v>57</v>
      </c>
      <c r="P18" t="s">
        <v>124</v>
      </c>
      <c r="Q18" t="s">
        <v>36</v>
      </c>
      <c r="R18" t="s">
        <v>136</v>
      </c>
      <c r="S18" t="s">
        <v>514</v>
      </c>
      <c r="T18" s="2">
        <v>46170</v>
      </c>
      <c r="U18" s="2">
        <v>46170</v>
      </c>
      <c r="V18" t="s">
        <v>642</v>
      </c>
      <c r="W1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8" s="9">
        <f>+DATE(YEAR(Control[[#This Row],[Fecha Requisición]]),MONTH(Control[[#This Row],[Fecha Requisición]]),1)</f>
        <v>46143</v>
      </c>
      <c r="Y18" s="11">
        <f>+IF(Control[[#This Row],[Fecha de entrega]]="","",NETWORKDAYS(Control[[#This Row],[Fecha Requisición]],Control[[#This Row],[Fecha de entrega]]))</f>
        <v>8</v>
      </c>
      <c r="AA18">
        <f>+_xlfn.ISOWEEKNUM(Control[[#This Row],[Fecha Requisición]])</f>
        <v>21</v>
      </c>
    </row>
    <row r="19" spans="1:27">
      <c r="A19" t="s">
        <v>130</v>
      </c>
      <c r="B19" t="s">
        <v>131</v>
      </c>
      <c r="C19" t="s">
        <v>132</v>
      </c>
      <c r="D19" t="s">
        <v>137</v>
      </c>
      <c r="E19">
        <v>11</v>
      </c>
      <c r="F19" t="s">
        <v>134</v>
      </c>
      <c r="G19" t="s">
        <v>53</v>
      </c>
      <c r="H19" t="s">
        <v>53</v>
      </c>
      <c r="I19" t="s">
        <v>53</v>
      </c>
      <c r="J19" t="s">
        <v>39</v>
      </c>
      <c r="K19" s="5">
        <v>64172</v>
      </c>
      <c r="L19" s="5" t="s">
        <v>31</v>
      </c>
      <c r="M19" t="s">
        <v>138</v>
      </c>
      <c r="N19" t="s">
        <v>135</v>
      </c>
      <c r="O19" t="s">
        <v>57</v>
      </c>
      <c r="P19" t="s">
        <v>124</v>
      </c>
      <c r="Q19" t="s">
        <v>36</v>
      </c>
      <c r="R19" t="s">
        <v>139</v>
      </c>
      <c r="S19" t="s">
        <v>514</v>
      </c>
      <c r="T19" s="2">
        <v>46170</v>
      </c>
      <c r="U19" s="2">
        <v>46170</v>
      </c>
      <c r="V19" t="s">
        <v>642</v>
      </c>
      <c r="W1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9" s="9">
        <f>+DATE(YEAR(Control[[#This Row],[Fecha Requisición]]),MONTH(Control[[#This Row],[Fecha Requisición]]),1)</f>
        <v>46143</v>
      </c>
      <c r="Y19" s="11">
        <f>+IF(Control[[#This Row],[Fecha de entrega]]="","",NETWORKDAYS(Control[[#This Row],[Fecha Requisición]],Control[[#This Row],[Fecha de entrega]]))</f>
        <v>8</v>
      </c>
      <c r="AA19">
        <f>+_xlfn.ISOWEEKNUM(Control[[#This Row],[Fecha Requisición]])</f>
        <v>21</v>
      </c>
    </row>
    <row r="20" spans="1:27">
      <c r="A20" t="s">
        <v>140</v>
      </c>
      <c r="B20" t="s">
        <v>141</v>
      </c>
      <c r="C20" t="s">
        <v>142</v>
      </c>
      <c r="D20" t="s">
        <v>143</v>
      </c>
      <c r="E20">
        <v>12</v>
      </c>
      <c r="F20" t="s">
        <v>144</v>
      </c>
      <c r="G20" t="s">
        <v>53</v>
      </c>
      <c r="H20" t="s">
        <v>53</v>
      </c>
      <c r="I20" t="s">
        <v>53</v>
      </c>
      <c r="J20" t="s">
        <v>39</v>
      </c>
      <c r="K20" s="5">
        <v>39190</v>
      </c>
      <c r="L20" s="5" t="s">
        <v>31</v>
      </c>
      <c r="M20" t="s">
        <v>121</v>
      </c>
      <c r="N20" t="s">
        <v>145</v>
      </c>
      <c r="O20" t="s">
        <v>101</v>
      </c>
      <c r="P20" t="s">
        <v>124</v>
      </c>
      <c r="Q20" t="s">
        <v>36</v>
      </c>
      <c r="R20" t="s">
        <v>146</v>
      </c>
      <c r="S20" t="s">
        <v>514</v>
      </c>
      <c r="T20" s="2">
        <v>46170</v>
      </c>
      <c r="U20" s="2">
        <v>46170</v>
      </c>
      <c r="V20" t="s">
        <v>642</v>
      </c>
      <c r="W2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0" s="9">
        <f>+DATE(YEAR(Control[[#This Row],[Fecha Requisición]]),MONTH(Control[[#This Row],[Fecha Requisición]]),1)</f>
        <v>46143</v>
      </c>
      <c r="Y20" s="11">
        <f>+IF(Control[[#This Row],[Fecha de entrega]]="","",NETWORKDAYS(Control[[#This Row],[Fecha Requisición]],Control[[#This Row],[Fecha de entrega]]))</f>
        <v>8</v>
      </c>
      <c r="AA20">
        <f>+_xlfn.ISOWEEKNUM(Control[[#This Row],[Fecha Requisición]])</f>
        <v>21</v>
      </c>
    </row>
    <row r="21" spans="1:27">
      <c r="A21" t="s">
        <v>140</v>
      </c>
      <c r="B21" t="s">
        <v>141</v>
      </c>
      <c r="C21" t="s">
        <v>142</v>
      </c>
      <c r="D21" t="s">
        <v>147</v>
      </c>
      <c r="E21">
        <v>12</v>
      </c>
      <c r="F21" t="s">
        <v>144</v>
      </c>
      <c r="G21" t="s">
        <v>53</v>
      </c>
      <c r="H21" t="s">
        <v>53</v>
      </c>
      <c r="I21" t="s">
        <v>53</v>
      </c>
      <c r="J21" t="s">
        <v>39</v>
      </c>
      <c r="K21" s="5">
        <v>47558</v>
      </c>
      <c r="L21" s="5" t="s">
        <v>31</v>
      </c>
      <c r="M21" t="s">
        <v>148</v>
      </c>
      <c r="N21" t="s">
        <v>145</v>
      </c>
      <c r="O21" t="s">
        <v>101</v>
      </c>
      <c r="P21" t="s">
        <v>124</v>
      </c>
      <c r="Q21" t="s">
        <v>36</v>
      </c>
      <c r="R21" t="s">
        <v>149</v>
      </c>
      <c r="S21" t="s">
        <v>514</v>
      </c>
      <c r="T21" s="2">
        <v>46170</v>
      </c>
      <c r="U21" s="2">
        <v>46170</v>
      </c>
      <c r="V21" t="s">
        <v>642</v>
      </c>
      <c r="W2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1" s="9">
        <f>+DATE(YEAR(Control[[#This Row],[Fecha Requisición]]),MONTH(Control[[#This Row],[Fecha Requisición]]),1)</f>
        <v>46143</v>
      </c>
      <c r="Y21" s="11">
        <f>+IF(Control[[#This Row],[Fecha de entrega]]="","",NETWORKDAYS(Control[[#This Row],[Fecha Requisición]],Control[[#This Row],[Fecha de entrega]]))</f>
        <v>8</v>
      </c>
      <c r="AA21">
        <f>+_xlfn.ISOWEEKNUM(Control[[#This Row],[Fecha Requisición]])</f>
        <v>21</v>
      </c>
    </row>
    <row r="22" spans="1:27">
      <c r="A22" t="s">
        <v>140</v>
      </c>
      <c r="B22" t="s">
        <v>141</v>
      </c>
      <c r="C22" t="s">
        <v>142</v>
      </c>
      <c r="D22" t="s">
        <v>150</v>
      </c>
      <c r="E22">
        <v>12</v>
      </c>
      <c r="F22" t="s">
        <v>144</v>
      </c>
      <c r="G22" t="s">
        <v>53</v>
      </c>
      <c r="H22" t="s">
        <v>53</v>
      </c>
      <c r="I22" t="s">
        <v>53</v>
      </c>
      <c r="J22" t="s">
        <v>39</v>
      </c>
      <c r="K22" s="5">
        <v>460942</v>
      </c>
      <c r="L22" s="5" t="s">
        <v>31</v>
      </c>
      <c r="M22" t="s">
        <v>40</v>
      </c>
      <c r="N22" t="s">
        <v>145</v>
      </c>
      <c r="O22" t="s">
        <v>101</v>
      </c>
      <c r="P22" t="s">
        <v>124</v>
      </c>
      <c r="Q22" t="s">
        <v>36</v>
      </c>
      <c r="R22" t="s">
        <v>151</v>
      </c>
      <c r="S22" t="s">
        <v>514</v>
      </c>
      <c r="T22" s="2">
        <v>46170</v>
      </c>
      <c r="U22" s="2">
        <v>46170</v>
      </c>
      <c r="V22" t="s">
        <v>642</v>
      </c>
      <c r="W2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2" s="9">
        <f>+DATE(YEAR(Control[[#This Row],[Fecha Requisición]]),MONTH(Control[[#This Row],[Fecha Requisición]]),1)</f>
        <v>46143</v>
      </c>
      <c r="Y22" s="11">
        <f>+IF(Control[[#This Row],[Fecha de entrega]]="","",NETWORKDAYS(Control[[#This Row],[Fecha Requisición]],Control[[#This Row],[Fecha de entrega]]))</f>
        <v>8</v>
      </c>
      <c r="AA22">
        <f>+_xlfn.ISOWEEKNUM(Control[[#This Row],[Fecha Requisición]])</f>
        <v>21</v>
      </c>
    </row>
    <row r="23" spans="1:27">
      <c r="A23" t="s">
        <v>152</v>
      </c>
      <c r="B23" t="s">
        <v>153</v>
      </c>
      <c r="C23" t="s">
        <v>154</v>
      </c>
      <c r="D23" t="s">
        <v>155</v>
      </c>
      <c r="E23">
        <v>13</v>
      </c>
      <c r="F23" t="s">
        <v>156</v>
      </c>
      <c r="G23" t="s">
        <v>53</v>
      </c>
      <c r="H23" t="s">
        <v>53</v>
      </c>
      <c r="I23" t="s">
        <v>157</v>
      </c>
      <c r="J23" t="s">
        <v>30</v>
      </c>
      <c r="K23" s="5">
        <v>130319</v>
      </c>
      <c r="L23" s="5" t="s">
        <v>31</v>
      </c>
      <c r="M23" t="s">
        <v>74</v>
      </c>
      <c r="N23" t="s">
        <v>158</v>
      </c>
      <c r="O23" t="s">
        <v>57</v>
      </c>
      <c r="P23" t="s">
        <v>124</v>
      </c>
      <c r="Q23" t="s">
        <v>36</v>
      </c>
      <c r="R23" t="s">
        <v>159</v>
      </c>
      <c r="S23" t="s">
        <v>514</v>
      </c>
      <c r="T23" s="2">
        <v>46170</v>
      </c>
      <c r="U23" s="2">
        <v>46171</v>
      </c>
      <c r="V23" t="s">
        <v>642</v>
      </c>
      <c r="W2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3" s="9">
        <f>+DATE(YEAR(Control[[#This Row],[Fecha Requisición]]),MONTH(Control[[#This Row],[Fecha Requisición]]),1)</f>
        <v>46143</v>
      </c>
      <c r="Y23" s="11">
        <f>+IF(Control[[#This Row],[Fecha de entrega]]="","",NETWORKDAYS(Control[[#This Row],[Fecha Requisición]],Control[[#This Row],[Fecha de entrega]]))</f>
        <v>9</v>
      </c>
      <c r="AA23">
        <f>+_xlfn.ISOWEEKNUM(Control[[#This Row],[Fecha Requisición]])</f>
        <v>21</v>
      </c>
    </row>
    <row r="24" spans="1:27">
      <c r="A24" t="s">
        <v>160</v>
      </c>
      <c r="B24" t="s">
        <v>161</v>
      </c>
      <c r="C24" t="s">
        <v>162</v>
      </c>
      <c r="D24" t="s">
        <v>163</v>
      </c>
      <c r="E24">
        <v>14</v>
      </c>
      <c r="F24" t="s">
        <v>164</v>
      </c>
      <c r="G24" t="s">
        <v>165</v>
      </c>
      <c r="H24" t="s">
        <v>165</v>
      </c>
      <c r="I24" t="s">
        <v>165</v>
      </c>
      <c r="J24" t="s">
        <v>30</v>
      </c>
      <c r="K24" s="5">
        <v>728280</v>
      </c>
      <c r="L24" s="5" t="s">
        <v>31</v>
      </c>
      <c r="M24" t="s">
        <v>166</v>
      </c>
      <c r="N24" t="s">
        <v>167</v>
      </c>
      <c r="O24" t="s">
        <v>57</v>
      </c>
      <c r="P24" t="s">
        <v>35</v>
      </c>
      <c r="Q24" t="s">
        <v>36</v>
      </c>
      <c r="R24" t="s">
        <v>168</v>
      </c>
      <c r="S24" t="s">
        <v>514</v>
      </c>
      <c r="U24" s="2">
        <v>46176</v>
      </c>
      <c r="V24" t="s">
        <v>642</v>
      </c>
      <c r="W2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4" s="9">
        <f>+DATE(YEAR(Control[[#This Row],[Fecha Requisición]]),MONTH(Control[[#This Row],[Fecha Requisición]]),1)</f>
        <v>46174</v>
      </c>
      <c r="Y24" s="11">
        <f>+IF(Control[[#This Row],[Fecha de entrega]]="","",NETWORKDAYS(Control[[#This Row],[Fecha Requisición]],Control[[#This Row],[Fecha de entrega]]))</f>
        <v>3</v>
      </c>
      <c r="AA24">
        <f>+_xlfn.ISOWEEKNUM(Control[[#This Row],[Fecha Requisición]])</f>
        <v>23</v>
      </c>
    </row>
    <row r="25" spans="1:27">
      <c r="A25" t="s">
        <v>169</v>
      </c>
      <c r="B25" t="s">
        <v>170</v>
      </c>
      <c r="C25" t="s">
        <v>171</v>
      </c>
      <c r="D25" t="s">
        <v>172</v>
      </c>
      <c r="E25">
        <v>15</v>
      </c>
      <c r="F25" t="s">
        <v>173</v>
      </c>
      <c r="G25" t="s">
        <v>165</v>
      </c>
      <c r="H25" t="s">
        <v>165</v>
      </c>
      <c r="I25" t="s">
        <v>165</v>
      </c>
      <c r="J25" t="s">
        <v>30</v>
      </c>
      <c r="K25" s="5">
        <v>101909</v>
      </c>
      <c r="L25" s="5" t="s">
        <v>31</v>
      </c>
      <c r="M25" t="s">
        <v>174</v>
      </c>
      <c r="N25" t="s">
        <v>175</v>
      </c>
      <c r="O25" t="s">
        <v>176</v>
      </c>
      <c r="P25" t="s">
        <v>35</v>
      </c>
      <c r="Q25" t="s">
        <v>94</v>
      </c>
      <c r="R25" t="s">
        <v>177</v>
      </c>
      <c r="S25" t="s">
        <v>514</v>
      </c>
      <c r="U25" s="2">
        <v>46188</v>
      </c>
      <c r="V25" t="s">
        <v>642</v>
      </c>
      <c r="W2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5" s="9">
        <f>+DATE(YEAR(Control[[#This Row],[Fecha Requisición]]),MONTH(Control[[#This Row],[Fecha Requisición]]),1)</f>
        <v>46174</v>
      </c>
      <c r="Y25" s="11">
        <f>+IF(Control[[#This Row],[Fecha de entrega]]="","",NETWORKDAYS(Control[[#This Row],[Fecha Requisición]],Control[[#This Row],[Fecha de entrega]]))</f>
        <v>11</v>
      </c>
      <c r="AA25">
        <f>+_xlfn.ISOWEEKNUM(Control[[#This Row],[Fecha Requisición]])</f>
        <v>23</v>
      </c>
    </row>
    <row r="26" spans="1:27">
      <c r="A26" t="s">
        <v>169</v>
      </c>
      <c r="B26" t="s">
        <v>170</v>
      </c>
      <c r="C26" t="s">
        <v>171</v>
      </c>
      <c r="D26" t="s">
        <v>178</v>
      </c>
      <c r="E26">
        <v>15</v>
      </c>
      <c r="F26" t="s">
        <v>173</v>
      </c>
      <c r="G26" t="s">
        <v>165</v>
      </c>
      <c r="H26" t="s">
        <v>165</v>
      </c>
      <c r="I26" t="s">
        <v>165</v>
      </c>
      <c r="J26" t="s">
        <v>30</v>
      </c>
      <c r="K26" s="5">
        <v>43358</v>
      </c>
      <c r="L26" s="5" t="s">
        <v>31</v>
      </c>
      <c r="M26" t="s">
        <v>174</v>
      </c>
      <c r="N26" t="s">
        <v>175</v>
      </c>
      <c r="O26" t="s">
        <v>176</v>
      </c>
      <c r="P26" t="s">
        <v>35</v>
      </c>
      <c r="Q26" t="s">
        <v>94</v>
      </c>
      <c r="R26" t="s">
        <v>179</v>
      </c>
      <c r="S26" t="s">
        <v>514</v>
      </c>
      <c r="U26" s="2">
        <v>46188</v>
      </c>
      <c r="V26" t="s">
        <v>642</v>
      </c>
      <c r="W2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6" s="9">
        <f>+DATE(YEAR(Control[[#This Row],[Fecha Requisición]]),MONTH(Control[[#This Row],[Fecha Requisición]]),1)</f>
        <v>46174</v>
      </c>
      <c r="Y26" s="11">
        <f>+IF(Control[[#This Row],[Fecha de entrega]]="","",NETWORKDAYS(Control[[#This Row],[Fecha Requisición]],Control[[#This Row],[Fecha de entrega]]))</f>
        <v>11</v>
      </c>
      <c r="AA26">
        <f>+_xlfn.ISOWEEKNUM(Control[[#This Row],[Fecha Requisición]])</f>
        <v>23</v>
      </c>
    </row>
    <row r="27" spans="1:27">
      <c r="A27" t="s">
        <v>169</v>
      </c>
      <c r="B27" t="s">
        <v>170</v>
      </c>
      <c r="C27" t="s">
        <v>171</v>
      </c>
      <c r="D27" t="s">
        <v>180</v>
      </c>
      <c r="E27">
        <v>15</v>
      </c>
      <c r="F27" t="s">
        <v>173</v>
      </c>
      <c r="G27" t="s">
        <v>165</v>
      </c>
      <c r="H27" t="s">
        <v>165</v>
      </c>
      <c r="I27" t="s">
        <v>165</v>
      </c>
      <c r="J27" t="s">
        <v>30</v>
      </c>
      <c r="K27" s="5">
        <v>25655</v>
      </c>
      <c r="L27" s="5" t="s">
        <v>31</v>
      </c>
      <c r="M27" t="s">
        <v>174</v>
      </c>
      <c r="N27" t="s">
        <v>175</v>
      </c>
      <c r="O27" t="s">
        <v>176</v>
      </c>
      <c r="P27" t="s">
        <v>35</v>
      </c>
      <c r="Q27" t="s">
        <v>94</v>
      </c>
      <c r="R27" t="s">
        <v>181</v>
      </c>
      <c r="S27" t="s">
        <v>514</v>
      </c>
      <c r="U27" s="2">
        <v>46188</v>
      </c>
      <c r="V27" t="s">
        <v>642</v>
      </c>
      <c r="W2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7" s="9">
        <f>+DATE(YEAR(Control[[#This Row],[Fecha Requisición]]),MONTH(Control[[#This Row],[Fecha Requisición]]),1)</f>
        <v>46174</v>
      </c>
      <c r="Y27" s="11">
        <f>+IF(Control[[#This Row],[Fecha de entrega]]="","",NETWORKDAYS(Control[[#This Row],[Fecha Requisición]],Control[[#This Row],[Fecha de entrega]]))</f>
        <v>11</v>
      </c>
      <c r="AA27">
        <f>+_xlfn.ISOWEEKNUM(Control[[#This Row],[Fecha Requisición]])</f>
        <v>23</v>
      </c>
    </row>
    <row r="28" spans="1:27">
      <c r="A28" t="s">
        <v>182</v>
      </c>
      <c r="B28" t="s">
        <v>183</v>
      </c>
      <c r="C28" t="s">
        <v>184</v>
      </c>
      <c r="D28" t="s">
        <v>185</v>
      </c>
      <c r="E28">
        <v>16</v>
      </c>
      <c r="F28" t="s">
        <v>186</v>
      </c>
      <c r="G28" t="s">
        <v>165</v>
      </c>
      <c r="H28" t="s">
        <v>165</v>
      </c>
      <c r="I28" t="s">
        <v>165</v>
      </c>
      <c r="J28" t="s">
        <v>39</v>
      </c>
      <c r="K28" s="5">
        <v>1895829</v>
      </c>
      <c r="L28" s="5" t="s">
        <v>31</v>
      </c>
      <c r="M28" t="s">
        <v>187</v>
      </c>
      <c r="N28" t="s">
        <v>188</v>
      </c>
      <c r="O28" t="s">
        <v>57</v>
      </c>
      <c r="P28" t="s">
        <v>189</v>
      </c>
      <c r="Q28" t="s">
        <v>36</v>
      </c>
      <c r="R28" t="s">
        <v>190</v>
      </c>
      <c r="S28" t="s">
        <v>514</v>
      </c>
      <c r="T28" s="2">
        <v>46175</v>
      </c>
      <c r="U28" s="2">
        <v>46181</v>
      </c>
      <c r="V28" t="s">
        <v>642</v>
      </c>
      <c r="W2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8" s="9">
        <f>+DATE(YEAR(Control[[#This Row],[Fecha Requisición]]),MONTH(Control[[#This Row],[Fecha Requisición]]),1)</f>
        <v>46174</v>
      </c>
      <c r="Y28" s="11">
        <f>+IF(Control[[#This Row],[Fecha de entrega]]="","",NETWORKDAYS(Control[[#This Row],[Fecha Requisición]],Control[[#This Row],[Fecha de entrega]]))</f>
        <v>6</v>
      </c>
      <c r="AA28">
        <f>+_xlfn.ISOWEEKNUM(Control[[#This Row],[Fecha Requisición]])</f>
        <v>23</v>
      </c>
    </row>
    <row r="29" spans="1:27">
      <c r="A29" t="s">
        <v>191</v>
      </c>
      <c r="B29" t="s">
        <v>192</v>
      </c>
      <c r="C29" t="s">
        <v>730</v>
      </c>
      <c r="D29" t="s">
        <v>193</v>
      </c>
      <c r="E29">
        <v>17</v>
      </c>
      <c r="F29" t="s">
        <v>194</v>
      </c>
      <c r="G29" t="s">
        <v>195</v>
      </c>
      <c r="H29" t="s">
        <v>195</v>
      </c>
      <c r="I29" t="s">
        <v>195</v>
      </c>
      <c r="J29" t="s">
        <v>39</v>
      </c>
      <c r="K29" s="5">
        <v>584980</v>
      </c>
      <c r="L29" s="5" t="s">
        <v>31</v>
      </c>
      <c r="M29" t="s">
        <v>74</v>
      </c>
      <c r="N29" t="s">
        <v>196</v>
      </c>
      <c r="O29" t="s">
        <v>197</v>
      </c>
      <c r="P29" t="s">
        <v>75</v>
      </c>
      <c r="Q29" t="s">
        <v>36</v>
      </c>
      <c r="R29" t="s">
        <v>198</v>
      </c>
      <c r="S29" t="s">
        <v>514</v>
      </c>
      <c r="U29" s="2">
        <v>46189</v>
      </c>
      <c r="V29" t="s">
        <v>642</v>
      </c>
      <c r="W2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9" s="9">
        <f>+DATE(YEAR(Control[[#This Row],[Fecha Requisición]]),MONTH(Control[[#This Row],[Fecha Requisición]]),1)</f>
        <v>46174</v>
      </c>
      <c r="Y29" s="11">
        <f>+IF(Control[[#This Row],[Fecha de entrega]]="","",NETWORKDAYS(Control[[#This Row],[Fecha Requisición]],Control[[#This Row],[Fecha de entrega]]))</f>
        <v>10</v>
      </c>
      <c r="AA29">
        <f>+_xlfn.ISOWEEKNUM(Control[[#This Row],[Fecha Requisición]])</f>
        <v>23</v>
      </c>
    </row>
    <row r="30" spans="1:27">
      <c r="A30" t="s">
        <v>231</v>
      </c>
      <c r="B30" t="s">
        <v>232</v>
      </c>
      <c r="C30" t="s">
        <v>233</v>
      </c>
      <c r="D30" t="s">
        <v>234</v>
      </c>
      <c r="E30">
        <v>19</v>
      </c>
      <c r="F30" t="s">
        <v>235</v>
      </c>
      <c r="G30" t="s">
        <v>203</v>
      </c>
      <c r="H30" t="s">
        <v>203</v>
      </c>
      <c r="I30" t="s">
        <v>203</v>
      </c>
      <c r="J30" t="s">
        <v>39</v>
      </c>
      <c r="K30" s="5">
        <v>174204</v>
      </c>
      <c r="L30" s="5" t="s">
        <v>55</v>
      </c>
      <c r="M30" t="s">
        <v>40</v>
      </c>
      <c r="N30" t="s">
        <v>204</v>
      </c>
      <c r="O30" t="s">
        <v>86</v>
      </c>
      <c r="P30" t="s">
        <v>58</v>
      </c>
      <c r="Q30" t="s">
        <v>36</v>
      </c>
      <c r="R30" t="s">
        <v>236</v>
      </c>
      <c r="S30" t="s">
        <v>514</v>
      </c>
      <c r="T30" s="2">
        <v>46191</v>
      </c>
      <c r="U30" s="2">
        <v>46192</v>
      </c>
      <c r="V30" t="s">
        <v>642</v>
      </c>
      <c r="W3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0" s="9">
        <f>+DATE(YEAR(Control[[#This Row],[Fecha Requisición]]),MONTH(Control[[#This Row],[Fecha Requisición]]),1)</f>
        <v>46174</v>
      </c>
      <c r="Y30" s="14">
        <f>+IF(Control[[#This Row],[Fecha de entrega]]="","",NETWORKDAYS(Control[[#This Row],[Fecha Requisición]],Control[[#This Row],[Fecha de entrega]]))</f>
        <v>14</v>
      </c>
      <c r="AA30" s="13">
        <f>+_xlfn.ISOWEEKNUM(Control[[#This Row],[Fecha Requisición]])</f>
        <v>23</v>
      </c>
    </row>
    <row r="31" spans="1:27">
      <c r="A31" t="s">
        <v>237</v>
      </c>
      <c r="B31" t="s">
        <v>238</v>
      </c>
      <c r="C31" t="s">
        <v>239</v>
      </c>
      <c r="D31" t="s">
        <v>240</v>
      </c>
      <c r="E31">
        <v>20</v>
      </c>
      <c r="F31" t="s">
        <v>241</v>
      </c>
      <c r="G31" t="s">
        <v>242</v>
      </c>
      <c r="H31" t="s">
        <v>242</v>
      </c>
      <c r="I31" t="s">
        <v>242</v>
      </c>
      <c r="J31" t="s">
        <v>30</v>
      </c>
      <c r="K31" s="5">
        <v>1281701</v>
      </c>
      <c r="L31" s="5" t="s">
        <v>31</v>
      </c>
      <c r="M31" t="s">
        <v>243</v>
      </c>
      <c r="N31" t="s">
        <v>196</v>
      </c>
      <c r="O31" t="s">
        <v>197</v>
      </c>
      <c r="P31" t="s">
        <v>75</v>
      </c>
      <c r="Q31" t="s">
        <v>36</v>
      </c>
      <c r="R31" t="s">
        <v>244</v>
      </c>
      <c r="S31" t="s">
        <v>514</v>
      </c>
      <c r="U31" s="2">
        <v>46188</v>
      </c>
      <c r="V31" t="s">
        <v>642</v>
      </c>
      <c r="W3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1" s="9">
        <f>+DATE(YEAR(Control[[#This Row],[Fecha Requisición]]),MONTH(Control[[#This Row],[Fecha Requisición]]),1)</f>
        <v>46174</v>
      </c>
      <c r="Y31" s="11">
        <f>+IF(Control[[#This Row],[Fecha de entrega]]="","",NETWORKDAYS(Control[[#This Row],[Fecha Requisición]],Control[[#This Row],[Fecha de entrega]]))</f>
        <v>8</v>
      </c>
      <c r="AA31">
        <f>+_xlfn.ISOWEEKNUM(Control[[#This Row],[Fecha Requisición]])</f>
        <v>23</v>
      </c>
    </row>
    <row r="32" spans="1:27">
      <c r="A32" t="s">
        <v>237</v>
      </c>
      <c r="B32" t="s">
        <v>238</v>
      </c>
      <c r="C32" t="s">
        <v>239</v>
      </c>
      <c r="D32" t="s">
        <v>245</v>
      </c>
      <c r="E32">
        <v>20</v>
      </c>
      <c r="F32" t="s">
        <v>241</v>
      </c>
      <c r="G32" t="s">
        <v>242</v>
      </c>
      <c r="H32" t="s">
        <v>242</v>
      </c>
      <c r="I32" t="s">
        <v>242</v>
      </c>
      <c r="J32" t="s">
        <v>30</v>
      </c>
      <c r="K32" s="5">
        <v>164277</v>
      </c>
      <c r="L32" s="5" t="s">
        <v>31</v>
      </c>
      <c r="M32" t="s">
        <v>246</v>
      </c>
      <c r="N32" t="s">
        <v>196</v>
      </c>
      <c r="O32" t="s">
        <v>197</v>
      </c>
      <c r="P32" t="s">
        <v>75</v>
      </c>
      <c r="Q32" t="s">
        <v>36</v>
      </c>
      <c r="R32" t="s">
        <v>247</v>
      </c>
      <c r="S32" t="s">
        <v>514</v>
      </c>
      <c r="U32" s="2">
        <v>46188</v>
      </c>
      <c r="V32" t="s">
        <v>642</v>
      </c>
      <c r="W3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2" s="9">
        <f>+DATE(YEAR(Control[[#This Row],[Fecha Requisición]]),MONTH(Control[[#This Row],[Fecha Requisición]]),1)</f>
        <v>46174</v>
      </c>
      <c r="Y32" s="11">
        <f>+IF(Control[[#This Row],[Fecha de entrega]]="","",NETWORKDAYS(Control[[#This Row],[Fecha Requisición]],Control[[#This Row],[Fecha de entrega]]))</f>
        <v>8</v>
      </c>
      <c r="AA32">
        <f>+_xlfn.ISOWEEKNUM(Control[[#This Row],[Fecha Requisición]])</f>
        <v>23</v>
      </c>
    </row>
    <row r="33" spans="1:27">
      <c r="A33" t="s">
        <v>237</v>
      </c>
      <c r="B33" t="s">
        <v>238</v>
      </c>
      <c r="C33" t="s">
        <v>239</v>
      </c>
      <c r="D33" t="s">
        <v>248</v>
      </c>
      <c r="E33">
        <v>20</v>
      </c>
      <c r="F33" t="s">
        <v>241</v>
      </c>
      <c r="G33" t="s">
        <v>242</v>
      </c>
      <c r="H33" t="s">
        <v>242</v>
      </c>
      <c r="I33" t="s">
        <v>242</v>
      </c>
      <c r="J33" t="s">
        <v>39</v>
      </c>
      <c r="K33" s="5">
        <v>475324</v>
      </c>
      <c r="L33" s="5" t="s">
        <v>31</v>
      </c>
      <c r="M33" t="s">
        <v>74</v>
      </c>
      <c r="N33" t="s">
        <v>196</v>
      </c>
      <c r="O33" t="s">
        <v>197</v>
      </c>
      <c r="P33" t="s">
        <v>75</v>
      </c>
      <c r="Q33" t="s">
        <v>36</v>
      </c>
      <c r="R33" t="s">
        <v>249</v>
      </c>
      <c r="S33" t="s">
        <v>514</v>
      </c>
      <c r="U33" s="2">
        <v>46188</v>
      </c>
      <c r="V33" t="s">
        <v>642</v>
      </c>
      <c r="W3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3" s="9">
        <f>+DATE(YEAR(Control[[#This Row],[Fecha Requisición]]),MONTH(Control[[#This Row],[Fecha Requisición]]),1)</f>
        <v>46174</v>
      </c>
      <c r="Y33" s="11">
        <f>+IF(Control[[#This Row],[Fecha de entrega]]="","",NETWORKDAYS(Control[[#This Row],[Fecha Requisición]],Control[[#This Row],[Fecha de entrega]]))</f>
        <v>8</v>
      </c>
      <c r="AA33">
        <f>+_xlfn.ISOWEEKNUM(Control[[#This Row],[Fecha Requisición]])</f>
        <v>23</v>
      </c>
    </row>
    <row r="34" spans="1:27">
      <c r="A34" t="s">
        <v>250</v>
      </c>
      <c r="B34" t="s">
        <v>251</v>
      </c>
      <c r="C34" t="s">
        <v>252</v>
      </c>
      <c r="D34" t="s">
        <v>253</v>
      </c>
      <c r="E34">
        <v>22</v>
      </c>
      <c r="F34" t="s">
        <v>254</v>
      </c>
      <c r="G34" t="s">
        <v>255</v>
      </c>
      <c r="H34" t="s">
        <v>255</v>
      </c>
      <c r="I34" t="s">
        <v>255</v>
      </c>
      <c r="J34" t="s">
        <v>39</v>
      </c>
      <c r="K34" s="5">
        <v>305487</v>
      </c>
      <c r="L34" s="5" t="s">
        <v>31</v>
      </c>
      <c r="M34" t="s">
        <v>74</v>
      </c>
      <c r="N34" t="s">
        <v>256</v>
      </c>
      <c r="O34" t="s">
        <v>34</v>
      </c>
      <c r="P34" t="s">
        <v>75</v>
      </c>
      <c r="Q34" t="s">
        <v>36</v>
      </c>
      <c r="R34" t="s">
        <v>257</v>
      </c>
      <c r="S34" t="s">
        <v>514</v>
      </c>
      <c r="U34" s="2">
        <v>46190</v>
      </c>
      <c r="V34" t="s">
        <v>719</v>
      </c>
      <c r="W3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4" s="9">
        <f>+DATE(YEAR(Control[[#This Row],[Fecha Requisición]]),MONTH(Control[[#This Row],[Fecha Requisición]]),1)</f>
        <v>46174</v>
      </c>
      <c r="Y34" s="11">
        <f>+IF(Control[[#This Row],[Fecha de entrega]]="","",NETWORKDAYS(Control[[#This Row],[Fecha Requisición]],Control[[#This Row],[Fecha de entrega]]))</f>
        <v>8</v>
      </c>
      <c r="AA34">
        <f>+_xlfn.ISOWEEKNUM(Control[[#This Row],[Fecha Requisición]])</f>
        <v>24</v>
      </c>
    </row>
    <row r="35" spans="1:27">
      <c r="A35" t="s">
        <v>258</v>
      </c>
      <c r="B35" t="s">
        <v>259</v>
      </c>
      <c r="C35" t="s">
        <v>260</v>
      </c>
      <c r="D35" t="s">
        <v>261</v>
      </c>
      <c r="E35">
        <v>23</v>
      </c>
      <c r="F35" t="s">
        <v>262</v>
      </c>
      <c r="G35" t="s">
        <v>195</v>
      </c>
      <c r="H35" t="s">
        <v>195</v>
      </c>
      <c r="I35" t="s">
        <v>195</v>
      </c>
      <c r="J35" t="s">
        <v>39</v>
      </c>
      <c r="K35" s="5">
        <v>320443</v>
      </c>
      <c r="L35" s="5" t="s">
        <v>31</v>
      </c>
      <c r="M35" t="s">
        <v>40</v>
      </c>
      <c r="N35" t="s">
        <v>167</v>
      </c>
      <c r="O35" t="s">
        <v>86</v>
      </c>
      <c r="P35" t="s">
        <v>58</v>
      </c>
      <c r="Q35" t="s">
        <v>59</v>
      </c>
      <c r="R35" t="s">
        <v>263</v>
      </c>
      <c r="S35" t="s">
        <v>514</v>
      </c>
      <c r="T35" s="2">
        <v>46198</v>
      </c>
      <c r="U35" s="2">
        <v>46204</v>
      </c>
      <c r="V35" t="s">
        <v>642</v>
      </c>
      <c r="W3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5" s="9">
        <f>+DATE(YEAR(Control[[#This Row],[Fecha Requisición]]),MONTH(Control[[#This Row],[Fecha Requisición]]),1)</f>
        <v>46174</v>
      </c>
      <c r="Y35" s="14">
        <f>+IF(Control[[#This Row],[Fecha de entrega]]="","",NETWORKDAYS(Control[[#This Row],[Fecha Requisición]],Control[[#This Row],[Fecha de entrega]]))</f>
        <v>21</v>
      </c>
      <c r="AA35" s="13">
        <f>+_xlfn.ISOWEEKNUM(Control[[#This Row],[Fecha Requisición]])</f>
        <v>23</v>
      </c>
    </row>
    <row r="36" spans="1:27">
      <c r="A36" t="s">
        <v>258</v>
      </c>
      <c r="B36" t="s">
        <v>259</v>
      </c>
      <c r="C36" t="s">
        <v>260</v>
      </c>
      <c r="D36" t="s">
        <v>264</v>
      </c>
      <c r="E36">
        <v>23</v>
      </c>
      <c r="F36" t="s">
        <v>262</v>
      </c>
      <c r="G36" t="s">
        <v>195</v>
      </c>
      <c r="H36" t="s">
        <v>195</v>
      </c>
      <c r="I36" t="s">
        <v>195</v>
      </c>
      <c r="J36" t="s">
        <v>30</v>
      </c>
      <c r="K36" s="5">
        <v>929330</v>
      </c>
      <c r="L36" s="5" t="s">
        <v>31</v>
      </c>
      <c r="M36" t="s">
        <v>243</v>
      </c>
      <c r="N36" t="s">
        <v>167</v>
      </c>
      <c r="O36" t="s">
        <v>86</v>
      </c>
      <c r="P36" t="s">
        <v>58</v>
      </c>
      <c r="Q36" t="s">
        <v>59</v>
      </c>
      <c r="R36" t="s">
        <v>265</v>
      </c>
      <c r="S36" s="15" t="s">
        <v>514</v>
      </c>
      <c r="T36" s="2">
        <v>46198</v>
      </c>
      <c r="U36" s="2">
        <v>46204</v>
      </c>
      <c r="V36" s="15" t="s">
        <v>642</v>
      </c>
      <c r="W3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6" s="9">
        <f>+DATE(YEAR(Control[[#This Row],[Fecha Requisición]]),MONTH(Control[[#This Row],[Fecha Requisición]]),1)</f>
        <v>46174</v>
      </c>
      <c r="Y36" s="11">
        <f>+IF(Control[[#This Row],[Fecha de entrega]]="","",NETWORKDAYS(Control[[#This Row],[Fecha Requisición]],Control[[#This Row],[Fecha de entrega]]))</f>
        <v>21</v>
      </c>
      <c r="AA36">
        <f>+_xlfn.ISOWEEKNUM(Control[[#This Row],[Fecha Requisición]])</f>
        <v>23</v>
      </c>
    </row>
    <row r="37" spans="1:27">
      <c r="A37" t="s">
        <v>258</v>
      </c>
      <c r="B37" t="s">
        <v>259</v>
      </c>
      <c r="C37" t="s">
        <v>260</v>
      </c>
      <c r="D37" t="s">
        <v>522</v>
      </c>
      <c r="E37">
        <v>23</v>
      </c>
      <c r="F37" t="s">
        <v>262</v>
      </c>
      <c r="G37" t="s">
        <v>195</v>
      </c>
      <c r="H37" t="s">
        <v>195</v>
      </c>
      <c r="I37" t="s">
        <v>195</v>
      </c>
      <c r="J37" t="s">
        <v>30</v>
      </c>
      <c r="K37" s="5">
        <v>929330</v>
      </c>
      <c r="L37" s="5" t="s">
        <v>31</v>
      </c>
      <c r="M37" t="s">
        <v>243</v>
      </c>
      <c r="N37" t="s">
        <v>167</v>
      </c>
      <c r="O37" t="s">
        <v>86</v>
      </c>
      <c r="P37" t="s">
        <v>58</v>
      </c>
      <c r="Q37" t="s">
        <v>59</v>
      </c>
      <c r="R37" t="s">
        <v>523</v>
      </c>
      <c r="S37" t="s">
        <v>514</v>
      </c>
      <c r="T37" s="2">
        <v>46198</v>
      </c>
      <c r="U37" s="2">
        <v>46204</v>
      </c>
      <c r="V37" t="s">
        <v>642</v>
      </c>
      <c r="W3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7" s="9">
        <f>+DATE(YEAR(Control[[#This Row],[Fecha Requisición]]),MONTH(Control[[#This Row],[Fecha Requisición]]),1)</f>
        <v>46174</v>
      </c>
      <c r="Y37" s="11">
        <f>+IF(Control[[#This Row],[Fecha de entrega]]="","",NETWORKDAYS(Control[[#This Row],[Fecha Requisición]],Control[[#This Row],[Fecha de entrega]]))</f>
        <v>21</v>
      </c>
      <c r="AA37">
        <f>+_xlfn.ISOWEEKNUM(Control[[#This Row],[Fecha Requisición]])</f>
        <v>23</v>
      </c>
    </row>
    <row r="38" spans="1:27">
      <c r="A38" t="s">
        <v>258</v>
      </c>
      <c r="B38" t="s">
        <v>259</v>
      </c>
      <c r="C38" t="s">
        <v>260</v>
      </c>
      <c r="D38" t="s">
        <v>266</v>
      </c>
      <c r="E38">
        <v>23</v>
      </c>
      <c r="F38" t="s">
        <v>262</v>
      </c>
      <c r="G38" t="s">
        <v>195</v>
      </c>
      <c r="H38" t="s">
        <v>195</v>
      </c>
      <c r="I38" t="s">
        <v>195</v>
      </c>
      <c r="J38" t="s">
        <v>39</v>
      </c>
      <c r="K38" s="5">
        <v>320443</v>
      </c>
      <c r="L38" s="5" t="s">
        <v>31</v>
      </c>
      <c r="M38" t="s">
        <v>40</v>
      </c>
      <c r="N38" t="s">
        <v>167</v>
      </c>
      <c r="O38" t="s">
        <v>86</v>
      </c>
      <c r="P38" t="s">
        <v>58</v>
      </c>
      <c r="Q38" t="s">
        <v>59</v>
      </c>
      <c r="R38" t="s">
        <v>267</v>
      </c>
      <c r="S38" s="16" t="s">
        <v>514</v>
      </c>
      <c r="T38" s="2">
        <v>46198</v>
      </c>
      <c r="U38" s="2">
        <v>46204</v>
      </c>
      <c r="V38" s="16" t="s">
        <v>642</v>
      </c>
      <c r="W3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8" s="9">
        <f>+DATE(YEAR(Control[[#This Row],[Fecha Requisición]]),MONTH(Control[[#This Row],[Fecha Requisición]]),1)</f>
        <v>46174</v>
      </c>
      <c r="Y38" s="11">
        <f>+IF(Control[[#This Row],[Fecha de entrega]]="","",NETWORKDAYS(Control[[#This Row],[Fecha Requisición]],Control[[#This Row],[Fecha de entrega]]))</f>
        <v>21</v>
      </c>
      <c r="AA38">
        <f>+_xlfn.ISOWEEKNUM(Control[[#This Row],[Fecha Requisición]])</f>
        <v>23</v>
      </c>
    </row>
    <row r="39" spans="1:27">
      <c r="A39" t="s">
        <v>268</v>
      </c>
      <c r="B39" t="s">
        <v>269</v>
      </c>
      <c r="C39" t="s">
        <v>270</v>
      </c>
      <c r="D39" t="s">
        <v>271</v>
      </c>
      <c r="E39">
        <v>24</v>
      </c>
      <c r="F39" t="s">
        <v>272</v>
      </c>
      <c r="G39" t="s">
        <v>255</v>
      </c>
      <c r="H39" t="s">
        <v>255</v>
      </c>
      <c r="I39" t="s">
        <v>255</v>
      </c>
      <c r="J39" t="s">
        <v>30</v>
      </c>
      <c r="K39" s="5">
        <v>490839</v>
      </c>
      <c r="L39" s="5" t="s">
        <v>31</v>
      </c>
      <c r="M39" t="s">
        <v>32</v>
      </c>
      <c r="N39" t="s">
        <v>33</v>
      </c>
      <c r="O39" t="s">
        <v>34</v>
      </c>
      <c r="P39" t="s">
        <v>273</v>
      </c>
      <c r="Q39" t="s">
        <v>59</v>
      </c>
      <c r="R39" t="s">
        <v>274</v>
      </c>
      <c r="S39" t="s">
        <v>514</v>
      </c>
      <c r="U39" s="2">
        <v>46207</v>
      </c>
      <c r="V39" t="s">
        <v>642</v>
      </c>
      <c r="W3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9" s="9">
        <f>+DATE(YEAR(Control[[#This Row],[Fecha Requisición]]),MONTH(Control[[#This Row],[Fecha Requisición]]),1)</f>
        <v>46174</v>
      </c>
      <c r="Y39" s="11">
        <f>+IF(Control[[#This Row],[Fecha de entrega]]="","",NETWORKDAYS(Control[[#This Row],[Fecha Requisición]],Control[[#This Row],[Fecha de entrega]]))</f>
        <v>20</v>
      </c>
      <c r="AA39">
        <f>+_xlfn.ISOWEEKNUM(Control[[#This Row],[Fecha Requisición]])</f>
        <v>24</v>
      </c>
    </row>
    <row r="40" spans="1:27">
      <c r="A40" t="s">
        <v>268</v>
      </c>
      <c r="B40" t="s">
        <v>269</v>
      </c>
      <c r="C40" t="s">
        <v>270</v>
      </c>
      <c r="D40" t="s">
        <v>275</v>
      </c>
      <c r="E40">
        <v>24</v>
      </c>
      <c r="F40" t="s">
        <v>272</v>
      </c>
      <c r="G40" t="s">
        <v>255</v>
      </c>
      <c r="H40" t="s">
        <v>255</v>
      </c>
      <c r="I40" t="s">
        <v>255</v>
      </c>
      <c r="J40" t="s">
        <v>39</v>
      </c>
      <c r="K40" s="5">
        <v>15257</v>
      </c>
      <c r="L40" s="5" t="s">
        <v>31</v>
      </c>
      <c r="M40" t="s">
        <v>74</v>
      </c>
      <c r="N40" t="s">
        <v>33</v>
      </c>
      <c r="O40" t="s">
        <v>34</v>
      </c>
      <c r="P40" t="s">
        <v>273</v>
      </c>
      <c r="Q40" t="s">
        <v>59</v>
      </c>
      <c r="R40" t="s">
        <v>276</v>
      </c>
      <c r="S40" t="s">
        <v>514</v>
      </c>
      <c r="U40" s="2">
        <v>46207</v>
      </c>
      <c r="V40" t="s">
        <v>642</v>
      </c>
      <c r="W4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0" s="9">
        <f>+DATE(YEAR(Control[[#This Row],[Fecha Requisición]]),MONTH(Control[[#This Row],[Fecha Requisición]]),1)</f>
        <v>46174</v>
      </c>
      <c r="Y40" s="11">
        <f>+IF(Control[[#This Row],[Fecha de entrega]]="","",NETWORKDAYS(Control[[#This Row],[Fecha Requisición]],Control[[#This Row],[Fecha de entrega]]))</f>
        <v>20</v>
      </c>
      <c r="AA40">
        <f>+_xlfn.ISOWEEKNUM(Control[[#This Row],[Fecha Requisición]])</f>
        <v>24</v>
      </c>
    </row>
    <row r="41" spans="1:27">
      <c r="A41" t="s">
        <v>268</v>
      </c>
      <c r="B41" t="s">
        <v>269</v>
      </c>
      <c r="C41" t="s">
        <v>270</v>
      </c>
      <c r="D41" t="s">
        <v>277</v>
      </c>
      <c r="E41">
        <v>24</v>
      </c>
      <c r="F41" t="s">
        <v>272</v>
      </c>
      <c r="G41" t="s">
        <v>255</v>
      </c>
      <c r="H41" t="s">
        <v>255</v>
      </c>
      <c r="I41" t="s">
        <v>255</v>
      </c>
      <c r="J41" t="s">
        <v>39</v>
      </c>
      <c r="K41" s="5">
        <v>68900</v>
      </c>
      <c r="L41" s="5" t="s">
        <v>31</v>
      </c>
      <c r="M41" t="s">
        <v>278</v>
      </c>
      <c r="N41" t="s">
        <v>33</v>
      </c>
      <c r="O41" t="s">
        <v>34</v>
      </c>
      <c r="P41" t="s">
        <v>273</v>
      </c>
      <c r="Q41" t="s">
        <v>59</v>
      </c>
      <c r="R41" t="s">
        <v>279</v>
      </c>
      <c r="S41" t="s">
        <v>514</v>
      </c>
      <c r="U41" s="2">
        <v>46207</v>
      </c>
      <c r="V41" t="s">
        <v>642</v>
      </c>
      <c r="W4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1" s="9">
        <f>+DATE(YEAR(Control[[#This Row],[Fecha Requisición]]),MONTH(Control[[#This Row],[Fecha Requisición]]),1)</f>
        <v>46174</v>
      </c>
      <c r="Y41" s="11">
        <f>+IF(Control[[#This Row],[Fecha de entrega]]="","",NETWORKDAYS(Control[[#This Row],[Fecha Requisición]],Control[[#This Row],[Fecha de entrega]]))</f>
        <v>20</v>
      </c>
      <c r="AA41">
        <f>+_xlfn.ISOWEEKNUM(Control[[#This Row],[Fecha Requisición]])</f>
        <v>24</v>
      </c>
    </row>
    <row r="42" spans="1:27">
      <c r="A42" t="s">
        <v>280</v>
      </c>
      <c r="B42" t="s">
        <v>281</v>
      </c>
      <c r="C42" t="s">
        <v>282</v>
      </c>
      <c r="D42" t="s">
        <v>283</v>
      </c>
      <c r="E42">
        <v>25</v>
      </c>
      <c r="F42" t="s">
        <v>284</v>
      </c>
      <c r="G42" t="s">
        <v>285</v>
      </c>
      <c r="H42" t="s">
        <v>285</v>
      </c>
      <c r="I42" t="s">
        <v>285</v>
      </c>
      <c r="J42" t="s">
        <v>30</v>
      </c>
      <c r="K42" s="5">
        <v>232348</v>
      </c>
      <c r="L42" s="5" t="s">
        <v>31</v>
      </c>
      <c r="M42" t="s">
        <v>32</v>
      </c>
      <c r="N42" t="s">
        <v>256</v>
      </c>
      <c r="O42" t="s">
        <v>34</v>
      </c>
      <c r="P42" t="s">
        <v>75</v>
      </c>
      <c r="Q42" t="s">
        <v>36</v>
      </c>
      <c r="R42" t="s">
        <v>286</v>
      </c>
      <c r="S42" t="s">
        <v>514</v>
      </c>
      <c r="U42" s="2">
        <v>46199</v>
      </c>
      <c r="V42" t="s">
        <v>642</v>
      </c>
      <c r="W4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2" s="9">
        <f>+DATE(YEAR(Control[[#This Row],[Fecha Requisición]]),MONTH(Control[[#This Row],[Fecha Requisición]]),1)</f>
        <v>46174</v>
      </c>
      <c r="Y42" s="11">
        <f>+IF(Control[[#This Row],[Fecha de entrega]]="","",NETWORKDAYS(Control[[#This Row],[Fecha Requisición]],Control[[#This Row],[Fecha de entrega]]))</f>
        <v>12</v>
      </c>
      <c r="AA42">
        <f>+_xlfn.ISOWEEKNUM(Control[[#This Row],[Fecha Requisición]])</f>
        <v>24</v>
      </c>
    </row>
    <row r="43" spans="1:27">
      <c r="A43" t="s">
        <v>228</v>
      </c>
      <c r="B43" t="s">
        <v>229</v>
      </c>
      <c r="C43" t="s">
        <v>732</v>
      </c>
      <c r="D43" t="s">
        <v>524</v>
      </c>
      <c r="E43">
        <v>30</v>
      </c>
      <c r="F43" t="s">
        <v>230</v>
      </c>
      <c r="G43" t="s">
        <v>212</v>
      </c>
      <c r="H43" t="s">
        <v>212</v>
      </c>
      <c r="I43" t="s">
        <v>212</v>
      </c>
      <c r="J43" t="s">
        <v>39</v>
      </c>
      <c r="K43" s="5">
        <v>89250</v>
      </c>
      <c r="L43" s="5" t="s">
        <v>55</v>
      </c>
      <c r="M43" t="s">
        <v>121</v>
      </c>
      <c r="N43" t="s">
        <v>204</v>
      </c>
      <c r="P43" t="s">
        <v>58</v>
      </c>
      <c r="Q43" t="s">
        <v>59</v>
      </c>
      <c r="R43" t="s">
        <v>525</v>
      </c>
      <c r="S43" t="s">
        <v>514</v>
      </c>
      <c r="U43" s="2">
        <v>46203</v>
      </c>
      <c r="V43" t="s">
        <v>642</v>
      </c>
      <c r="W4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3" s="9">
        <f>+DATE(YEAR(Control[[#This Row],[Fecha Requisición]]),MONTH(Control[[#This Row],[Fecha Requisición]]),1)</f>
        <v>46174</v>
      </c>
      <c r="Y43" s="11">
        <f>+IF(Control[[#This Row],[Fecha de entrega]]="","",NETWORKDAYS(Control[[#This Row],[Fecha Requisición]],Control[[#This Row],[Fecha de entrega]]))</f>
        <v>12</v>
      </c>
      <c r="AA43">
        <f>+_xlfn.ISOWEEKNUM(Control[[#This Row],[Fecha Requisición]])</f>
        <v>25</v>
      </c>
    </row>
    <row r="44" spans="1:27">
      <c r="A44" t="s">
        <v>228</v>
      </c>
      <c r="B44" t="s">
        <v>229</v>
      </c>
      <c r="C44" t="s">
        <v>732</v>
      </c>
      <c r="D44" t="s">
        <v>526</v>
      </c>
      <c r="E44">
        <v>30</v>
      </c>
      <c r="F44" t="s">
        <v>230</v>
      </c>
      <c r="G44" t="s">
        <v>212</v>
      </c>
      <c r="H44" t="s">
        <v>212</v>
      </c>
      <c r="I44" t="s">
        <v>212</v>
      </c>
      <c r="J44" t="s">
        <v>30</v>
      </c>
      <c r="K44" s="5">
        <v>65870</v>
      </c>
      <c r="L44" s="5" t="s">
        <v>55</v>
      </c>
      <c r="M44" t="s">
        <v>246</v>
      </c>
      <c r="N44" t="s">
        <v>204</v>
      </c>
      <c r="P44" t="s">
        <v>58</v>
      </c>
      <c r="Q44" t="s">
        <v>59</v>
      </c>
      <c r="R44" t="s">
        <v>527</v>
      </c>
      <c r="S44" t="s">
        <v>514</v>
      </c>
      <c r="U44" s="2">
        <v>46203</v>
      </c>
      <c r="V44" t="s">
        <v>642</v>
      </c>
      <c r="W4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4" s="9">
        <f>+DATE(YEAR(Control[[#This Row],[Fecha Requisición]]),MONTH(Control[[#This Row],[Fecha Requisición]]),1)</f>
        <v>46174</v>
      </c>
      <c r="Y44" s="11">
        <f>+IF(Control[[#This Row],[Fecha de entrega]]="","",NETWORKDAYS(Control[[#This Row],[Fecha Requisición]],Control[[#This Row],[Fecha de entrega]]))</f>
        <v>12</v>
      </c>
      <c r="AA44">
        <f>+_xlfn.ISOWEEKNUM(Control[[#This Row],[Fecha Requisición]])</f>
        <v>25</v>
      </c>
    </row>
    <row r="45" spans="1:27">
      <c r="A45" t="s">
        <v>287</v>
      </c>
      <c r="B45" t="s">
        <v>288</v>
      </c>
      <c r="C45" t="s">
        <v>733</v>
      </c>
      <c r="D45" t="s">
        <v>289</v>
      </c>
      <c r="E45">
        <v>31</v>
      </c>
      <c r="F45" t="s">
        <v>290</v>
      </c>
      <c r="G45" t="s">
        <v>291</v>
      </c>
      <c r="H45" t="s">
        <v>291</v>
      </c>
      <c r="I45" t="s">
        <v>291</v>
      </c>
      <c r="J45" t="s">
        <v>30</v>
      </c>
      <c r="K45" s="5">
        <v>336502</v>
      </c>
      <c r="L45" s="5" t="s">
        <v>55</v>
      </c>
      <c r="M45" t="s">
        <v>528</v>
      </c>
      <c r="N45" t="s">
        <v>204</v>
      </c>
      <c r="P45" t="s">
        <v>58</v>
      </c>
      <c r="Q45" t="s">
        <v>36</v>
      </c>
      <c r="R45" t="s">
        <v>292</v>
      </c>
      <c r="S45" t="s">
        <v>514</v>
      </c>
      <c r="U45" s="2">
        <v>46206</v>
      </c>
      <c r="V45" t="s">
        <v>642</v>
      </c>
      <c r="W4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5" s="9">
        <f>+DATE(YEAR(Control[[#This Row],[Fecha Requisición]]),MONTH(Control[[#This Row],[Fecha Requisición]]),1)</f>
        <v>46174</v>
      </c>
      <c r="Y45" s="14">
        <f>+IF(Control[[#This Row],[Fecha de entrega]]="","",NETWORKDAYS(Control[[#This Row],[Fecha Requisición]],Control[[#This Row],[Fecha de entrega]]))</f>
        <v>14</v>
      </c>
      <c r="AA45" s="13">
        <f>+_xlfn.ISOWEEKNUM(Control[[#This Row],[Fecha Requisición]])</f>
        <v>25</v>
      </c>
    </row>
    <row r="46" spans="1:27">
      <c r="A46" t="s">
        <v>293</v>
      </c>
      <c r="B46" t="s">
        <v>294</v>
      </c>
      <c r="C46" t="s">
        <v>295</v>
      </c>
      <c r="D46" t="s">
        <v>296</v>
      </c>
      <c r="E46">
        <v>32</v>
      </c>
      <c r="F46" t="s">
        <v>297</v>
      </c>
      <c r="G46" t="s">
        <v>298</v>
      </c>
      <c r="H46" t="s">
        <v>298</v>
      </c>
      <c r="I46" t="s">
        <v>298</v>
      </c>
      <c r="J46" t="s">
        <v>30</v>
      </c>
      <c r="K46" s="5">
        <v>48552</v>
      </c>
      <c r="L46" s="5" t="s">
        <v>55</v>
      </c>
      <c r="M46" t="s">
        <v>32</v>
      </c>
      <c r="N46" t="s">
        <v>299</v>
      </c>
      <c r="O46" t="s">
        <v>86</v>
      </c>
      <c r="P46" t="s">
        <v>58</v>
      </c>
      <c r="Q46" t="s">
        <v>59</v>
      </c>
      <c r="R46" t="s">
        <v>300</v>
      </c>
      <c r="S46" t="s">
        <v>514</v>
      </c>
      <c r="U46" s="2">
        <v>46191</v>
      </c>
      <c r="V46" t="s">
        <v>642</v>
      </c>
      <c r="W4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6" s="9">
        <f>+DATE(YEAR(Control[[#This Row],[Fecha Requisición]]),MONTH(Control[[#This Row],[Fecha Requisición]]),1)</f>
        <v>46174</v>
      </c>
      <c r="Y46" s="14">
        <f>+IF(Control[[#This Row],[Fecha de entrega]]="","",NETWORKDAYS(Control[[#This Row],[Fecha Requisición]],Control[[#This Row],[Fecha de entrega]]))</f>
        <v>1</v>
      </c>
      <c r="AA46" s="13">
        <f>+_xlfn.ISOWEEKNUM(Control[[#This Row],[Fecha Requisición]])</f>
        <v>25</v>
      </c>
    </row>
    <row r="47" spans="1:27">
      <c r="A47" t="s">
        <v>301</v>
      </c>
      <c r="B47" t="s">
        <v>302</v>
      </c>
      <c r="C47" t="s">
        <v>303</v>
      </c>
      <c r="D47" t="s">
        <v>304</v>
      </c>
      <c r="E47">
        <v>33</v>
      </c>
      <c r="F47" t="s">
        <v>305</v>
      </c>
      <c r="G47" t="s">
        <v>306</v>
      </c>
      <c r="H47" t="s">
        <v>306</v>
      </c>
      <c r="I47" t="s">
        <v>306</v>
      </c>
      <c r="J47" t="s">
        <v>30</v>
      </c>
      <c r="K47" s="5">
        <v>243450</v>
      </c>
      <c r="L47" s="5" t="s">
        <v>31</v>
      </c>
      <c r="M47" t="s">
        <v>166</v>
      </c>
      <c r="N47" t="s">
        <v>307</v>
      </c>
      <c r="O47" t="s">
        <v>34</v>
      </c>
      <c r="P47" t="s">
        <v>273</v>
      </c>
      <c r="Q47" t="s">
        <v>36</v>
      </c>
      <c r="R47" t="s">
        <v>308</v>
      </c>
      <c r="S47" t="s">
        <v>514</v>
      </c>
      <c r="U47" s="2">
        <v>46198</v>
      </c>
      <c r="V47" t="s">
        <v>642</v>
      </c>
      <c r="W4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7" s="9">
        <f>+DATE(YEAR(Control[[#This Row],[Fecha Requisición]]),MONTH(Control[[#This Row],[Fecha Requisición]]),1)</f>
        <v>46174</v>
      </c>
      <c r="Y47" s="14">
        <f>+IF(Control[[#This Row],[Fecha de entrega]]="","",NETWORKDAYS(Control[[#This Row],[Fecha Requisición]],Control[[#This Row],[Fecha de entrega]]))</f>
        <v>7</v>
      </c>
      <c r="AA47" s="13">
        <f>+_xlfn.ISOWEEKNUM(Control[[#This Row],[Fecha Requisición]])</f>
        <v>25</v>
      </c>
    </row>
    <row r="48" spans="1:27">
      <c r="A48" t="s">
        <v>309</v>
      </c>
      <c r="B48" t="s">
        <v>310</v>
      </c>
      <c r="C48" t="s">
        <v>311</v>
      </c>
      <c r="D48" t="s">
        <v>312</v>
      </c>
      <c r="E48">
        <v>34</v>
      </c>
      <c r="F48" t="s">
        <v>313</v>
      </c>
      <c r="G48" t="s">
        <v>314</v>
      </c>
      <c r="H48" t="s">
        <v>314</v>
      </c>
      <c r="I48" t="s">
        <v>314</v>
      </c>
      <c r="J48" t="s">
        <v>39</v>
      </c>
      <c r="K48" s="5">
        <v>335894</v>
      </c>
      <c r="L48" s="5" t="s">
        <v>31</v>
      </c>
      <c r="M48" t="s">
        <v>121</v>
      </c>
      <c r="N48" t="s">
        <v>219</v>
      </c>
      <c r="O48" t="s">
        <v>101</v>
      </c>
      <c r="P48" t="s">
        <v>124</v>
      </c>
      <c r="Q48" t="s">
        <v>36</v>
      </c>
      <c r="R48" t="s">
        <v>315</v>
      </c>
      <c r="S48" t="s">
        <v>514</v>
      </c>
      <c r="U48" s="2">
        <v>46209</v>
      </c>
      <c r="V48" t="s">
        <v>642</v>
      </c>
      <c r="W4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8" s="9">
        <f>+DATE(YEAR(Control[[#This Row],[Fecha Requisición]]),MONTH(Control[[#This Row],[Fecha Requisición]]),1)</f>
        <v>46174</v>
      </c>
      <c r="Y48" s="14">
        <f>+IF(Control[[#This Row],[Fecha de entrega]]="","",NETWORKDAYS(Control[[#This Row],[Fecha Requisición]],Control[[#This Row],[Fecha de entrega]]))</f>
        <v>12</v>
      </c>
      <c r="AA48" s="13">
        <f>+_xlfn.ISOWEEKNUM(Control[[#This Row],[Fecha Requisición]])</f>
        <v>25</v>
      </c>
    </row>
    <row r="49" spans="1:27">
      <c r="A49" t="s">
        <v>309</v>
      </c>
      <c r="B49" t="s">
        <v>310</v>
      </c>
      <c r="C49" t="s">
        <v>311</v>
      </c>
      <c r="D49" t="s">
        <v>316</v>
      </c>
      <c r="E49">
        <v>34</v>
      </c>
      <c r="F49" t="s">
        <v>313</v>
      </c>
      <c r="G49" t="s">
        <v>314</v>
      </c>
      <c r="H49" t="s">
        <v>314</v>
      </c>
      <c r="I49" t="s">
        <v>314</v>
      </c>
      <c r="J49" t="s">
        <v>30</v>
      </c>
      <c r="K49" s="5">
        <v>3287381</v>
      </c>
      <c r="L49" s="5" t="s">
        <v>31</v>
      </c>
      <c r="M49" t="s">
        <v>243</v>
      </c>
      <c r="N49" t="s">
        <v>219</v>
      </c>
      <c r="O49" t="s">
        <v>101</v>
      </c>
      <c r="P49" t="s">
        <v>124</v>
      </c>
      <c r="Q49" t="s">
        <v>36</v>
      </c>
      <c r="R49" t="s">
        <v>317</v>
      </c>
      <c r="S49" t="s">
        <v>514</v>
      </c>
      <c r="U49" s="2">
        <v>46209</v>
      </c>
      <c r="V49" t="s">
        <v>642</v>
      </c>
      <c r="W4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9" s="9">
        <f>+DATE(YEAR(Control[[#This Row],[Fecha Requisición]]),MONTH(Control[[#This Row],[Fecha Requisición]]),1)</f>
        <v>46174</v>
      </c>
      <c r="Y49" s="11">
        <f>+IF(Control[[#This Row],[Fecha de entrega]]="","",NETWORKDAYS(Control[[#This Row],[Fecha Requisición]],Control[[#This Row],[Fecha de entrega]]))</f>
        <v>12</v>
      </c>
      <c r="AA49">
        <f>+_xlfn.ISOWEEKNUM(Control[[#This Row],[Fecha Requisición]])</f>
        <v>25</v>
      </c>
    </row>
    <row r="50" spans="1:27">
      <c r="A50" t="s">
        <v>309</v>
      </c>
      <c r="B50" t="s">
        <v>310</v>
      </c>
      <c r="C50" t="s">
        <v>311</v>
      </c>
      <c r="D50" t="s">
        <v>318</v>
      </c>
      <c r="E50">
        <v>34</v>
      </c>
      <c r="F50" t="s">
        <v>313</v>
      </c>
      <c r="G50" t="s">
        <v>314</v>
      </c>
      <c r="H50" t="s">
        <v>314</v>
      </c>
      <c r="I50" t="s">
        <v>314</v>
      </c>
      <c r="J50" t="s">
        <v>39</v>
      </c>
      <c r="K50" s="5">
        <v>238455</v>
      </c>
      <c r="L50" s="5" t="s">
        <v>31</v>
      </c>
      <c r="M50" t="s">
        <v>148</v>
      </c>
      <c r="N50" t="s">
        <v>219</v>
      </c>
      <c r="O50" t="s">
        <v>101</v>
      </c>
      <c r="P50" t="s">
        <v>124</v>
      </c>
      <c r="Q50" t="s">
        <v>36</v>
      </c>
      <c r="R50" t="s">
        <v>319</v>
      </c>
      <c r="S50" t="s">
        <v>514</v>
      </c>
      <c r="U50" s="2">
        <v>46209</v>
      </c>
      <c r="V50" t="s">
        <v>642</v>
      </c>
      <c r="W5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0" s="9">
        <f>+DATE(YEAR(Control[[#This Row],[Fecha Requisición]]),MONTH(Control[[#This Row],[Fecha Requisición]]),1)</f>
        <v>46174</v>
      </c>
      <c r="Y50" s="11">
        <f>+IF(Control[[#This Row],[Fecha de entrega]]="","",NETWORKDAYS(Control[[#This Row],[Fecha Requisición]],Control[[#This Row],[Fecha de entrega]]))</f>
        <v>12</v>
      </c>
      <c r="AA50">
        <f>+_xlfn.ISOWEEKNUM(Control[[#This Row],[Fecha Requisición]])</f>
        <v>25</v>
      </c>
    </row>
    <row r="51" spans="1:27">
      <c r="A51" t="s">
        <v>309</v>
      </c>
      <c r="B51" t="s">
        <v>310</v>
      </c>
      <c r="C51" t="s">
        <v>311</v>
      </c>
      <c r="D51" t="s">
        <v>320</v>
      </c>
      <c r="E51">
        <v>34</v>
      </c>
      <c r="F51" t="s">
        <v>313</v>
      </c>
      <c r="G51" t="s">
        <v>314</v>
      </c>
      <c r="H51" t="s">
        <v>314</v>
      </c>
      <c r="I51" t="s">
        <v>314</v>
      </c>
      <c r="J51" t="s">
        <v>39</v>
      </c>
      <c r="K51" s="5">
        <v>127330</v>
      </c>
      <c r="L51" s="5" t="s">
        <v>31</v>
      </c>
      <c r="M51" t="s">
        <v>40</v>
      </c>
      <c r="N51" t="s">
        <v>219</v>
      </c>
      <c r="O51" t="s">
        <v>101</v>
      </c>
      <c r="P51" t="s">
        <v>124</v>
      </c>
      <c r="Q51" t="s">
        <v>36</v>
      </c>
      <c r="R51" t="s">
        <v>321</v>
      </c>
      <c r="S51" t="s">
        <v>514</v>
      </c>
      <c r="U51" s="2">
        <v>46209</v>
      </c>
      <c r="V51" t="s">
        <v>642</v>
      </c>
      <c r="W5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1" s="9">
        <f>+DATE(YEAR(Control[[#This Row],[Fecha Requisición]]),MONTH(Control[[#This Row],[Fecha Requisición]]),1)</f>
        <v>46174</v>
      </c>
      <c r="Y51" s="11">
        <f>+IF(Control[[#This Row],[Fecha de entrega]]="","",NETWORKDAYS(Control[[#This Row],[Fecha Requisición]],Control[[#This Row],[Fecha de entrega]]))</f>
        <v>12</v>
      </c>
      <c r="AA51">
        <f>+_xlfn.ISOWEEKNUM(Control[[#This Row],[Fecha Requisición]])</f>
        <v>25</v>
      </c>
    </row>
    <row r="52" spans="1:27">
      <c r="A52" t="s">
        <v>309</v>
      </c>
      <c r="B52" t="s">
        <v>310</v>
      </c>
      <c r="C52" t="s">
        <v>311</v>
      </c>
      <c r="D52" t="s">
        <v>322</v>
      </c>
      <c r="E52">
        <v>34</v>
      </c>
      <c r="F52" t="s">
        <v>313</v>
      </c>
      <c r="G52" t="s">
        <v>314</v>
      </c>
      <c r="H52" t="s">
        <v>314</v>
      </c>
      <c r="I52" t="s">
        <v>314</v>
      </c>
      <c r="J52" t="s">
        <v>39</v>
      </c>
      <c r="K52" s="5">
        <v>186807</v>
      </c>
      <c r="L52" s="5" t="s">
        <v>31</v>
      </c>
      <c r="M52" t="s">
        <v>278</v>
      </c>
      <c r="N52" t="s">
        <v>219</v>
      </c>
      <c r="O52" t="s">
        <v>101</v>
      </c>
      <c r="P52" t="s">
        <v>124</v>
      </c>
      <c r="Q52" t="s">
        <v>36</v>
      </c>
      <c r="R52" t="s">
        <v>323</v>
      </c>
      <c r="S52" s="15" t="s">
        <v>514</v>
      </c>
      <c r="U52" s="2">
        <v>46209</v>
      </c>
      <c r="V52" s="15" t="s">
        <v>642</v>
      </c>
      <c r="W5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2" s="9">
        <f>+DATE(YEAR(Control[[#This Row],[Fecha Requisición]]),MONTH(Control[[#This Row],[Fecha Requisición]]),1)</f>
        <v>46174</v>
      </c>
      <c r="Y52" s="11">
        <f>+IF(Control[[#This Row],[Fecha de entrega]]="","",NETWORKDAYS(Control[[#This Row],[Fecha Requisición]],Control[[#This Row],[Fecha de entrega]]))</f>
        <v>12</v>
      </c>
      <c r="AA52">
        <f>+_xlfn.ISOWEEKNUM(Control[[#This Row],[Fecha Requisición]])</f>
        <v>25</v>
      </c>
    </row>
    <row r="53" spans="1:27">
      <c r="A53" t="s">
        <v>324</v>
      </c>
      <c r="B53" t="s">
        <v>325</v>
      </c>
      <c r="C53" t="s">
        <v>731</v>
      </c>
      <c r="D53" t="s">
        <v>326</v>
      </c>
      <c r="E53">
        <v>35</v>
      </c>
      <c r="F53" t="s">
        <v>327</v>
      </c>
      <c r="G53" t="s">
        <v>328</v>
      </c>
      <c r="H53" t="s">
        <v>328</v>
      </c>
      <c r="I53" t="s">
        <v>328</v>
      </c>
      <c r="J53" t="s">
        <v>30</v>
      </c>
      <c r="K53" s="5">
        <v>102295</v>
      </c>
      <c r="L53" s="5" t="s">
        <v>55</v>
      </c>
      <c r="M53" t="s">
        <v>174</v>
      </c>
      <c r="N53" t="s">
        <v>93</v>
      </c>
      <c r="O53" t="s">
        <v>101</v>
      </c>
      <c r="P53" t="s">
        <v>58</v>
      </c>
      <c r="Q53" t="s">
        <v>94</v>
      </c>
      <c r="R53" t="s">
        <v>329</v>
      </c>
      <c r="S53" t="s">
        <v>514</v>
      </c>
      <c r="U53" s="2">
        <v>46211</v>
      </c>
      <c r="V53" t="s">
        <v>642</v>
      </c>
      <c r="W5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3" s="9">
        <f>+DATE(YEAR(Control[[#This Row],[Fecha Requisición]]),MONTH(Control[[#This Row],[Fecha Requisición]]),1)</f>
        <v>46174</v>
      </c>
      <c r="Y53" s="11">
        <f>+IF(Control[[#This Row],[Fecha de entrega]]="","",NETWORKDAYS(Control[[#This Row],[Fecha Requisición]],Control[[#This Row],[Fecha de entrega]]))</f>
        <v>13</v>
      </c>
      <c r="AA53">
        <f>+_xlfn.ISOWEEKNUM(Control[[#This Row],[Fecha Requisición]])</f>
        <v>26</v>
      </c>
    </row>
    <row r="54" spans="1:27">
      <c r="A54" t="s">
        <v>330</v>
      </c>
      <c r="B54" t="s">
        <v>331</v>
      </c>
      <c r="C54" t="s">
        <v>332</v>
      </c>
      <c r="D54" t="s">
        <v>529</v>
      </c>
      <c r="E54">
        <v>36</v>
      </c>
      <c r="F54" t="s">
        <v>333</v>
      </c>
      <c r="G54" t="s">
        <v>328</v>
      </c>
      <c r="H54" t="s">
        <v>328</v>
      </c>
      <c r="I54" t="s">
        <v>328</v>
      </c>
      <c r="J54" t="s">
        <v>30</v>
      </c>
      <c r="K54" s="5">
        <v>98442</v>
      </c>
      <c r="L54" s="5" t="s">
        <v>55</v>
      </c>
      <c r="M54" t="s">
        <v>174</v>
      </c>
      <c r="N54" t="s">
        <v>93</v>
      </c>
      <c r="O54" t="s">
        <v>57</v>
      </c>
      <c r="P54" t="s">
        <v>58</v>
      </c>
      <c r="Q54" t="s">
        <v>94</v>
      </c>
      <c r="R54" t="s">
        <v>530</v>
      </c>
      <c r="S54" t="s">
        <v>514</v>
      </c>
      <c r="U54" s="2">
        <v>46211</v>
      </c>
      <c r="V54" t="s">
        <v>642</v>
      </c>
      <c r="W5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4" s="9">
        <f>+DATE(YEAR(Control[[#This Row],[Fecha Requisición]]),MONTH(Control[[#This Row],[Fecha Requisición]]),1)</f>
        <v>46174</v>
      </c>
      <c r="Y54" s="11">
        <f>+IF(Control[[#This Row],[Fecha de entrega]]="","",NETWORKDAYS(Control[[#This Row],[Fecha Requisición]],Control[[#This Row],[Fecha de entrega]]))</f>
        <v>13</v>
      </c>
      <c r="AA54">
        <f>+_xlfn.ISOWEEKNUM(Control[[#This Row],[Fecha Requisición]])</f>
        <v>26</v>
      </c>
    </row>
    <row r="55" spans="1:27">
      <c r="A55" t="s">
        <v>334</v>
      </c>
      <c r="B55" t="s">
        <v>335</v>
      </c>
      <c r="C55" t="s">
        <v>336</v>
      </c>
      <c r="D55" t="s">
        <v>531</v>
      </c>
      <c r="E55">
        <v>37</v>
      </c>
      <c r="F55" t="s">
        <v>337</v>
      </c>
      <c r="G55" t="s">
        <v>338</v>
      </c>
      <c r="H55" t="s">
        <v>338</v>
      </c>
      <c r="I55" t="s">
        <v>338</v>
      </c>
      <c r="J55" t="s">
        <v>39</v>
      </c>
      <c r="K55" s="5">
        <v>35195</v>
      </c>
      <c r="L55" s="5" t="s">
        <v>55</v>
      </c>
      <c r="M55" t="s">
        <v>74</v>
      </c>
      <c r="N55" t="s">
        <v>93</v>
      </c>
      <c r="O55" t="s">
        <v>57</v>
      </c>
      <c r="P55" t="s">
        <v>58</v>
      </c>
      <c r="Q55" t="s">
        <v>94</v>
      </c>
      <c r="R55" t="s">
        <v>532</v>
      </c>
      <c r="S55" t="s">
        <v>514</v>
      </c>
      <c r="U55" s="2">
        <v>46209</v>
      </c>
      <c r="V55" t="s">
        <v>642</v>
      </c>
      <c r="W5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5" s="9">
        <f>+DATE(YEAR(Control[[#This Row],[Fecha Requisición]]),MONTH(Control[[#This Row],[Fecha Requisición]]),1)</f>
        <v>46174</v>
      </c>
      <c r="Y55" s="11">
        <f>+IF(Control[[#This Row],[Fecha de entrega]]="","",NETWORKDAYS(Control[[#This Row],[Fecha Requisición]],Control[[#This Row],[Fecha de entrega]]))</f>
        <v>5</v>
      </c>
      <c r="AA55">
        <f>+_xlfn.ISOWEEKNUM(Control[[#This Row],[Fecha Requisición]])</f>
        <v>27</v>
      </c>
    </row>
    <row r="56" spans="1:27">
      <c r="A56" t="s">
        <v>339</v>
      </c>
      <c r="B56" t="s">
        <v>340</v>
      </c>
      <c r="C56" t="s">
        <v>341</v>
      </c>
      <c r="D56" t="s">
        <v>533</v>
      </c>
      <c r="E56">
        <v>38</v>
      </c>
      <c r="F56" t="s">
        <v>342</v>
      </c>
      <c r="G56" t="s">
        <v>338</v>
      </c>
      <c r="H56" t="s">
        <v>338</v>
      </c>
      <c r="I56" t="s">
        <v>338</v>
      </c>
      <c r="J56" t="s">
        <v>39</v>
      </c>
      <c r="K56" s="5">
        <v>35195</v>
      </c>
      <c r="L56" s="5" t="s">
        <v>55</v>
      </c>
      <c r="M56" t="s">
        <v>74</v>
      </c>
      <c r="N56" t="s">
        <v>93</v>
      </c>
      <c r="O56" t="s">
        <v>101</v>
      </c>
      <c r="P56" t="s">
        <v>58</v>
      </c>
      <c r="Q56" t="s">
        <v>94</v>
      </c>
      <c r="R56" t="s">
        <v>534</v>
      </c>
      <c r="S56" t="s">
        <v>514</v>
      </c>
      <c r="U56" s="2">
        <v>46209</v>
      </c>
      <c r="V56" t="s">
        <v>642</v>
      </c>
      <c r="W5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6" s="9">
        <f>+DATE(YEAR(Control[[#This Row],[Fecha Requisición]]),MONTH(Control[[#This Row],[Fecha Requisición]]),1)</f>
        <v>46174</v>
      </c>
      <c r="Y56" s="11">
        <f>+IF(Control[[#This Row],[Fecha de entrega]]="","",NETWORKDAYS(Control[[#This Row],[Fecha Requisición]],Control[[#This Row],[Fecha de entrega]]))</f>
        <v>5</v>
      </c>
      <c r="AA56">
        <f>+_xlfn.ISOWEEKNUM(Control[[#This Row],[Fecha Requisición]])</f>
        <v>27</v>
      </c>
    </row>
    <row r="57" spans="1:27">
      <c r="A57" t="s">
        <v>343</v>
      </c>
      <c r="B57" t="s">
        <v>344</v>
      </c>
      <c r="C57" t="s">
        <v>345</v>
      </c>
      <c r="D57" t="s">
        <v>346</v>
      </c>
      <c r="E57">
        <v>39</v>
      </c>
      <c r="F57" t="s">
        <v>347</v>
      </c>
      <c r="G57" t="s">
        <v>348</v>
      </c>
      <c r="H57" t="s">
        <v>348</v>
      </c>
      <c r="I57" t="s">
        <v>348</v>
      </c>
      <c r="J57" t="s">
        <v>30</v>
      </c>
      <c r="K57" s="5">
        <v>398948</v>
      </c>
      <c r="L57" s="5" t="s">
        <v>31</v>
      </c>
      <c r="M57" t="s">
        <v>243</v>
      </c>
      <c r="N57" t="s">
        <v>219</v>
      </c>
      <c r="O57" t="s">
        <v>101</v>
      </c>
      <c r="P57" t="s">
        <v>124</v>
      </c>
      <c r="Q57" t="s">
        <v>36</v>
      </c>
      <c r="R57" t="s">
        <v>349</v>
      </c>
      <c r="S57" t="s">
        <v>514</v>
      </c>
      <c r="U57" s="2">
        <v>46211</v>
      </c>
      <c r="V57" t="s">
        <v>642</v>
      </c>
      <c r="W5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7" s="9">
        <f>+DATE(YEAR(Control[[#This Row],[Fecha Requisición]]),MONTH(Control[[#This Row],[Fecha Requisición]]),1)</f>
        <v>46174</v>
      </c>
      <c r="Y57" s="11">
        <f>+IF(Control[[#This Row],[Fecha de entrega]]="","",NETWORKDAYS(Control[[#This Row],[Fecha Requisición]],Control[[#This Row],[Fecha de entrega]]))</f>
        <v>9</v>
      </c>
      <c r="AA57">
        <f>+_xlfn.ISOWEEKNUM(Control[[#This Row],[Fecha Requisición]])</f>
        <v>26</v>
      </c>
    </row>
    <row r="58" spans="1:27">
      <c r="A58" t="s">
        <v>350</v>
      </c>
      <c r="B58" t="s">
        <v>351</v>
      </c>
      <c r="C58" t="s">
        <v>644</v>
      </c>
      <c r="D58" t="s">
        <v>535</v>
      </c>
      <c r="E58">
        <v>40</v>
      </c>
      <c r="F58" t="s">
        <v>352</v>
      </c>
      <c r="G58" t="s">
        <v>338</v>
      </c>
      <c r="H58" t="s">
        <v>338</v>
      </c>
      <c r="I58" t="s">
        <v>338</v>
      </c>
      <c r="J58" t="s">
        <v>30</v>
      </c>
      <c r="K58" s="5">
        <v>825384</v>
      </c>
      <c r="L58" s="5" t="s">
        <v>31</v>
      </c>
      <c r="M58" t="s">
        <v>166</v>
      </c>
      <c r="N58" t="s">
        <v>256</v>
      </c>
      <c r="O58" t="s">
        <v>34</v>
      </c>
      <c r="P58" t="s">
        <v>75</v>
      </c>
      <c r="Q58" t="s">
        <v>94</v>
      </c>
      <c r="R58" t="s">
        <v>536</v>
      </c>
      <c r="S58" s="16" t="s">
        <v>514</v>
      </c>
      <c r="U58" s="2">
        <v>46211</v>
      </c>
      <c r="V58" s="16" t="s">
        <v>642</v>
      </c>
      <c r="W5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8" s="9">
        <f>+DATE(YEAR(Control[[#This Row],[Fecha Requisición]]),MONTH(Control[[#This Row],[Fecha Requisición]]),1)</f>
        <v>46174</v>
      </c>
      <c r="Y58" s="11">
        <f>+IF(Control[[#This Row],[Fecha de entrega]]="","",NETWORKDAYS(Control[[#This Row],[Fecha Requisición]],Control[[#This Row],[Fecha de entrega]]))</f>
        <v>7</v>
      </c>
      <c r="AA58">
        <f>+_xlfn.ISOWEEKNUM(Control[[#This Row],[Fecha Requisición]])</f>
        <v>27</v>
      </c>
    </row>
    <row r="59" spans="1:27">
      <c r="A59" t="s">
        <v>359</v>
      </c>
      <c r="B59" t="s">
        <v>360</v>
      </c>
      <c r="C59" t="s">
        <v>645</v>
      </c>
      <c r="D59" t="s">
        <v>537</v>
      </c>
      <c r="E59">
        <v>41</v>
      </c>
      <c r="F59" t="s">
        <v>361</v>
      </c>
      <c r="G59" t="s">
        <v>338</v>
      </c>
      <c r="H59" t="s">
        <v>338</v>
      </c>
      <c r="I59" t="s">
        <v>338</v>
      </c>
      <c r="K59" s="5"/>
      <c r="L59" s="5" t="s">
        <v>31</v>
      </c>
      <c r="N59" t="s">
        <v>362</v>
      </c>
      <c r="O59" t="s">
        <v>123</v>
      </c>
      <c r="P59" t="s">
        <v>124</v>
      </c>
      <c r="Q59" t="s">
        <v>36</v>
      </c>
      <c r="R59" t="s">
        <v>538</v>
      </c>
      <c r="S59" t="s">
        <v>514</v>
      </c>
      <c r="U59" s="2">
        <v>46217</v>
      </c>
      <c r="V59" t="s">
        <v>642</v>
      </c>
      <c r="W5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9" s="9">
        <f>+DATE(YEAR(Control[[#This Row],[Fecha Requisición]]),MONTH(Control[[#This Row],[Fecha Requisición]]),1)</f>
        <v>46174</v>
      </c>
      <c r="Y59" s="11">
        <f>+IF(Control[[#This Row],[Fecha de entrega]]="","",NETWORKDAYS(Control[[#This Row],[Fecha Requisición]],Control[[#This Row],[Fecha de entrega]]))</f>
        <v>11</v>
      </c>
      <c r="AA59">
        <f>+_xlfn.ISOWEEKNUM(Control[[#This Row],[Fecha Requisición]])</f>
        <v>27</v>
      </c>
    </row>
    <row r="60" spans="1:27">
      <c r="A60" t="s">
        <v>359</v>
      </c>
      <c r="B60" t="s">
        <v>360</v>
      </c>
      <c r="C60" t="s">
        <v>645</v>
      </c>
      <c r="D60" t="s">
        <v>539</v>
      </c>
      <c r="E60">
        <v>41</v>
      </c>
      <c r="F60" t="s">
        <v>361</v>
      </c>
      <c r="G60" t="s">
        <v>338</v>
      </c>
      <c r="H60" t="s">
        <v>338</v>
      </c>
      <c r="I60" t="s">
        <v>338</v>
      </c>
      <c r="J60" t="s">
        <v>39</v>
      </c>
      <c r="K60" s="5">
        <v>522648</v>
      </c>
      <c r="L60" s="5" t="s">
        <v>31</v>
      </c>
      <c r="M60" t="s">
        <v>243</v>
      </c>
      <c r="N60" t="s">
        <v>362</v>
      </c>
      <c r="O60" t="s">
        <v>123</v>
      </c>
      <c r="P60" t="s">
        <v>124</v>
      </c>
      <c r="Q60" t="s">
        <v>36</v>
      </c>
      <c r="R60" t="s">
        <v>540</v>
      </c>
      <c r="S60" t="s">
        <v>514</v>
      </c>
      <c r="U60" s="2">
        <v>46217</v>
      </c>
      <c r="V60" t="s">
        <v>642</v>
      </c>
      <c r="W6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0" s="9">
        <f>+DATE(YEAR(Control[[#This Row],[Fecha Requisición]]),MONTH(Control[[#This Row],[Fecha Requisición]]),1)</f>
        <v>46174</v>
      </c>
      <c r="Y60" s="11">
        <f>+IF(Control[[#This Row],[Fecha de entrega]]="","",NETWORKDAYS(Control[[#This Row],[Fecha Requisición]],Control[[#This Row],[Fecha de entrega]]))</f>
        <v>11</v>
      </c>
      <c r="AA60">
        <f>+_xlfn.ISOWEEKNUM(Control[[#This Row],[Fecha Requisición]])</f>
        <v>27</v>
      </c>
    </row>
    <row r="61" spans="1:27">
      <c r="A61" t="s">
        <v>353</v>
      </c>
      <c r="B61" t="s">
        <v>354</v>
      </c>
      <c r="C61" t="s">
        <v>355</v>
      </c>
      <c r="D61" t="s">
        <v>678</v>
      </c>
      <c r="E61">
        <v>42</v>
      </c>
      <c r="F61" t="s">
        <v>356</v>
      </c>
      <c r="G61" t="s">
        <v>357</v>
      </c>
      <c r="H61" t="s">
        <v>357</v>
      </c>
      <c r="I61" t="s">
        <v>357</v>
      </c>
      <c r="J61" t="s">
        <v>30</v>
      </c>
      <c r="K61" s="5">
        <v>1056863</v>
      </c>
      <c r="L61" s="5" t="s">
        <v>55</v>
      </c>
      <c r="M61" t="s">
        <v>243</v>
      </c>
      <c r="N61" t="s">
        <v>358</v>
      </c>
      <c r="O61" t="s">
        <v>101</v>
      </c>
      <c r="P61" t="s">
        <v>58</v>
      </c>
      <c r="Q61" t="s">
        <v>36</v>
      </c>
      <c r="R61" t="s">
        <v>679</v>
      </c>
      <c r="S61" t="s">
        <v>514</v>
      </c>
      <c r="U61" s="2">
        <v>46240</v>
      </c>
      <c r="V61" t="s">
        <v>720</v>
      </c>
      <c r="W6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1" s="9">
        <f>+DATE(YEAR(Control[[#This Row],[Fecha Requisición]]),MONTH(Control[[#This Row],[Fecha Requisición]]),1)</f>
        <v>46204</v>
      </c>
      <c r="Y61" s="11">
        <f>+IF(Control[[#This Row],[Fecha de entrega]]="","",NETWORKDAYS(Control[[#This Row],[Fecha Requisición]],Control[[#This Row],[Fecha de entrega]]))</f>
        <v>27</v>
      </c>
      <c r="AA61">
        <f>+_xlfn.ISOWEEKNUM(Control[[#This Row],[Fecha Requisición]])</f>
        <v>27</v>
      </c>
    </row>
    <row r="62" spans="1:27">
      <c r="A62" t="s">
        <v>363</v>
      </c>
      <c r="B62" t="s">
        <v>364</v>
      </c>
      <c r="C62" t="s">
        <v>365</v>
      </c>
      <c r="D62" t="s">
        <v>541</v>
      </c>
      <c r="E62">
        <v>43</v>
      </c>
      <c r="F62" t="s">
        <v>366</v>
      </c>
      <c r="G62" t="s">
        <v>367</v>
      </c>
      <c r="H62" t="s">
        <v>367</v>
      </c>
      <c r="I62" t="s">
        <v>367</v>
      </c>
      <c r="J62" t="s">
        <v>30</v>
      </c>
      <c r="K62" s="5">
        <v>356393</v>
      </c>
      <c r="L62" s="5" t="s">
        <v>31</v>
      </c>
      <c r="M62" t="s">
        <v>166</v>
      </c>
      <c r="N62" t="s">
        <v>307</v>
      </c>
      <c r="O62" t="s">
        <v>34</v>
      </c>
      <c r="P62" t="s">
        <v>273</v>
      </c>
      <c r="Q62" t="s">
        <v>36</v>
      </c>
      <c r="R62" t="s">
        <v>542</v>
      </c>
      <c r="S62" t="s">
        <v>514</v>
      </c>
      <c r="T62" s="2">
        <v>46216</v>
      </c>
      <c r="U62" s="2">
        <v>46223</v>
      </c>
      <c r="V62" t="s">
        <v>642</v>
      </c>
      <c r="W6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2" s="9">
        <f>+DATE(YEAR(Control[[#This Row],[Fecha Requisición]]),MONTH(Control[[#This Row],[Fecha Requisición]]),1)</f>
        <v>46204</v>
      </c>
      <c r="Y62" s="11">
        <f>+IF(Control[[#This Row],[Fecha de entrega]]="","",NETWORKDAYS(Control[[#This Row],[Fecha Requisición]],Control[[#This Row],[Fecha de entrega]]))</f>
        <v>13</v>
      </c>
      <c r="AA62">
        <f>+_xlfn.ISOWEEKNUM(Control[[#This Row],[Fecha Requisición]])</f>
        <v>27</v>
      </c>
    </row>
    <row r="63" spans="1:27">
      <c r="A63" t="s">
        <v>363</v>
      </c>
      <c r="B63" t="s">
        <v>364</v>
      </c>
      <c r="C63" t="s">
        <v>365</v>
      </c>
      <c r="D63" t="s">
        <v>543</v>
      </c>
      <c r="E63">
        <v>43</v>
      </c>
      <c r="F63" t="s">
        <v>366</v>
      </c>
      <c r="G63" t="s">
        <v>367</v>
      </c>
      <c r="H63" t="s">
        <v>367</v>
      </c>
      <c r="I63" t="s">
        <v>367</v>
      </c>
      <c r="J63" t="s">
        <v>30</v>
      </c>
      <c r="K63" s="5"/>
      <c r="L63" s="5" t="s">
        <v>31</v>
      </c>
      <c r="M63" t="s">
        <v>243</v>
      </c>
      <c r="N63" t="s">
        <v>307</v>
      </c>
      <c r="O63" t="s">
        <v>34</v>
      </c>
      <c r="P63" t="s">
        <v>273</v>
      </c>
      <c r="Q63" t="s">
        <v>36</v>
      </c>
      <c r="R63" t="s">
        <v>544</v>
      </c>
      <c r="S63" t="s">
        <v>514</v>
      </c>
      <c r="T63" s="2">
        <v>46216</v>
      </c>
      <c r="U63" s="2">
        <v>46223</v>
      </c>
      <c r="V63" t="s">
        <v>642</v>
      </c>
      <c r="W6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3" s="9">
        <f>+DATE(YEAR(Control[[#This Row],[Fecha Requisición]]),MONTH(Control[[#This Row],[Fecha Requisición]]),1)</f>
        <v>46204</v>
      </c>
      <c r="Y63" s="11">
        <f>+IF(Control[[#This Row],[Fecha de entrega]]="","",NETWORKDAYS(Control[[#This Row],[Fecha Requisición]],Control[[#This Row],[Fecha de entrega]]))</f>
        <v>13</v>
      </c>
      <c r="AA63">
        <f>+_xlfn.ISOWEEKNUM(Control[[#This Row],[Fecha Requisición]])</f>
        <v>27</v>
      </c>
    </row>
    <row r="64" spans="1:27">
      <c r="A64" t="s">
        <v>363</v>
      </c>
      <c r="B64" t="s">
        <v>364</v>
      </c>
      <c r="C64" t="s">
        <v>365</v>
      </c>
      <c r="D64" t="s">
        <v>545</v>
      </c>
      <c r="E64">
        <v>43</v>
      </c>
      <c r="F64" t="s">
        <v>366</v>
      </c>
      <c r="G64" t="s">
        <v>367</v>
      </c>
      <c r="H64" t="s">
        <v>367</v>
      </c>
      <c r="I64" t="s">
        <v>367</v>
      </c>
      <c r="J64" t="s">
        <v>30</v>
      </c>
      <c r="K64" s="5"/>
      <c r="L64" s="5" t="s">
        <v>31</v>
      </c>
      <c r="M64" t="s">
        <v>148</v>
      </c>
      <c r="N64" t="s">
        <v>307</v>
      </c>
      <c r="O64" t="s">
        <v>34</v>
      </c>
      <c r="P64" t="s">
        <v>273</v>
      </c>
      <c r="Q64" t="s">
        <v>36</v>
      </c>
      <c r="R64" t="s">
        <v>546</v>
      </c>
      <c r="S64" s="15" t="s">
        <v>514</v>
      </c>
      <c r="T64" s="2">
        <v>46216</v>
      </c>
      <c r="U64" s="2">
        <v>46223</v>
      </c>
      <c r="V64" s="15" t="s">
        <v>642</v>
      </c>
      <c r="W6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4" s="9">
        <f>+DATE(YEAR(Control[[#This Row],[Fecha Requisición]]),MONTH(Control[[#This Row],[Fecha Requisición]]),1)</f>
        <v>46204</v>
      </c>
      <c r="Y64" s="11">
        <f>+IF(Control[[#This Row],[Fecha de entrega]]="","",NETWORKDAYS(Control[[#This Row],[Fecha Requisición]],Control[[#This Row],[Fecha de entrega]]))</f>
        <v>13</v>
      </c>
      <c r="AA64">
        <f>+_xlfn.ISOWEEKNUM(Control[[#This Row],[Fecha Requisición]])</f>
        <v>27</v>
      </c>
    </row>
    <row r="65" spans="1:27">
      <c r="A65" t="s">
        <v>363</v>
      </c>
      <c r="B65" t="s">
        <v>364</v>
      </c>
      <c r="C65" t="s">
        <v>365</v>
      </c>
      <c r="D65" t="s">
        <v>547</v>
      </c>
      <c r="E65">
        <v>43</v>
      </c>
      <c r="F65" t="s">
        <v>366</v>
      </c>
      <c r="G65" t="s">
        <v>367</v>
      </c>
      <c r="H65" t="s">
        <v>367</v>
      </c>
      <c r="I65" t="s">
        <v>367</v>
      </c>
      <c r="J65" t="s">
        <v>39</v>
      </c>
      <c r="K65" s="5"/>
      <c r="L65" s="5" t="s">
        <v>31</v>
      </c>
      <c r="M65" t="s">
        <v>74</v>
      </c>
      <c r="N65" t="s">
        <v>307</v>
      </c>
      <c r="O65" t="s">
        <v>34</v>
      </c>
      <c r="P65" t="s">
        <v>273</v>
      </c>
      <c r="Q65" t="s">
        <v>36</v>
      </c>
      <c r="R65" t="s">
        <v>548</v>
      </c>
      <c r="S65" s="15" t="s">
        <v>514</v>
      </c>
      <c r="T65" s="2">
        <v>46216</v>
      </c>
      <c r="U65" s="2">
        <v>46223</v>
      </c>
      <c r="V65" s="15" t="s">
        <v>642</v>
      </c>
      <c r="W6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5" s="9">
        <f>+DATE(YEAR(Control[[#This Row],[Fecha Requisición]]),MONTH(Control[[#This Row],[Fecha Requisición]]),1)</f>
        <v>46204</v>
      </c>
      <c r="Y65" s="11">
        <f>+IF(Control[[#This Row],[Fecha de entrega]]="","",NETWORKDAYS(Control[[#This Row],[Fecha Requisición]],Control[[#This Row],[Fecha de entrega]]))</f>
        <v>13</v>
      </c>
      <c r="AA65">
        <f>+_xlfn.ISOWEEKNUM(Control[[#This Row],[Fecha Requisición]])</f>
        <v>27</v>
      </c>
    </row>
    <row r="66" spans="1:27">
      <c r="A66" t="s">
        <v>368</v>
      </c>
      <c r="B66" t="s">
        <v>369</v>
      </c>
      <c r="C66" t="s">
        <v>671</v>
      </c>
      <c r="D66" t="s">
        <v>711</v>
      </c>
      <c r="E66">
        <v>44</v>
      </c>
      <c r="F66" t="s">
        <v>370</v>
      </c>
      <c r="G66" t="s">
        <v>367</v>
      </c>
      <c r="H66" t="s">
        <v>367</v>
      </c>
      <c r="I66" t="s">
        <v>367</v>
      </c>
      <c r="J66" t="s">
        <v>39</v>
      </c>
      <c r="K66" s="5">
        <v>154984</v>
      </c>
      <c r="L66" s="5" t="s">
        <v>31</v>
      </c>
      <c r="M66" t="s">
        <v>174</v>
      </c>
      <c r="N66" t="s">
        <v>371</v>
      </c>
      <c r="O66" t="s">
        <v>176</v>
      </c>
      <c r="P66" t="s">
        <v>124</v>
      </c>
      <c r="Q66" t="s">
        <v>36</v>
      </c>
      <c r="R66" t="s">
        <v>712</v>
      </c>
      <c r="S66" s="15" t="s">
        <v>514</v>
      </c>
      <c r="U66" s="2">
        <v>46218</v>
      </c>
      <c r="V66" s="15" t="s">
        <v>721</v>
      </c>
      <c r="W6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6" s="9">
        <f>+DATE(YEAR(Control[[#This Row],[Fecha Requisición]]),MONTH(Control[[#This Row],[Fecha Requisición]]),1)</f>
        <v>46204</v>
      </c>
      <c r="Y66" s="11">
        <f>+IF(Control[[#This Row],[Fecha de entrega]]="","",NETWORKDAYS(Control[[#This Row],[Fecha Requisición]],Control[[#This Row],[Fecha de entrega]]))</f>
        <v>10</v>
      </c>
      <c r="AA66">
        <f>+_xlfn.ISOWEEKNUM(Control[[#This Row],[Fecha Requisición]])</f>
        <v>27</v>
      </c>
    </row>
    <row r="67" spans="1:27">
      <c r="A67" t="s">
        <v>372</v>
      </c>
      <c r="B67" t="s">
        <v>373</v>
      </c>
      <c r="C67" t="s">
        <v>549</v>
      </c>
      <c r="D67" t="s">
        <v>550</v>
      </c>
      <c r="E67">
        <v>45</v>
      </c>
      <c r="F67" t="s">
        <v>374</v>
      </c>
      <c r="G67" t="s">
        <v>375</v>
      </c>
      <c r="H67" t="s">
        <v>375</v>
      </c>
      <c r="I67" t="s">
        <v>375</v>
      </c>
      <c r="J67" t="s">
        <v>30</v>
      </c>
      <c r="K67" s="5">
        <v>803095</v>
      </c>
      <c r="L67" s="5" t="s">
        <v>55</v>
      </c>
      <c r="M67" t="s">
        <v>32</v>
      </c>
      <c r="N67" t="s">
        <v>204</v>
      </c>
      <c r="P67" t="s">
        <v>58</v>
      </c>
      <c r="Q67" t="s">
        <v>59</v>
      </c>
      <c r="R67" t="s">
        <v>551</v>
      </c>
      <c r="S67" s="15" t="s">
        <v>514</v>
      </c>
      <c r="U67" s="2">
        <v>46211</v>
      </c>
      <c r="V67" s="15" t="s">
        <v>642</v>
      </c>
      <c r="W6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7" s="9">
        <f>+DATE(YEAR(Control[[#This Row],[Fecha Requisición]]),MONTH(Control[[#This Row],[Fecha Requisición]]),1)</f>
        <v>46204</v>
      </c>
      <c r="Y67" s="11">
        <f>+IF(Control[[#This Row],[Fecha de entrega]]="","",NETWORKDAYS(Control[[#This Row],[Fecha Requisición]],Control[[#This Row],[Fecha de entrega]]))</f>
        <v>3</v>
      </c>
      <c r="AA67">
        <f>+_xlfn.ISOWEEKNUM(Control[[#This Row],[Fecha Requisición]])</f>
        <v>27</v>
      </c>
    </row>
    <row r="68" spans="1:27">
      <c r="A68" t="s">
        <v>376</v>
      </c>
      <c r="B68" t="s">
        <v>377</v>
      </c>
      <c r="C68" t="s">
        <v>552</v>
      </c>
      <c r="D68" t="s">
        <v>553</v>
      </c>
      <c r="E68">
        <v>46</v>
      </c>
      <c r="F68" t="s">
        <v>378</v>
      </c>
      <c r="G68" t="s">
        <v>375</v>
      </c>
      <c r="H68" t="s">
        <v>375</v>
      </c>
      <c r="I68" t="s">
        <v>375</v>
      </c>
      <c r="J68" t="s">
        <v>30</v>
      </c>
      <c r="K68" s="5">
        <v>734087</v>
      </c>
      <c r="L68" s="5" t="s">
        <v>55</v>
      </c>
      <c r="M68" t="s">
        <v>32</v>
      </c>
      <c r="N68" t="s">
        <v>204</v>
      </c>
      <c r="P68" t="s">
        <v>58</v>
      </c>
      <c r="Q68" t="s">
        <v>59</v>
      </c>
      <c r="R68" t="s">
        <v>554</v>
      </c>
      <c r="S68" s="15" t="s">
        <v>517</v>
      </c>
      <c r="U68" s="2">
        <v>46211</v>
      </c>
      <c r="V68" s="15" t="s">
        <v>722</v>
      </c>
      <c r="W6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8" s="9">
        <f>+DATE(YEAR(Control[[#This Row],[Fecha Requisición]]),MONTH(Control[[#This Row],[Fecha Requisición]]),1)</f>
        <v>46204</v>
      </c>
      <c r="Y68" s="11">
        <f>+IF(Control[[#This Row],[Fecha de entrega]]="","",NETWORKDAYS(Control[[#This Row],[Fecha Requisición]],Control[[#This Row],[Fecha de entrega]]))</f>
        <v>3</v>
      </c>
      <c r="AA68">
        <f>+_xlfn.ISOWEEKNUM(Control[[#This Row],[Fecha Requisición]])</f>
        <v>27</v>
      </c>
    </row>
    <row r="69" spans="1:27">
      <c r="A69" t="s">
        <v>389</v>
      </c>
      <c r="B69" t="s">
        <v>390</v>
      </c>
      <c r="C69" t="s">
        <v>555</v>
      </c>
      <c r="D69" t="s">
        <v>556</v>
      </c>
      <c r="E69">
        <v>49</v>
      </c>
      <c r="F69" t="s">
        <v>391</v>
      </c>
      <c r="G69" t="s">
        <v>382</v>
      </c>
      <c r="H69" t="s">
        <v>382</v>
      </c>
      <c r="I69" t="s">
        <v>382</v>
      </c>
      <c r="J69" t="s">
        <v>30</v>
      </c>
      <c r="K69" s="5">
        <v>44804</v>
      </c>
      <c r="L69" s="5" t="s">
        <v>31</v>
      </c>
      <c r="M69" t="s">
        <v>243</v>
      </c>
      <c r="N69" t="s">
        <v>307</v>
      </c>
      <c r="O69" t="s">
        <v>101</v>
      </c>
      <c r="P69" t="s">
        <v>392</v>
      </c>
      <c r="Q69" t="s">
        <v>36</v>
      </c>
      <c r="R69" t="s">
        <v>557</v>
      </c>
      <c r="S69" s="15" t="s">
        <v>514</v>
      </c>
      <c r="U69" s="2">
        <v>46218</v>
      </c>
      <c r="V69" s="15" t="s">
        <v>642</v>
      </c>
      <c r="W6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9" s="9">
        <f>+DATE(YEAR(Control[[#This Row],[Fecha Requisición]]),MONTH(Control[[#This Row],[Fecha Requisición]]),1)</f>
        <v>46204</v>
      </c>
      <c r="Y69" s="11">
        <f>+IF(Control[[#This Row],[Fecha de entrega]]="","",NETWORKDAYS(Control[[#This Row],[Fecha Requisición]],Control[[#This Row],[Fecha de entrega]]))</f>
        <v>8</v>
      </c>
      <c r="AA69">
        <f>+_xlfn.ISOWEEKNUM(Control[[#This Row],[Fecha Requisición]])</f>
        <v>28</v>
      </c>
    </row>
    <row r="70" spans="1:27">
      <c r="A70" t="s">
        <v>393</v>
      </c>
      <c r="B70" t="s">
        <v>394</v>
      </c>
      <c r="C70" t="s">
        <v>558</v>
      </c>
      <c r="D70" t="s">
        <v>559</v>
      </c>
      <c r="E70">
        <v>50</v>
      </c>
      <c r="F70" t="s">
        <v>395</v>
      </c>
      <c r="G70" t="s">
        <v>396</v>
      </c>
      <c r="H70" t="s">
        <v>396</v>
      </c>
      <c r="I70" t="s">
        <v>396</v>
      </c>
      <c r="J70" t="s">
        <v>30</v>
      </c>
      <c r="K70" s="5">
        <v>85661</v>
      </c>
      <c r="L70" s="5" t="s">
        <v>55</v>
      </c>
      <c r="M70" t="s">
        <v>74</v>
      </c>
      <c r="N70" t="s">
        <v>383</v>
      </c>
      <c r="O70" t="s">
        <v>384</v>
      </c>
      <c r="P70" t="s">
        <v>58</v>
      </c>
      <c r="Q70" t="s">
        <v>36</v>
      </c>
      <c r="R70" t="s">
        <v>560</v>
      </c>
      <c r="S70" s="12" t="s">
        <v>514</v>
      </c>
      <c r="T70" s="2">
        <v>46213</v>
      </c>
      <c r="U70" s="2">
        <v>46217</v>
      </c>
      <c r="V70" s="12" t="s">
        <v>642</v>
      </c>
      <c r="W7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0" s="9">
        <f>+DATE(YEAR(Control[[#This Row],[Fecha Requisición]]),MONTH(Control[[#This Row],[Fecha Requisición]]),1)</f>
        <v>46204</v>
      </c>
      <c r="Y70" s="11">
        <f>+IF(Control[[#This Row],[Fecha de entrega]]="","",NETWORKDAYS(Control[[#This Row],[Fecha Requisición]],Control[[#This Row],[Fecha de entrega]]))</f>
        <v>6</v>
      </c>
      <c r="AA70">
        <f>+_xlfn.ISOWEEKNUM(Control[[#This Row],[Fecha Requisición]])</f>
        <v>28</v>
      </c>
    </row>
    <row r="71" spans="1:27">
      <c r="A71" t="s">
        <v>397</v>
      </c>
      <c r="B71" t="s">
        <v>398</v>
      </c>
      <c r="C71" t="s">
        <v>561</v>
      </c>
      <c r="D71" t="s">
        <v>562</v>
      </c>
      <c r="E71">
        <v>51</v>
      </c>
      <c r="F71" t="s">
        <v>399</v>
      </c>
      <c r="G71" t="s">
        <v>382</v>
      </c>
      <c r="H71" t="s">
        <v>382</v>
      </c>
      <c r="I71" t="s">
        <v>382</v>
      </c>
      <c r="J71" t="s">
        <v>30</v>
      </c>
      <c r="K71" s="5">
        <v>283291</v>
      </c>
      <c r="L71" s="5" t="s">
        <v>31</v>
      </c>
      <c r="M71" t="s">
        <v>166</v>
      </c>
      <c r="N71" t="s">
        <v>400</v>
      </c>
      <c r="O71" t="s">
        <v>86</v>
      </c>
      <c r="P71" t="s">
        <v>35</v>
      </c>
      <c r="Q71" t="s">
        <v>59</v>
      </c>
      <c r="R71" t="s">
        <v>563</v>
      </c>
      <c r="S71" s="12" t="s">
        <v>514</v>
      </c>
      <c r="U71" s="2">
        <v>46213</v>
      </c>
      <c r="V71" s="12" t="s">
        <v>642</v>
      </c>
      <c r="W7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1" s="9">
        <f>+DATE(YEAR(Control[[#This Row],[Fecha Requisición]]),MONTH(Control[[#This Row],[Fecha Requisición]]),1)</f>
        <v>46204</v>
      </c>
      <c r="Y71" s="11">
        <f>+IF(Control[[#This Row],[Fecha de entrega]]="","",NETWORKDAYS(Control[[#This Row],[Fecha Requisición]],Control[[#This Row],[Fecha de entrega]]))</f>
        <v>5</v>
      </c>
      <c r="AA71">
        <f>+_xlfn.ISOWEEKNUM(Control[[#This Row],[Fecha Requisición]])</f>
        <v>28</v>
      </c>
    </row>
    <row r="72" spans="1:27">
      <c r="A72" t="s">
        <v>401</v>
      </c>
      <c r="B72" t="s">
        <v>402</v>
      </c>
      <c r="C72" t="s">
        <v>564</v>
      </c>
      <c r="D72" t="s">
        <v>565</v>
      </c>
      <c r="E72">
        <v>52</v>
      </c>
      <c r="F72" t="s">
        <v>403</v>
      </c>
      <c r="G72" t="s">
        <v>396</v>
      </c>
      <c r="H72" t="s">
        <v>396</v>
      </c>
      <c r="I72" t="s">
        <v>396</v>
      </c>
      <c r="J72" t="s">
        <v>39</v>
      </c>
      <c r="K72" s="5">
        <v>46686</v>
      </c>
      <c r="L72" s="5"/>
      <c r="M72" t="s">
        <v>148</v>
      </c>
      <c r="R72" t="s">
        <v>566</v>
      </c>
      <c r="S72" s="12" t="s">
        <v>514</v>
      </c>
      <c r="U72" s="2">
        <v>46218</v>
      </c>
      <c r="V72" s="12" t="s">
        <v>642</v>
      </c>
      <c r="W7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2" s="9">
        <f>+DATE(YEAR(Control[[#This Row],[Fecha Requisición]]),MONTH(Control[[#This Row],[Fecha Requisición]]),1)</f>
        <v>46204</v>
      </c>
      <c r="Y72" s="11">
        <f>+IF(Control[[#This Row],[Fecha de entrega]]="","",NETWORKDAYS(Control[[#This Row],[Fecha Requisición]],Control[[#This Row],[Fecha de entrega]]))</f>
        <v>7</v>
      </c>
      <c r="AA72">
        <f>+_xlfn.ISOWEEKNUM(Control[[#This Row],[Fecha Requisición]])</f>
        <v>28</v>
      </c>
    </row>
    <row r="73" spans="1:27">
      <c r="A73" t="s">
        <v>401</v>
      </c>
      <c r="B73" t="s">
        <v>402</v>
      </c>
      <c r="C73" t="s">
        <v>564</v>
      </c>
      <c r="D73" t="s">
        <v>567</v>
      </c>
      <c r="E73">
        <v>52</v>
      </c>
      <c r="F73" t="s">
        <v>403</v>
      </c>
      <c r="G73" t="s">
        <v>396</v>
      </c>
      <c r="H73" t="s">
        <v>396</v>
      </c>
      <c r="I73" t="s">
        <v>396</v>
      </c>
      <c r="J73" t="s">
        <v>30</v>
      </c>
      <c r="K73" s="5">
        <v>108089</v>
      </c>
      <c r="L73" s="5"/>
      <c r="M73" t="s">
        <v>32</v>
      </c>
      <c r="R73" t="s">
        <v>568</v>
      </c>
      <c r="S73" s="16" t="s">
        <v>514</v>
      </c>
      <c r="U73" s="2">
        <v>46218</v>
      </c>
      <c r="V73" s="16" t="s">
        <v>642</v>
      </c>
      <c r="W7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3" s="9">
        <f>+DATE(YEAR(Control[[#This Row],[Fecha Requisición]]),MONTH(Control[[#This Row],[Fecha Requisición]]),1)</f>
        <v>46204</v>
      </c>
      <c r="Y73" s="11">
        <f>+IF(Control[[#This Row],[Fecha de entrega]]="","",NETWORKDAYS(Control[[#This Row],[Fecha Requisición]],Control[[#This Row],[Fecha de entrega]]))</f>
        <v>7</v>
      </c>
      <c r="AA73">
        <f>+_xlfn.ISOWEEKNUM(Control[[#This Row],[Fecha Requisición]])</f>
        <v>28</v>
      </c>
    </row>
    <row r="74" spans="1:27">
      <c r="A74" t="s">
        <v>404</v>
      </c>
      <c r="B74" t="s">
        <v>405</v>
      </c>
      <c r="C74" t="s">
        <v>569</v>
      </c>
      <c r="D74" t="s">
        <v>570</v>
      </c>
      <c r="E74">
        <v>53</v>
      </c>
      <c r="F74" t="s">
        <v>406</v>
      </c>
      <c r="G74" t="s">
        <v>407</v>
      </c>
      <c r="H74" t="s">
        <v>407</v>
      </c>
      <c r="I74" t="s">
        <v>407</v>
      </c>
      <c r="J74" t="s">
        <v>39</v>
      </c>
      <c r="K74" s="5">
        <v>99990</v>
      </c>
      <c r="L74" s="5" t="s">
        <v>31</v>
      </c>
      <c r="M74" t="s">
        <v>571</v>
      </c>
      <c r="N74" t="s">
        <v>196</v>
      </c>
      <c r="O74" t="s">
        <v>197</v>
      </c>
      <c r="P74" t="s">
        <v>75</v>
      </c>
      <c r="Q74" t="s">
        <v>36</v>
      </c>
      <c r="R74" t="s">
        <v>572</v>
      </c>
      <c r="S74" s="12" t="s">
        <v>514</v>
      </c>
      <c r="T74" s="2">
        <v>46213</v>
      </c>
      <c r="U74" s="2">
        <v>46218</v>
      </c>
      <c r="V74" s="12" t="s">
        <v>642</v>
      </c>
      <c r="W7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4" s="9">
        <f>+DATE(YEAR(Control[[#This Row],[Fecha Requisición]]),MONTH(Control[[#This Row],[Fecha Requisición]]),1)</f>
        <v>46204</v>
      </c>
      <c r="Y74" s="11">
        <f>+IF(Control[[#This Row],[Fecha de entrega]]="","",NETWORKDAYS(Control[[#This Row],[Fecha Requisición]],Control[[#This Row],[Fecha de entrega]]))</f>
        <v>6</v>
      </c>
      <c r="AA74">
        <f>+_xlfn.ISOWEEKNUM(Control[[#This Row],[Fecha Requisición]])</f>
        <v>28</v>
      </c>
    </row>
    <row r="75" spans="1:27">
      <c r="A75" t="s">
        <v>408</v>
      </c>
      <c r="B75" t="s">
        <v>409</v>
      </c>
      <c r="C75" t="s">
        <v>604</v>
      </c>
      <c r="D75" t="s">
        <v>646</v>
      </c>
      <c r="E75">
        <v>54</v>
      </c>
      <c r="F75" t="s">
        <v>410</v>
      </c>
      <c r="G75" t="s">
        <v>407</v>
      </c>
      <c r="H75" t="s">
        <v>407</v>
      </c>
      <c r="I75" t="s">
        <v>407</v>
      </c>
      <c r="J75" t="s">
        <v>30</v>
      </c>
      <c r="K75" s="5"/>
      <c r="L75" s="5" t="s">
        <v>31</v>
      </c>
      <c r="M75" t="s">
        <v>243</v>
      </c>
      <c r="N75" t="s">
        <v>307</v>
      </c>
      <c r="O75" t="s">
        <v>197</v>
      </c>
      <c r="P75" t="s">
        <v>124</v>
      </c>
      <c r="Q75" t="s">
        <v>36</v>
      </c>
      <c r="R75" t="s">
        <v>647</v>
      </c>
      <c r="S75" t="s">
        <v>514</v>
      </c>
      <c r="U75" s="2">
        <v>46224</v>
      </c>
      <c r="V75" t="s">
        <v>642</v>
      </c>
      <c r="W7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5" s="9">
        <f>+DATE(YEAR(Control[[#This Row],[Fecha Requisición]]),MONTH(Control[[#This Row],[Fecha Requisición]]),1)</f>
        <v>46204</v>
      </c>
      <c r="Y75" s="14">
        <f>+IF(Control[[#This Row],[Fecha de entrega]]="","",NETWORKDAYS(Control[[#This Row],[Fecha Requisición]],Control[[#This Row],[Fecha de entrega]]))</f>
        <v>10</v>
      </c>
      <c r="AA75" s="13">
        <f>+_xlfn.ISOWEEKNUM(Control[[#This Row],[Fecha Requisición]])</f>
        <v>28</v>
      </c>
    </row>
    <row r="76" spans="1:27">
      <c r="A76" t="s">
        <v>411</v>
      </c>
      <c r="B76" t="s">
        <v>412</v>
      </c>
      <c r="C76" t="s">
        <v>605</v>
      </c>
      <c r="D76" t="s">
        <v>734</v>
      </c>
      <c r="E76">
        <v>55</v>
      </c>
      <c r="F76" t="s">
        <v>413</v>
      </c>
      <c r="G76" t="s">
        <v>407</v>
      </c>
      <c r="H76" t="s">
        <v>407</v>
      </c>
      <c r="I76" t="s">
        <v>407</v>
      </c>
      <c r="J76" t="s">
        <v>39</v>
      </c>
      <c r="K76" s="5">
        <v>135184</v>
      </c>
      <c r="L76" s="5" t="s">
        <v>31</v>
      </c>
      <c r="M76" t="s">
        <v>121</v>
      </c>
      <c r="N76" t="s">
        <v>307</v>
      </c>
      <c r="O76" t="s">
        <v>57</v>
      </c>
      <c r="P76" t="s">
        <v>124</v>
      </c>
      <c r="Q76" t="s">
        <v>36</v>
      </c>
      <c r="R76" t="s">
        <v>735</v>
      </c>
      <c r="S76" t="s">
        <v>514</v>
      </c>
      <c r="T76" s="2">
        <v>46231</v>
      </c>
      <c r="U76" s="2">
        <v>46207</v>
      </c>
      <c r="V76" t="s">
        <v>724</v>
      </c>
      <c r="W7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6" s="9">
        <f>+DATE(YEAR(Control[[#This Row],[Fecha Requisición]]),MONTH(Control[[#This Row],[Fecha Requisición]]),1)</f>
        <v>46204</v>
      </c>
      <c r="Y76" s="14">
        <f>+IF(Control[[#This Row],[Fecha de entrega]]="","",NETWORKDAYS(Control[[#This Row],[Fecha Requisición]],Control[[#This Row],[Fecha de entrega]]))</f>
        <v>-3</v>
      </c>
      <c r="AA76" s="13">
        <f>+_xlfn.ISOWEEKNUM(Control[[#This Row],[Fecha Requisición]])</f>
        <v>28</v>
      </c>
    </row>
    <row r="77" spans="1:27">
      <c r="A77" t="s">
        <v>411</v>
      </c>
      <c r="B77" t="s">
        <v>412</v>
      </c>
      <c r="C77" t="s">
        <v>605</v>
      </c>
      <c r="D77" t="s">
        <v>736</v>
      </c>
      <c r="E77">
        <v>55</v>
      </c>
      <c r="F77" t="s">
        <v>413</v>
      </c>
      <c r="G77" t="s">
        <v>407</v>
      </c>
      <c r="H77" t="s">
        <v>407</v>
      </c>
      <c r="I77" t="s">
        <v>407</v>
      </c>
      <c r="J77" t="s">
        <v>39</v>
      </c>
      <c r="K77" s="5"/>
      <c r="L77" s="5" t="s">
        <v>31</v>
      </c>
      <c r="M77" t="s">
        <v>74</v>
      </c>
      <c r="N77" t="s">
        <v>307</v>
      </c>
      <c r="O77" t="s">
        <v>57</v>
      </c>
      <c r="P77" t="s">
        <v>124</v>
      </c>
      <c r="Q77" t="s">
        <v>36</v>
      </c>
      <c r="R77" t="s">
        <v>737</v>
      </c>
      <c r="S77" s="12" t="s">
        <v>514</v>
      </c>
      <c r="T77" s="2">
        <v>46231</v>
      </c>
      <c r="U77" s="2">
        <v>46207</v>
      </c>
      <c r="V77" s="12" t="s">
        <v>724</v>
      </c>
      <c r="W7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7" s="9">
        <f>+DATE(YEAR(Control[[#This Row],[Fecha Requisición]]),MONTH(Control[[#This Row],[Fecha Requisición]]),1)</f>
        <v>46204</v>
      </c>
      <c r="Y77" s="11">
        <f>+IF(Control[[#This Row],[Fecha de entrega]]="","",NETWORKDAYS(Control[[#This Row],[Fecha Requisición]],Control[[#This Row],[Fecha de entrega]]))</f>
        <v>-3</v>
      </c>
      <c r="AA77">
        <f>+_xlfn.ISOWEEKNUM(Control[[#This Row],[Fecha Requisición]])</f>
        <v>28</v>
      </c>
    </row>
    <row r="78" spans="1:27">
      <c r="A78" t="s">
        <v>414</v>
      </c>
      <c r="B78" t="s">
        <v>415</v>
      </c>
      <c r="C78" t="s">
        <v>573</v>
      </c>
      <c r="D78" t="s">
        <v>574</v>
      </c>
      <c r="E78">
        <v>56</v>
      </c>
      <c r="F78" t="s">
        <v>416</v>
      </c>
      <c r="G78" t="s">
        <v>417</v>
      </c>
      <c r="H78" t="s">
        <v>417</v>
      </c>
      <c r="I78" t="s">
        <v>417</v>
      </c>
      <c r="J78" t="s">
        <v>30</v>
      </c>
      <c r="K78" s="5">
        <v>170170</v>
      </c>
      <c r="L78" s="5" t="s">
        <v>55</v>
      </c>
      <c r="M78" t="s">
        <v>32</v>
      </c>
      <c r="N78" t="s">
        <v>204</v>
      </c>
      <c r="P78" t="s">
        <v>58</v>
      </c>
      <c r="Q78" t="s">
        <v>36</v>
      </c>
      <c r="R78" t="s">
        <v>575</v>
      </c>
      <c r="S78" s="12" t="s">
        <v>514</v>
      </c>
      <c r="U78" s="2">
        <v>46217</v>
      </c>
      <c r="V78" s="12" t="s">
        <v>642</v>
      </c>
      <c r="W7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8" s="9">
        <f>+DATE(YEAR(Control[[#This Row],[Fecha Requisición]]),MONTH(Control[[#This Row],[Fecha Requisición]]),1)</f>
        <v>46204</v>
      </c>
      <c r="Y78" s="11">
        <f>+IF(Control[[#This Row],[Fecha de entrega]]="","",NETWORKDAYS(Control[[#This Row],[Fecha Requisición]],Control[[#This Row],[Fecha de entrega]]))</f>
        <v>4</v>
      </c>
      <c r="AA78">
        <f>+_xlfn.ISOWEEKNUM(Control[[#This Row],[Fecha Requisición]])</f>
        <v>28</v>
      </c>
    </row>
    <row r="79" spans="1:27">
      <c r="A79" t="s">
        <v>418</v>
      </c>
      <c r="B79" t="s">
        <v>419</v>
      </c>
      <c r="C79" t="s">
        <v>606</v>
      </c>
      <c r="D79" t="s">
        <v>648</v>
      </c>
      <c r="E79">
        <v>57</v>
      </c>
      <c r="F79" t="s">
        <v>420</v>
      </c>
      <c r="G79" t="s">
        <v>407</v>
      </c>
      <c r="H79" t="s">
        <v>407</v>
      </c>
      <c r="I79" t="s">
        <v>407</v>
      </c>
      <c r="J79" t="s">
        <v>39</v>
      </c>
      <c r="K79" s="5"/>
      <c r="L79" s="5" t="s">
        <v>31</v>
      </c>
      <c r="M79" t="s">
        <v>243</v>
      </c>
      <c r="N79" t="s">
        <v>421</v>
      </c>
      <c r="O79" t="s">
        <v>101</v>
      </c>
      <c r="P79" t="s">
        <v>124</v>
      </c>
      <c r="Q79" t="s">
        <v>36</v>
      </c>
      <c r="R79" t="s">
        <v>649</v>
      </c>
      <c r="S79" s="12" t="s">
        <v>514</v>
      </c>
      <c r="T79" s="2">
        <v>46225</v>
      </c>
      <c r="U79" s="2">
        <v>46244</v>
      </c>
      <c r="V79" s="12" t="s">
        <v>725</v>
      </c>
      <c r="W7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9" s="9">
        <f>+DATE(YEAR(Control[[#This Row],[Fecha Requisición]]),MONTH(Control[[#This Row],[Fecha Requisición]]),1)</f>
        <v>46204</v>
      </c>
      <c r="Y79" s="11">
        <f>+IF(Control[[#This Row],[Fecha de entrega]]="","",NETWORKDAYS(Control[[#This Row],[Fecha Requisición]],Control[[#This Row],[Fecha de entrega]]))</f>
        <v>24</v>
      </c>
      <c r="AA79">
        <f>+_xlfn.ISOWEEKNUM(Control[[#This Row],[Fecha Requisición]])</f>
        <v>28</v>
      </c>
    </row>
    <row r="80" spans="1:27">
      <c r="A80" t="s">
        <v>418</v>
      </c>
      <c r="B80" t="s">
        <v>419</v>
      </c>
      <c r="C80" t="s">
        <v>606</v>
      </c>
      <c r="D80" t="s">
        <v>650</v>
      </c>
      <c r="E80">
        <v>57</v>
      </c>
      <c r="F80" t="s">
        <v>420</v>
      </c>
      <c r="G80" t="s">
        <v>407</v>
      </c>
      <c r="H80" t="s">
        <v>407</v>
      </c>
      <c r="I80" t="s">
        <v>407</v>
      </c>
      <c r="J80" t="s">
        <v>30</v>
      </c>
      <c r="K80" s="5"/>
      <c r="L80" s="5" t="s">
        <v>31</v>
      </c>
      <c r="M80" t="s">
        <v>243</v>
      </c>
      <c r="N80" t="s">
        <v>421</v>
      </c>
      <c r="O80" t="s">
        <v>101</v>
      </c>
      <c r="P80" t="s">
        <v>124</v>
      </c>
      <c r="Q80" t="s">
        <v>36</v>
      </c>
      <c r="R80" t="s">
        <v>651</v>
      </c>
      <c r="S80" s="12" t="s">
        <v>514</v>
      </c>
      <c r="T80" s="2">
        <v>46225</v>
      </c>
      <c r="U80" s="2">
        <v>46244</v>
      </c>
      <c r="V80" s="12" t="s">
        <v>725</v>
      </c>
      <c r="W8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0" s="9">
        <f>+DATE(YEAR(Control[[#This Row],[Fecha Requisición]]),MONTH(Control[[#This Row],[Fecha Requisición]]),1)</f>
        <v>46204</v>
      </c>
      <c r="Y80" s="11">
        <f>+IF(Control[[#This Row],[Fecha de entrega]]="","",NETWORKDAYS(Control[[#This Row],[Fecha Requisición]],Control[[#This Row],[Fecha de entrega]]))</f>
        <v>24</v>
      </c>
      <c r="AA80">
        <f>+_xlfn.ISOWEEKNUM(Control[[#This Row],[Fecha Requisición]])</f>
        <v>28</v>
      </c>
    </row>
    <row r="81" spans="1:27">
      <c r="A81" t="s">
        <v>418</v>
      </c>
      <c r="B81" t="s">
        <v>419</v>
      </c>
      <c r="C81" t="s">
        <v>606</v>
      </c>
      <c r="D81" t="s">
        <v>652</v>
      </c>
      <c r="E81">
        <v>57</v>
      </c>
      <c r="F81" t="s">
        <v>420</v>
      </c>
      <c r="G81" t="s">
        <v>407</v>
      </c>
      <c r="H81" t="s">
        <v>407</v>
      </c>
      <c r="I81" t="s">
        <v>407</v>
      </c>
      <c r="J81" t="s">
        <v>39</v>
      </c>
      <c r="K81" s="5"/>
      <c r="L81" s="5" t="s">
        <v>31</v>
      </c>
      <c r="M81" t="s">
        <v>658</v>
      </c>
      <c r="N81" t="s">
        <v>421</v>
      </c>
      <c r="O81" t="s">
        <v>101</v>
      </c>
      <c r="P81" t="s">
        <v>124</v>
      </c>
      <c r="Q81" t="s">
        <v>36</v>
      </c>
      <c r="R81" t="s">
        <v>653</v>
      </c>
      <c r="S81" t="s">
        <v>514</v>
      </c>
      <c r="T81" s="2">
        <v>46225</v>
      </c>
      <c r="U81" s="2">
        <v>46244</v>
      </c>
      <c r="V81" t="s">
        <v>725</v>
      </c>
      <c r="W8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1" s="9">
        <f>+DATE(YEAR(Control[[#This Row],[Fecha Requisición]]),MONTH(Control[[#This Row],[Fecha Requisición]]),1)</f>
        <v>46204</v>
      </c>
      <c r="Y81" s="11">
        <f>+IF(Control[[#This Row],[Fecha de entrega]]="","",NETWORKDAYS(Control[[#This Row],[Fecha Requisición]],Control[[#This Row],[Fecha de entrega]]))</f>
        <v>24</v>
      </c>
      <c r="AA81">
        <f>+_xlfn.ISOWEEKNUM(Control[[#This Row],[Fecha Requisición]])</f>
        <v>28</v>
      </c>
    </row>
    <row r="82" spans="1:27">
      <c r="A82" t="s">
        <v>418</v>
      </c>
      <c r="B82" t="s">
        <v>419</v>
      </c>
      <c r="C82" t="s">
        <v>606</v>
      </c>
      <c r="D82" t="s">
        <v>654</v>
      </c>
      <c r="E82">
        <v>57</v>
      </c>
      <c r="F82" t="s">
        <v>420</v>
      </c>
      <c r="G82" t="s">
        <v>407</v>
      </c>
      <c r="H82" t="s">
        <v>407</v>
      </c>
      <c r="I82" t="s">
        <v>407</v>
      </c>
      <c r="J82" t="s">
        <v>39</v>
      </c>
      <c r="K82" s="5"/>
      <c r="L82" s="5" t="s">
        <v>31</v>
      </c>
      <c r="M82" t="s">
        <v>655</v>
      </c>
      <c r="N82" t="s">
        <v>421</v>
      </c>
      <c r="O82" t="s">
        <v>101</v>
      </c>
      <c r="P82" t="s">
        <v>124</v>
      </c>
      <c r="Q82" t="s">
        <v>36</v>
      </c>
      <c r="R82" t="s">
        <v>656</v>
      </c>
      <c r="S82" t="s">
        <v>514</v>
      </c>
      <c r="T82" s="2">
        <v>46225</v>
      </c>
      <c r="U82" s="2">
        <v>46244</v>
      </c>
      <c r="V82" t="s">
        <v>725</v>
      </c>
      <c r="W8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2" s="9">
        <f>+DATE(YEAR(Control[[#This Row],[Fecha Requisición]]),MONTH(Control[[#This Row],[Fecha Requisición]]),1)</f>
        <v>46204</v>
      </c>
      <c r="Y82" s="11">
        <f>+IF(Control[[#This Row],[Fecha de entrega]]="","",NETWORKDAYS(Control[[#This Row],[Fecha Requisición]],Control[[#This Row],[Fecha de entrega]]))</f>
        <v>24</v>
      </c>
      <c r="AA82">
        <f>+_xlfn.ISOWEEKNUM(Control[[#This Row],[Fecha Requisición]])</f>
        <v>28</v>
      </c>
    </row>
    <row r="83" spans="1:27">
      <c r="A83" t="s">
        <v>422</v>
      </c>
      <c r="B83" t="s">
        <v>423</v>
      </c>
      <c r="C83" t="s">
        <v>576</v>
      </c>
      <c r="D83" t="s">
        <v>577</v>
      </c>
      <c r="E83">
        <v>58</v>
      </c>
      <c r="F83" t="s">
        <v>424</v>
      </c>
      <c r="G83" t="s">
        <v>417</v>
      </c>
      <c r="H83" t="s">
        <v>417</v>
      </c>
      <c r="I83" t="s">
        <v>417</v>
      </c>
      <c r="J83" t="s">
        <v>39</v>
      </c>
      <c r="K83" s="5">
        <v>146581</v>
      </c>
      <c r="L83" s="5" t="s">
        <v>31</v>
      </c>
      <c r="M83" t="s">
        <v>174</v>
      </c>
      <c r="N83" t="s">
        <v>371</v>
      </c>
      <c r="O83" t="s">
        <v>176</v>
      </c>
      <c r="P83" t="s">
        <v>124</v>
      </c>
      <c r="Q83" t="s">
        <v>36</v>
      </c>
      <c r="R83" t="s">
        <v>578</v>
      </c>
      <c r="S83" t="s">
        <v>514</v>
      </c>
      <c r="T83" s="2">
        <v>46213</v>
      </c>
      <c r="U83" s="2">
        <v>46226</v>
      </c>
      <c r="V83" t="s">
        <v>642</v>
      </c>
      <c r="W8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3" s="9">
        <f>+DATE(YEAR(Control[[#This Row],[Fecha Requisición]]),MONTH(Control[[#This Row],[Fecha Requisición]]),1)</f>
        <v>46204</v>
      </c>
      <c r="Y83" s="11">
        <f>+IF(Control[[#This Row],[Fecha de entrega]]="","",NETWORKDAYS(Control[[#This Row],[Fecha Requisición]],Control[[#This Row],[Fecha de entrega]]))</f>
        <v>11</v>
      </c>
      <c r="AA83">
        <f>+_xlfn.ISOWEEKNUM(Control[[#This Row],[Fecha Requisición]])</f>
        <v>28</v>
      </c>
    </row>
    <row r="84" spans="1:27">
      <c r="A84" t="s">
        <v>425</v>
      </c>
      <c r="B84" t="s">
        <v>426</v>
      </c>
      <c r="C84" t="s">
        <v>579</v>
      </c>
      <c r="D84" t="s">
        <v>580</v>
      </c>
      <c r="E84">
        <v>59</v>
      </c>
      <c r="F84" t="s">
        <v>427</v>
      </c>
      <c r="G84" t="s">
        <v>428</v>
      </c>
      <c r="H84" t="s">
        <v>428</v>
      </c>
      <c r="I84" t="s">
        <v>428</v>
      </c>
      <c r="J84" t="s">
        <v>39</v>
      </c>
      <c r="K84" s="5">
        <v>203395</v>
      </c>
      <c r="L84" s="5" t="s">
        <v>55</v>
      </c>
      <c r="M84" t="s">
        <v>581</v>
      </c>
      <c r="N84" t="s">
        <v>383</v>
      </c>
      <c r="O84" t="s">
        <v>384</v>
      </c>
      <c r="P84" t="s">
        <v>58</v>
      </c>
      <c r="Q84" t="s">
        <v>36</v>
      </c>
      <c r="R84" t="s">
        <v>582</v>
      </c>
      <c r="S84" t="s">
        <v>514</v>
      </c>
      <c r="T84" s="2">
        <v>46220</v>
      </c>
      <c r="U84" s="2">
        <v>46225</v>
      </c>
      <c r="V84" t="s">
        <v>642</v>
      </c>
      <c r="W8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4" s="9">
        <f>+DATE(YEAR(Control[[#This Row],[Fecha Requisición]]),MONTH(Control[[#This Row],[Fecha Requisición]]),1)</f>
        <v>46204</v>
      </c>
      <c r="Y84" s="11">
        <f>+IF(Control[[#This Row],[Fecha de entrega]]="","",NETWORKDAYS(Control[[#This Row],[Fecha Requisición]],Control[[#This Row],[Fecha de entrega]]))</f>
        <v>9</v>
      </c>
      <c r="AA84">
        <f>+_xlfn.ISOWEEKNUM(Control[[#This Row],[Fecha Requisición]])</f>
        <v>28</v>
      </c>
    </row>
    <row r="85" spans="1:27">
      <c r="A85" t="s">
        <v>690</v>
      </c>
      <c r="B85" t="s">
        <v>691</v>
      </c>
      <c r="C85" t="s">
        <v>607</v>
      </c>
      <c r="D85" t="s">
        <v>680</v>
      </c>
      <c r="E85">
        <v>60</v>
      </c>
      <c r="F85" t="s">
        <v>429</v>
      </c>
      <c r="G85" t="s">
        <v>428</v>
      </c>
      <c r="H85" t="s">
        <v>430</v>
      </c>
      <c r="I85" t="s">
        <v>430</v>
      </c>
      <c r="J85" t="s">
        <v>39</v>
      </c>
      <c r="K85" s="5">
        <v>36990</v>
      </c>
      <c r="L85" s="5"/>
      <c r="M85" t="s">
        <v>74</v>
      </c>
      <c r="R85" t="s">
        <v>681</v>
      </c>
      <c r="S85" t="s">
        <v>514</v>
      </c>
      <c r="T85" s="2">
        <v>46227</v>
      </c>
      <c r="U85" s="2">
        <v>46231</v>
      </c>
      <c r="V85" t="s">
        <v>642</v>
      </c>
      <c r="W8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5" s="9">
        <f>+DATE(YEAR(Control[[#This Row],[Fecha Requisición]]),MONTH(Control[[#This Row],[Fecha Requisición]]),1)</f>
        <v>46204</v>
      </c>
      <c r="Y85" s="11">
        <f>+IF(Control[[#This Row],[Fecha de entrega]]="","",NETWORKDAYS(Control[[#This Row],[Fecha Requisición]],Control[[#This Row],[Fecha de entrega]]))</f>
        <v>13</v>
      </c>
      <c r="AA85">
        <f>+_xlfn.ISOWEEKNUM(Control[[#This Row],[Fecha Requisición]])</f>
        <v>28</v>
      </c>
    </row>
    <row r="86" spans="1:27">
      <c r="A86" t="s">
        <v>431</v>
      </c>
      <c r="B86" t="s">
        <v>432</v>
      </c>
      <c r="C86" t="s">
        <v>583</v>
      </c>
      <c r="D86" t="s">
        <v>584</v>
      </c>
      <c r="E86">
        <v>61</v>
      </c>
      <c r="F86" t="s">
        <v>433</v>
      </c>
      <c r="G86" t="s">
        <v>434</v>
      </c>
      <c r="H86" t="s">
        <v>434</v>
      </c>
      <c r="I86" t="s">
        <v>434</v>
      </c>
      <c r="J86" t="s">
        <v>39</v>
      </c>
      <c r="K86" s="5"/>
      <c r="L86" s="5" t="s">
        <v>31</v>
      </c>
      <c r="M86" t="s">
        <v>585</v>
      </c>
      <c r="N86" t="s">
        <v>435</v>
      </c>
      <c r="P86" t="s">
        <v>57</v>
      </c>
      <c r="Q86">
        <v>46216</v>
      </c>
      <c r="R86" t="s">
        <v>586</v>
      </c>
      <c r="S86" t="s">
        <v>514</v>
      </c>
      <c r="T86" s="2">
        <v>46224</v>
      </c>
      <c r="U86" s="2">
        <v>46230</v>
      </c>
      <c r="V86" t="s">
        <v>642</v>
      </c>
      <c r="W8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6" s="9">
        <f>+DATE(YEAR(Control[[#This Row],[Fecha Requisición]]),MONTH(Control[[#This Row],[Fecha Requisición]]),1)</f>
        <v>46204</v>
      </c>
      <c r="Y86" s="11">
        <f>+IF(Control[[#This Row],[Fecha de entrega]]="","",NETWORKDAYS(Control[[#This Row],[Fecha Requisición]],Control[[#This Row],[Fecha de entrega]]))</f>
        <v>11</v>
      </c>
      <c r="AA86">
        <f>+_xlfn.ISOWEEKNUM(Control[[#This Row],[Fecha Requisición]])</f>
        <v>29</v>
      </c>
    </row>
    <row r="87" spans="1:27">
      <c r="A87" t="s">
        <v>431</v>
      </c>
      <c r="B87" t="s">
        <v>432</v>
      </c>
      <c r="C87" t="s">
        <v>583</v>
      </c>
      <c r="D87" t="s">
        <v>584</v>
      </c>
      <c r="E87">
        <v>61</v>
      </c>
      <c r="F87" t="s">
        <v>433</v>
      </c>
      <c r="G87" t="s">
        <v>434</v>
      </c>
      <c r="H87" t="s">
        <v>434</v>
      </c>
      <c r="I87" t="s">
        <v>434</v>
      </c>
      <c r="J87" t="s">
        <v>39</v>
      </c>
      <c r="K87" s="5"/>
      <c r="L87" s="5" t="s">
        <v>31</v>
      </c>
      <c r="M87" t="s">
        <v>585</v>
      </c>
      <c r="N87" t="s">
        <v>435</v>
      </c>
      <c r="P87" t="s">
        <v>35</v>
      </c>
      <c r="Q87" t="s">
        <v>59</v>
      </c>
      <c r="R87" t="s">
        <v>586</v>
      </c>
      <c r="S87" t="s">
        <v>514</v>
      </c>
      <c r="T87" s="2">
        <v>46224</v>
      </c>
      <c r="U87" s="2">
        <v>46230</v>
      </c>
      <c r="V87" t="s">
        <v>642</v>
      </c>
      <c r="W8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7" s="9">
        <f>+DATE(YEAR(Control[[#This Row],[Fecha Requisición]]),MONTH(Control[[#This Row],[Fecha Requisición]]),1)</f>
        <v>46204</v>
      </c>
      <c r="Y87" s="11">
        <f>+IF(Control[[#This Row],[Fecha de entrega]]="","",NETWORKDAYS(Control[[#This Row],[Fecha Requisición]],Control[[#This Row],[Fecha de entrega]]))</f>
        <v>11</v>
      </c>
      <c r="AA87">
        <f>+_xlfn.ISOWEEKNUM(Control[[#This Row],[Fecha Requisición]])</f>
        <v>29</v>
      </c>
    </row>
    <row r="88" spans="1:27">
      <c r="A88" t="s">
        <v>431</v>
      </c>
      <c r="B88" t="s">
        <v>432</v>
      </c>
      <c r="C88" t="s">
        <v>583</v>
      </c>
      <c r="D88" t="s">
        <v>587</v>
      </c>
      <c r="E88">
        <v>61</v>
      </c>
      <c r="F88" t="s">
        <v>433</v>
      </c>
      <c r="G88" t="s">
        <v>434</v>
      </c>
      <c r="H88" t="s">
        <v>434</v>
      </c>
      <c r="I88" t="s">
        <v>434</v>
      </c>
      <c r="J88" t="s">
        <v>39</v>
      </c>
      <c r="K88" s="5"/>
      <c r="L88" s="5" t="s">
        <v>31</v>
      </c>
      <c r="M88" t="s">
        <v>174</v>
      </c>
      <c r="N88" t="s">
        <v>435</v>
      </c>
      <c r="P88" t="s">
        <v>57</v>
      </c>
      <c r="Q88">
        <v>46216</v>
      </c>
      <c r="R88" t="s">
        <v>588</v>
      </c>
      <c r="S88" t="s">
        <v>514</v>
      </c>
      <c r="T88" s="2">
        <v>46224</v>
      </c>
      <c r="U88" s="2">
        <v>46230</v>
      </c>
      <c r="V88" t="s">
        <v>642</v>
      </c>
      <c r="W8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8" s="9">
        <f>+DATE(YEAR(Control[[#This Row],[Fecha Requisición]]),MONTH(Control[[#This Row],[Fecha Requisición]]),1)</f>
        <v>46204</v>
      </c>
      <c r="Y88" s="11">
        <f>+IF(Control[[#This Row],[Fecha de entrega]]="","",NETWORKDAYS(Control[[#This Row],[Fecha Requisición]],Control[[#This Row],[Fecha de entrega]]))</f>
        <v>11</v>
      </c>
      <c r="AA88">
        <f>+_xlfn.ISOWEEKNUM(Control[[#This Row],[Fecha Requisición]])</f>
        <v>29</v>
      </c>
    </row>
    <row r="89" spans="1:27">
      <c r="A89" t="s">
        <v>431</v>
      </c>
      <c r="B89" t="s">
        <v>432</v>
      </c>
      <c r="C89" t="s">
        <v>583</v>
      </c>
      <c r="D89" t="s">
        <v>587</v>
      </c>
      <c r="E89">
        <v>61</v>
      </c>
      <c r="F89" t="s">
        <v>433</v>
      </c>
      <c r="G89" t="s">
        <v>434</v>
      </c>
      <c r="H89" t="s">
        <v>434</v>
      </c>
      <c r="I89" t="s">
        <v>434</v>
      </c>
      <c r="J89" t="s">
        <v>39</v>
      </c>
      <c r="K89" s="5"/>
      <c r="L89" s="5" t="s">
        <v>31</v>
      </c>
      <c r="M89" t="s">
        <v>174</v>
      </c>
      <c r="N89" t="s">
        <v>435</v>
      </c>
      <c r="P89" t="s">
        <v>35</v>
      </c>
      <c r="Q89" t="s">
        <v>59</v>
      </c>
      <c r="R89" t="s">
        <v>588</v>
      </c>
      <c r="S89" t="s">
        <v>514</v>
      </c>
      <c r="T89" s="2">
        <v>46224</v>
      </c>
      <c r="U89" s="2">
        <v>46230</v>
      </c>
      <c r="V89" t="s">
        <v>642</v>
      </c>
      <c r="W8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9" s="9">
        <f>+DATE(YEAR(Control[[#This Row],[Fecha Requisición]]),MONTH(Control[[#This Row],[Fecha Requisición]]),1)</f>
        <v>46204</v>
      </c>
      <c r="Y89" s="11">
        <f>+IF(Control[[#This Row],[Fecha de entrega]]="","",NETWORKDAYS(Control[[#This Row],[Fecha Requisición]],Control[[#This Row],[Fecha de entrega]]))</f>
        <v>11</v>
      </c>
      <c r="AA89">
        <f>+_xlfn.ISOWEEKNUM(Control[[#This Row],[Fecha Requisición]])</f>
        <v>29</v>
      </c>
    </row>
    <row r="90" spans="1:27">
      <c r="A90" t="s">
        <v>436</v>
      </c>
      <c r="B90" t="s">
        <v>437</v>
      </c>
      <c r="C90" t="s">
        <v>608</v>
      </c>
      <c r="D90" t="s">
        <v>682</v>
      </c>
      <c r="E90">
        <v>62</v>
      </c>
      <c r="F90" t="s">
        <v>438</v>
      </c>
      <c r="G90" t="s">
        <v>439</v>
      </c>
      <c r="H90" t="s">
        <v>439</v>
      </c>
      <c r="I90" t="s">
        <v>439</v>
      </c>
      <c r="J90" t="s">
        <v>30</v>
      </c>
      <c r="K90" s="5">
        <v>251578</v>
      </c>
      <c r="L90" s="5" t="s">
        <v>55</v>
      </c>
      <c r="M90" t="s">
        <v>243</v>
      </c>
      <c r="N90" t="s">
        <v>204</v>
      </c>
      <c r="O90" t="s">
        <v>101</v>
      </c>
      <c r="P90" t="s">
        <v>58</v>
      </c>
      <c r="Q90" t="s">
        <v>36</v>
      </c>
      <c r="R90" t="s">
        <v>683</v>
      </c>
      <c r="S90" t="s">
        <v>514</v>
      </c>
      <c r="U90" s="2">
        <v>46220</v>
      </c>
      <c r="V90" t="s">
        <v>642</v>
      </c>
      <c r="W9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0" s="9">
        <f>+DATE(YEAR(Control[[#This Row],[Fecha Requisición]]),MONTH(Control[[#This Row],[Fecha Requisición]]),1)</f>
        <v>46204</v>
      </c>
      <c r="Y90" s="11">
        <f>+IF(Control[[#This Row],[Fecha de entrega]]="","",NETWORKDAYS(Control[[#This Row],[Fecha Requisición]],Control[[#This Row],[Fecha de entrega]]))</f>
        <v>4</v>
      </c>
      <c r="AA90">
        <f>+_xlfn.ISOWEEKNUM(Control[[#This Row],[Fecha Requisición]])</f>
        <v>29</v>
      </c>
    </row>
    <row r="91" spans="1:27">
      <c r="A91" t="s">
        <v>589</v>
      </c>
      <c r="B91" t="s">
        <v>590</v>
      </c>
      <c r="C91" t="s">
        <v>591</v>
      </c>
      <c r="D91" t="s">
        <v>684</v>
      </c>
      <c r="E91">
        <v>63</v>
      </c>
      <c r="F91" t="s">
        <v>519</v>
      </c>
      <c r="G91" t="s">
        <v>593</v>
      </c>
      <c r="H91" t="s">
        <v>593</v>
      </c>
      <c r="I91" t="s">
        <v>593</v>
      </c>
      <c r="J91" t="s">
        <v>30</v>
      </c>
      <c r="K91" s="5">
        <v>100275</v>
      </c>
      <c r="L91" s="5" t="s">
        <v>55</v>
      </c>
      <c r="M91" t="s">
        <v>243</v>
      </c>
      <c r="N91" t="s">
        <v>358</v>
      </c>
      <c r="O91" t="s">
        <v>101</v>
      </c>
      <c r="P91" t="s">
        <v>58</v>
      </c>
      <c r="Q91" t="s">
        <v>36</v>
      </c>
      <c r="R91" t="s">
        <v>685</v>
      </c>
      <c r="S91" t="s">
        <v>514</v>
      </c>
      <c r="T91" s="2">
        <v>46227</v>
      </c>
      <c r="U91" s="2">
        <v>46232</v>
      </c>
      <c r="V91" t="s">
        <v>642</v>
      </c>
      <c r="W9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1" s="9">
        <f>+DATE(YEAR(Control[[#This Row],[Fecha Requisición]]),MONTH(Control[[#This Row],[Fecha Requisición]]),1)</f>
        <v>46204</v>
      </c>
      <c r="Y91" s="11">
        <f>+IF(Control[[#This Row],[Fecha de entrega]]="","",NETWORKDAYS(Control[[#This Row],[Fecha Requisición]],Control[[#This Row],[Fecha de entrega]]))</f>
        <v>11</v>
      </c>
      <c r="AA91">
        <f>+_xlfn.ISOWEEKNUM(Control[[#This Row],[Fecha Requisición]])</f>
        <v>29</v>
      </c>
    </row>
    <row r="92" spans="1:27">
      <c r="A92" t="s">
        <v>589</v>
      </c>
      <c r="B92" t="s">
        <v>590</v>
      </c>
      <c r="C92" t="s">
        <v>591</v>
      </c>
      <c r="D92" t="s">
        <v>686</v>
      </c>
      <c r="E92">
        <v>63</v>
      </c>
      <c r="F92" t="s">
        <v>519</v>
      </c>
      <c r="G92" t="s">
        <v>593</v>
      </c>
      <c r="H92" t="s">
        <v>593</v>
      </c>
      <c r="I92" t="s">
        <v>593</v>
      </c>
      <c r="J92" t="s">
        <v>39</v>
      </c>
      <c r="K92" s="5">
        <v>46686</v>
      </c>
      <c r="L92" s="5" t="s">
        <v>55</v>
      </c>
      <c r="M92" t="s">
        <v>148</v>
      </c>
      <c r="N92" t="s">
        <v>358</v>
      </c>
      <c r="O92" t="s">
        <v>101</v>
      </c>
      <c r="P92" t="s">
        <v>58</v>
      </c>
      <c r="Q92" t="s">
        <v>36</v>
      </c>
      <c r="R92" t="s">
        <v>687</v>
      </c>
      <c r="S92" t="s">
        <v>514</v>
      </c>
      <c r="T92" s="2">
        <v>46227</v>
      </c>
      <c r="U92" s="2">
        <v>46232</v>
      </c>
      <c r="V92" t="s">
        <v>642</v>
      </c>
      <c r="W9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2" s="9">
        <f>+DATE(YEAR(Control[[#This Row],[Fecha Requisición]]),MONTH(Control[[#This Row],[Fecha Requisición]]),1)</f>
        <v>46204</v>
      </c>
      <c r="Y92" s="11">
        <f>+IF(Control[[#This Row],[Fecha de entrega]]="","",NETWORKDAYS(Control[[#This Row],[Fecha Requisición]],Control[[#This Row],[Fecha de entrega]]))</f>
        <v>11</v>
      </c>
      <c r="AA92">
        <f>+_xlfn.ISOWEEKNUM(Control[[#This Row],[Fecha Requisición]])</f>
        <v>29</v>
      </c>
    </row>
    <row r="93" spans="1:27">
      <c r="A93" t="s">
        <v>589</v>
      </c>
      <c r="B93" t="s">
        <v>590</v>
      </c>
      <c r="C93" t="s">
        <v>591</v>
      </c>
      <c r="D93" t="s">
        <v>592</v>
      </c>
      <c r="E93">
        <v>63</v>
      </c>
      <c r="F93" t="s">
        <v>519</v>
      </c>
      <c r="G93" t="s">
        <v>593</v>
      </c>
      <c r="H93" t="s">
        <v>593</v>
      </c>
      <c r="I93" t="s">
        <v>593</v>
      </c>
      <c r="J93" t="s">
        <v>30</v>
      </c>
      <c r="K93" s="5">
        <v>293249</v>
      </c>
      <c r="L93" s="5" t="s">
        <v>55</v>
      </c>
      <c r="M93" t="s">
        <v>32</v>
      </c>
      <c r="N93" t="s">
        <v>358</v>
      </c>
      <c r="O93" t="s">
        <v>101</v>
      </c>
      <c r="P93" t="s">
        <v>58</v>
      </c>
      <c r="Q93" t="s">
        <v>36</v>
      </c>
      <c r="R93" t="s">
        <v>594</v>
      </c>
      <c r="S93" t="s">
        <v>514</v>
      </c>
      <c r="T93" s="2">
        <v>46227</v>
      </c>
      <c r="U93" s="2">
        <v>46232</v>
      </c>
      <c r="V93" t="s">
        <v>642</v>
      </c>
      <c r="W9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3" s="9">
        <f>+DATE(YEAR(Control[[#This Row],[Fecha Requisición]]),MONTH(Control[[#This Row],[Fecha Requisición]]),1)</f>
        <v>46204</v>
      </c>
      <c r="Y93" s="11">
        <f>+IF(Control[[#This Row],[Fecha de entrega]]="","",NETWORKDAYS(Control[[#This Row],[Fecha Requisición]],Control[[#This Row],[Fecha de entrega]]))</f>
        <v>11</v>
      </c>
      <c r="AA93">
        <f>+_xlfn.ISOWEEKNUM(Control[[#This Row],[Fecha Requisición]])</f>
        <v>29</v>
      </c>
    </row>
    <row r="94" spans="1:27">
      <c r="A94" t="s">
        <v>595</v>
      </c>
      <c r="B94" t="s">
        <v>596</v>
      </c>
      <c r="C94" t="s">
        <v>597</v>
      </c>
      <c r="D94" t="s">
        <v>598</v>
      </c>
      <c r="E94">
        <v>64</v>
      </c>
      <c r="F94" t="s">
        <v>520</v>
      </c>
      <c r="G94" t="s">
        <v>593</v>
      </c>
      <c r="H94" t="s">
        <v>593</v>
      </c>
      <c r="I94" t="s">
        <v>593</v>
      </c>
      <c r="J94" t="s">
        <v>39</v>
      </c>
      <c r="K94" s="5">
        <v>345495</v>
      </c>
      <c r="L94" s="5"/>
      <c r="M94" t="s">
        <v>741</v>
      </c>
      <c r="R94" t="s">
        <v>599</v>
      </c>
      <c r="S94" t="s">
        <v>514</v>
      </c>
      <c r="T94" s="2">
        <v>46225</v>
      </c>
      <c r="U94" s="2">
        <v>46231</v>
      </c>
      <c r="V94" t="s">
        <v>642</v>
      </c>
      <c r="W9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4" s="9">
        <f>+DATE(YEAR(Control[[#This Row],[Fecha Requisición]]),MONTH(Control[[#This Row],[Fecha Requisición]]),1)</f>
        <v>46204</v>
      </c>
      <c r="Y94" s="11">
        <f>+IF(Control[[#This Row],[Fecha de entrega]]="","",NETWORKDAYS(Control[[#This Row],[Fecha Requisición]],Control[[#This Row],[Fecha de entrega]]))</f>
        <v>10</v>
      </c>
      <c r="AA94">
        <f>+_xlfn.ISOWEEKNUM(Control[[#This Row],[Fecha Requisición]])</f>
        <v>29</v>
      </c>
    </row>
    <row r="95" spans="1:27">
      <c r="A95" t="s">
        <v>595</v>
      </c>
      <c r="B95" t="s">
        <v>596</v>
      </c>
      <c r="C95" t="s">
        <v>597</v>
      </c>
      <c r="D95" t="s">
        <v>600</v>
      </c>
      <c r="E95">
        <v>64</v>
      </c>
      <c r="F95" t="s">
        <v>520</v>
      </c>
      <c r="G95" t="s">
        <v>593</v>
      </c>
      <c r="H95" t="s">
        <v>593</v>
      </c>
      <c r="I95" t="s">
        <v>593</v>
      </c>
      <c r="J95" t="s">
        <v>30</v>
      </c>
      <c r="K95" s="5">
        <v>38270</v>
      </c>
      <c r="L95" s="5"/>
      <c r="M95" t="s">
        <v>243</v>
      </c>
      <c r="R95" t="s">
        <v>601</v>
      </c>
      <c r="S95" t="s">
        <v>514</v>
      </c>
      <c r="T95" s="2">
        <v>46225</v>
      </c>
      <c r="U95" s="2">
        <v>46231</v>
      </c>
      <c r="V95" t="s">
        <v>642</v>
      </c>
      <c r="W9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5" s="9">
        <f>+DATE(YEAR(Control[[#This Row],[Fecha Requisición]]),MONTH(Control[[#This Row],[Fecha Requisición]]),1)</f>
        <v>46204</v>
      </c>
      <c r="Y95" s="11">
        <f>+IF(Control[[#This Row],[Fecha de entrega]]="","",NETWORKDAYS(Control[[#This Row],[Fecha Requisición]],Control[[#This Row],[Fecha de entrega]]))</f>
        <v>10</v>
      </c>
      <c r="AA95">
        <f>+_xlfn.ISOWEEKNUM(Control[[#This Row],[Fecha Requisición]])</f>
        <v>29</v>
      </c>
    </row>
    <row r="96" spans="1:27">
      <c r="A96" t="s">
        <v>609</v>
      </c>
      <c r="B96" t="s">
        <v>610</v>
      </c>
      <c r="C96" t="s">
        <v>611</v>
      </c>
      <c r="D96" t="s">
        <v>657</v>
      </c>
      <c r="E96">
        <v>65</v>
      </c>
      <c r="F96" t="s">
        <v>521</v>
      </c>
      <c r="G96" t="s">
        <v>612</v>
      </c>
      <c r="H96" t="s">
        <v>612</v>
      </c>
      <c r="I96" t="s">
        <v>612</v>
      </c>
      <c r="J96" t="s">
        <v>39</v>
      </c>
      <c r="K96" s="5"/>
      <c r="L96" s="5" t="s">
        <v>31</v>
      </c>
      <c r="M96" t="s">
        <v>658</v>
      </c>
      <c r="N96" t="s">
        <v>613</v>
      </c>
      <c r="O96" t="s">
        <v>57</v>
      </c>
      <c r="P96" t="s">
        <v>124</v>
      </c>
      <c r="Q96" t="s">
        <v>36</v>
      </c>
      <c r="R96" t="s">
        <v>659</v>
      </c>
      <c r="S96" t="s">
        <v>514</v>
      </c>
      <c r="T96" s="2">
        <v>46224</v>
      </c>
      <c r="U96" s="2">
        <v>46230</v>
      </c>
      <c r="V96" t="s">
        <v>710</v>
      </c>
      <c r="W9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6" s="9">
        <f>+DATE(YEAR(Control[[#This Row],[Fecha Requisición]]),MONTH(Control[[#This Row],[Fecha Requisición]]),1)</f>
        <v>46204</v>
      </c>
      <c r="Y96" s="11">
        <f>+IF(Control[[#This Row],[Fecha de entrega]]="","",NETWORKDAYS(Control[[#This Row],[Fecha Requisición]],Control[[#This Row],[Fecha de entrega]]))</f>
        <v>6</v>
      </c>
      <c r="AA96">
        <f>+_xlfn.ISOWEEKNUM(Control[[#This Row],[Fecha Requisición]])</f>
        <v>30</v>
      </c>
    </row>
    <row r="97" spans="1:27">
      <c r="A97" t="s">
        <v>616</v>
      </c>
      <c r="B97" t="s">
        <v>617</v>
      </c>
      <c r="C97" t="s">
        <v>713</v>
      </c>
      <c r="D97" t="s">
        <v>660</v>
      </c>
      <c r="E97">
        <v>66</v>
      </c>
      <c r="F97" t="s">
        <v>618</v>
      </c>
      <c r="G97" t="s">
        <v>619</v>
      </c>
      <c r="H97" t="s">
        <v>619</v>
      </c>
      <c r="I97" t="s">
        <v>619</v>
      </c>
      <c r="J97" t="s">
        <v>30</v>
      </c>
      <c r="K97" s="5"/>
      <c r="L97" s="5" t="s">
        <v>31</v>
      </c>
      <c r="M97" t="s">
        <v>243</v>
      </c>
      <c r="N97" t="s">
        <v>620</v>
      </c>
      <c r="O97" t="s">
        <v>197</v>
      </c>
      <c r="P97" t="s">
        <v>124</v>
      </c>
      <c r="Q97" t="s">
        <v>36</v>
      </c>
      <c r="R97" t="s">
        <v>661</v>
      </c>
      <c r="S97" t="s">
        <v>514</v>
      </c>
      <c r="U97" s="2">
        <v>46224</v>
      </c>
      <c r="V97" t="s">
        <v>642</v>
      </c>
      <c r="W9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7" s="9">
        <f>+DATE(YEAR(Control[[#This Row],[Fecha Requisición]]),MONTH(Control[[#This Row],[Fecha Requisición]]),1)</f>
        <v>46204</v>
      </c>
      <c r="Y97" s="11">
        <f>+IF(Control[[#This Row],[Fecha de entrega]]="","",NETWORKDAYS(Control[[#This Row],[Fecha Requisición]],Control[[#This Row],[Fecha de entrega]]))</f>
        <v>1</v>
      </c>
      <c r="AA97">
        <f>+_xlfn.ISOWEEKNUM(Control[[#This Row],[Fecha Requisición]])</f>
        <v>30</v>
      </c>
    </row>
    <row r="98" spans="1:27">
      <c r="A98" t="s">
        <v>621</v>
      </c>
      <c r="B98" t="s">
        <v>622</v>
      </c>
      <c r="C98" t="s">
        <v>662</v>
      </c>
      <c r="D98" t="s">
        <v>663</v>
      </c>
      <c r="E98">
        <v>67</v>
      </c>
      <c r="F98" t="s">
        <v>623</v>
      </c>
      <c r="G98" t="s">
        <v>619</v>
      </c>
      <c r="H98" t="s">
        <v>619</v>
      </c>
      <c r="I98" t="s">
        <v>619</v>
      </c>
      <c r="J98" t="s">
        <v>30</v>
      </c>
      <c r="K98" s="5"/>
      <c r="L98" s="5" t="s">
        <v>31</v>
      </c>
      <c r="M98" t="s">
        <v>243</v>
      </c>
      <c r="N98" t="s">
        <v>620</v>
      </c>
      <c r="O98" t="s">
        <v>57</v>
      </c>
      <c r="P98" t="s">
        <v>124</v>
      </c>
      <c r="Q98" t="s">
        <v>36</v>
      </c>
      <c r="R98" t="s">
        <v>664</v>
      </c>
      <c r="S98" t="s">
        <v>514</v>
      </c>
      <c r="U98" s="2">
        <v>46224</v>
      </c>
      <c r="V98" t="s">
        <v>642</v>
      </c>
      <c r="W9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8" s="9">
        <f>+DATE(YEAR(Control[[#This Row],[Fecha Requisición]]),MONTH(Control[[#This Row],[Fecha Requisición]]),1)</f>
        <v>46204</v>
      </c>
      <c r="Y98" s="11">
        <f>+IF(Control[[#This Row],[Fecha de entrega]]="","",NETWORKDAYS(Control[[#This Row],[Fecha Requisición]],Control[[#This Row],[Fecha de entrega]]))</f>
        <v>1</v>
      </c>
      <c r="AA98">
        <f>+_xlfn.ISOWEEKNUM(Control[[#This Row],[Fecha Requisición]])</f>
        <v>30</v>
      </c>
    </row>
    <row r="99" spans="1:27">
      <c r="A99" t="s">
        <v>624</v>
      </c>
      <c r="B99" t="s">
        <v>625</v>
      </c>
      <c r="C99" t="s">
        <v>665</v>
      </c>
      <c r="D99" t="s">
        <v>666</v>
      </c>
      <c r="E99">
        <v>68</v>
      </c>
      <c r="F99" t="s">
        <v>626</v>
      </c>
      <c r="G99" t="s">
        <v>627</v>
      </c>
      <c r="H99" t="s">
        <v>627</v>
      </c>
      <c r="I99" t="s">
        <v>627</v>
      </c>
      <c r="J99" t="s">
        <v>30</v>
      </c>
      <c r="K99" s="5"/>
      <c r="L99" s="5" t="s">
        <v>31</v>
      </c>
      <c r="M99" t="s">
        <v>243</v>
      </c>
      <c r="N99" t="s">
        <v>213</v>
      </c>
      <c r="O99" t="s">
        <v>197</v>
      </c>
      <c r="P99" t="s">
        <v>124</v>
      </c>
      <c r="Q99" t="s">
        <v>36</v>
      </c>
      <c r="R99" t="s">
        <v>667</v>
      </c>
      <c r="S99" t="s">
        <v>514</v>
      </c>
      <c r="U99" s="2">
        <v>46224</v>
      </c>
      <c r="V99" t="s">
        <v>642</v>
      </c>
      <c r="W9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9" s="9">
        <f>+DATE(YEAR(Control[[#This Row],[Fecha Requisición]]),MONTH(Control[[#This Row],[Fecha Requisición]]),1)</f>
        <v>46204</v>
      </c>
      <c r="Y99" s="11">
        <f>+IF(Control[[#This Row],[Fecha de entrega]]="","",NETWORKDAYS(Control[[#This Row],[Fecha Requisición]],Control[[#This Row],[Fecha de entrega]]))</f>
        <v>-2</v>
      </c>
      <c r="AA99" s="15">
        <f>+_xlfn.ISOWEEKNUM(Control[[#This Row],[Fecha Requisición]])</f>
        <v>30</v>
      </c>
    </row>
    <row r="100" spans="1:27">
      <c r="A100" t="s">
        <v>628</v>
      </c>
      <c r="B100" t="s">
        <v>629</v>
      </c>
      <c r="C100" t="s">
        <v>668</v>
      </c>
      <c r="D100" t="s">
        <v>669</v>
      </c>
      <c r="E100">
        <v>69</v>
      </c>
      <c r="F100" t="s">
        <v>630</v>
      </c>
      <c r="G100" t="s">
        <v>619</v>
      </c>
      <c r="H100" t="s">
        <v>619</v>
      </c>
      <c r="I100" t="s">
        <v>619</v>
      </c>
      <c r="J100" t="s">
        <v>30</v>
      </c>
      <c r="K100" s="5"/>
      <c r="L100" s="5" t="s">
        <v>31</v>
      </c>
      <c r="M100" t="s">
        <v>243</v>
      </c>
      <c r="N100" t="s">
        <v>362</v>
      </c>
      <c r="O100" t="s">
        <v>123</v>
      </c>
      <c r="P100" t="s">
        <v>124</v>
      </c>
      <c r="Q100" t="s">
        <v>36</v>
      </c>
      <c r="R100" t="s">
        <v>670</v>
      </c>
      <c r="S100" t="s">
        <v>514</v>
      </c>
      <c r="U100" s="2">
        <v>46231</v>
      </c>
      <c r="V100" t="s">
        <v>643</v>
      </c>
      <c r="W10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0" s="9">
        <f>+DATE(YEAR(Control[[#This Row],[Fecha Requisición]]),MONTH(Control[[#This Row],[Fecha Requisición]]),1)</f>
        <v>46204</v>
      </c>
      <c r="Y100" s="11">
        <f>+IF(Control[[#This Row],[Fecha de entrega]]="","",NETWORKDAYS(Control[[#This Row],[Fecha Requisición]],Control[[#This Row],[Fecha de entrega]]))</f>
        <v>6</v>
      </c>
      <c r="AA100" s="15">
        <f>+_xlfn.ISOWEEKNUM(Control[[#This Row],[Fecha Requisición]])</f>
        <v>30</v>
      </c>
    </row>
    <row r="101" spans="1:27">
      <c r="A101" t="s">
        <v>631</v>
      </c>
      <c r="B101" t="s">
        <v>632</v>
      </c>
      <c r="C101" t="s">
        <v>672</v>
      </c>
      <c r="D101" t="s">
        <v>688</v>
      </c>
      <c r="E101">
        <v>70</v>
      </c>
      <c r="F101" t="s">
        <v>633</v>
      </c>
      <c r="G101" t="s">
        <v>627</v>
      </c>
      <c r="H101" t="s">
        <v>627</v>
      </c>
      <c r="I101" t="s">
        <v>627</v>
      </c>
      <c r="J101" t="s">
        <v>39</v>
      </c>
      <c r="K101" s="5">
        <v>203972</v>
      </c>
      <c r="L101" s="5" t="s">
        <v>55</v>
      </c>
      <c r="M101" t="s">
        <v>74</v>
      </c>
      <c r="N101" t="s">
        <v>383</v>
      </c>
      <c r="O101" t="s">
        <v>384</v>
      </c>
      <c r="P101" t="s">
        <v>58</v>
      </c>
      <c r="Q101" t="s">
        <v>36</v>
      </c>
      <c r="R101" t="s">
        <v>689</v>
      </c>
      <c r="S101" t="s">
        <v>514</v>
      </c>
      <c r="T101" s="2">
        <v>46232</v>
      </c>
      <c r="U101" s="2">
        <v>46233</v>
      </c>
      <c r="V101" t="s">
        <v>642</v>
      </c>
      <c r="W10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1" s="9">
        <f>+DATE(YEAR(Control[[#This Row],[Fecha Requisición]]),MONTH(Control[[#This Row],[Fecha Requisición]]),1)</f>
        <v>46204</v>
      </c>
      <c r="Y101" s="11">
        <f>+IF(Control[[#This Row],[Fecha de entrega]]="","",NETWORKDAYS(Control[[#This Row],[Fecha Requisición]],Control[[#This Row],[Fecha de entrega]]))</f>
        <v>7</v>
      </c>
      <c r="AA101" s="15">
        <f>+_xlfn.ISOWEEKNUM(Control[[#This Row],[Fecha Requisición]])</f>
        <v>30</v>
      </c>
    </row>
    <row r="102" spans="1:27">
      <c r="A102" t="s">
        <v>675</v>
      </c>
      <c r="B102" t="s">
        <v>717</v>
      </c>
      <c r="C102" t="s">
        <v>676</v>
      </c>
      <c r="D102" t="s">
        <v>738</v>
      </c>
      <c r="E102">
        <v>73</v>
      </c>
      <c r="F102" t="s">
        <v>677</v>
      </c>
      <c r="G102" t="s">
        <v>627</v>
      </c>
      <c r="H102" t="s">
        <v>627</v>
      </c>
      <c r="I102" t="s">
        <v>627</v>
      </c>
      <c r="J102" t="s">
        <v>39</v>
      </c>
      <c r="K102" s="5">
        <v>160000</v>
      </c>
      <c r="L102" s="5" t="s">
        <v>55</v>
      </c>
      <c r="M102" t="s">
        <v>739</v>
      </c>
      <c r="N102" t="s">
        <v>67</v>
      </c>
      <c r="O102" t="s">
        <v>176</v>
      </c>
      <c r="P102" t="s">
        <v>58</v>
      </c>
      <c r="Q102" t="s">
        <v>59</v>
      </c>
      <c r="R102" t="s">
        <v>740</v>
      </c>
      <c r="S102" t="s">
        <v>514</v>
      </c>
      <c r="T102" s="2">
        <v>46232</v>
      </c>
      <c r="U102" s="2">
        <v>46232</v>
      </c>
      <c r="V102" t="s">
        <v>642</v>
      </c>
      <c r="W10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2" s="9">
        <f>+DATE(YEAR(Control[[#This Row],[Fecha Requisición]]),MONTH(Control[[#This Row],[Fecha Requisición]]),1)</f>
        <v>46204</v>
      </c>
      <c r="Y102" s="11">
        <f>+IF(Control[[#This Row],[Fecha de entrega]]="","",NETWORKDAYS(Control[[#This Row],[Fecha Requisición]],Control[[#This Row],[Fecha de entrega]]))</f>
        <v>6</v>
      </c>
      <c r="AA102" s="15">
        <f>+_xlfn.ISOWEEKNUM(Control[[#This Row],[Fecha Requisición]])</f>
        <v>30</v>
      </c>
    </row>
    <row r="103" spans="1:27">
      <c r="A103" t="s">
        <v>701</v>
      </c>
      <c r="B103" t="s">
        <v>702</v>
      </c>
      <c r="C103" t="s">
        <v>718</v>
      </c>
      <c r="D103" t="s">
        <v>1038</v>
      </c>
      <c r="E103">
        <v>74</v>
      </c>
      <c r="F103" t="s">
        <v>703</v>
      </c>
      <c r="G103" t="s">
        <v>704</v>
      </c>
      <c r="H103" t="s">
        <v>704</v>
      </c>
      <c r="I103" t="s">
        <v>704</v>
      </c>
      <c r="J103" t="s">
        <v>30</v>
      </c>
      <c r="K103" s="5">
        <v>1315627</v>
      </c>
      <c r="L103" s="5" t="s">
        <v>55</v>
      </c>
      <c r="M103" t="s">
        <v>243</v>
      </c>
      <c r="N103" t="s">
        <v>705</v>
      </c>
      <c r="O103" t="s">
        <v>101</v>
      </c>
      <c r="P103" t="s">
        <v>58</v>
      </c>
      <c r="R103" t="s">
        <v>1039</v>
      </c>
      <c r="S103" t="s">
        <v>514</v>
      </c>
      <c r="U103" s="2">
        <v>46237</v>
      </c>
      <c r="V103" t="s">
        <v>642</v>
      </c>
      <c r="W10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3" s="9">
        <f>+DATE(YEAR(Control[[#This Row],[Fecha Requisición]]),MONTH(Control[[#This Row],[Fecha Requisición]]),1)</f>
        <v>46204</v>
      </c>
      <c r="Y103" s="11">
        <f>+IF(Control[[#This Row],[Fecha de entrega]]="","",NETWORKDAYS(Control[[#This Row],[Fecha Requisición]],Control[[#This Row],[Fecha de entrega]]))</f>
        <v>6</v>
      </c>
      <c r="AA103" s="15">
        <f>+_xlfn.ISOWEEKNUM(Control[[#This Row],[Fecha Requisición]])</f>
        <v>31</v>
      </c>
    </row>
    <row r="104" spans="1:27">
      <c r="A104" t="s">
        <v>701</v>
      </c>
      <c r="B104" t="s">
        <v>702</v>
      </c>
      <c r="C104" t="s">
        <v>718</v>
      </c>
      <c r="D104" t="s">
        <v>728</v>
      </c>
      <c r="E104">
        <v>74</v>
      </c>
      <c r="F104" t="s">
        <v>703</v>
      </c>
      <c r="G104" t="s">
        <v>704</v>
      </c>
      <c r="H104" t="s">
        <v>704</v>
      </c>
      <c r="I104" t="s">
        <v>704</v>
      </c>
      <c r="J104" t="s">
        <v>30</v>
      </c>
      <c r="K104" s="5">
        <v>64736</v>
      </c>
      <c r="L104" s="5" t="s">
        <v>55</v>
      </c>
      <c r="M104" t="s">
        <v>32</v>
      </c>
      <c r="N104" t="s">
        <v>705</v>
      </c>
      <c r="O104" t="s">
        <v>101</v>
      </c>
      <c r="P104" t="s">
        <v>58</v>
      </c>
      <c r="R104" t="s">
        <v>729</v>
      </c>
      <c r="S104" t="s">
        <v>514</v>
      </c>
      <c r="U104" s="2">
        <v>46237</v>
      </c>
      <c r="V104" t="s">
        <v>642</v>
      </c>
      <c r="W10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4" s="9">
        <f>+DATE(YEAR(Control[[#This Row],[Fecha Requisición]]),MONTH(Control[[#This Row],[Fecha Requisición]]),1)</f>
        <v>46204</v>
      </c>
      <c r="Y104" s="11">
        <f>+IF(Control[[#This Row],[Fecha de entrega]]="","",NETWORKDAYS(Control[[#This Row],[Fecha Requisición]],Control[[#This Row],[Fecha de entrega]]))</f>
        <v>6</v>
      </c>
      <c r="AA104" s="15">
        <f>+_xlfn.ISOWEEKNUM(Control[[#This Row],[Fecha Requisición]])</f>
        <v>31</v>
      </c>
    </row>
    <row r="105" spans="1:27">
      <c r="A105" t="s">
        <v>692</v>
      </c>
      <c r="B105" t="s">
        <v>693</v>
      </c>
      <c r="C105" t="s">
        <v>694</v>
      </c>
      <c r="D105" t="s">
        <v>695</v>
      </c>
      <c r="E105">
        <v>75</v>
      </c>
      <c r="F105" t="s">
        <v>696</v>
      </c>
      <c r="G105" t="s">
        <v>697</v>
      </c>
      <c r="H105" t="s">
        <v>697</v>
      </c>
      <c r="I105" t="s">
        <v>697</v>
      </c>
      <c r="J105" t="s">
        <v>39</v>
      </c>
      <c r="K105" s="5">
        <v>112990</v>
      </c>
      <c r="L105" s="5" t="s">
        <v>55</v>
      </c>
      <c r="M105" t="s">
        <v>698</v>
      </c>
      <c r="N105" t="s">
        <v>699</v>
      </c>
      <c r="O105" t="s">
        <v>57</v>
      </c>
      <c r="P105" t="s">
        <v>58</v>
      </c>
      <c r="Q105" t="s">
        <v>94</v>
      </c>
      <c r="R105" t="s">
        <v>700</v>
      </c>
      <c r="S105" t="s">
        <v>514</v>
      </c>
      <c r="U105" s="2">
        <v>46232</v>
      </c>
      <c r="V105" t="s">
        <v>726</v>
      </c>
      <c r="W10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5" s="9">
        <f>+DATE(YEAR(Control[[#This Row],[Fecha Requisición]]),MONTH(Control[[#This Row],[Fecha Requisición]]),1)</f>
        <v>46204</v>
      </c>
      <c r="Y105" s="11">
        <f>+IF(Control[[#This Row],[Fecha de entrega]]="","",NETWORKDAYS(Control[[#This Row],[Fecha Requisición]],Control[[#This Row],[Fecha de entrega]]))</f>
        <v>2</v>
      </c>
      <c r="AA105" s="15">
        <f>+_xlfn.ISOWEEKNUM(Control[[#This Row],[Fecha Requisición]])</f>
        <v>31</v>
      </c>
    </row>
    <row r="106" spans="1:27">
      <c r="A106" t="s">
        <v>706</v>
      </c>
      <c r="B106" t="s">
        <v>707</v>
      </c>
      <c r="C106" t="s">
        <v>708</v>
      </c>
      <c r="D106" t="s">
        <v>714</v>
      </c>
      <c r="E106">
        <v>76</v>
      </c>
      <c r="F106" t="s">
        <v>709</v>
      </c>
      <c r="G106" t="s">
        <v>697</v>
      </c>
      <c r="H106" t="s">
        <v>697</v>
      </c>
      <c r="I106" t="s">
        <v>697</v>
      </c>
      <c r="J106" t="s">
        <v>30</v>
      </c>
      <c r="K106" s="5">
        <v>117668</v>
      </c>
      <c r="L106" s="5" t="s">
        <v>55</v>
      </c>
      <c r="M106" t="s">
        <v>174</v>
      </c>
      <c r="N106" t="s">
        <v>93</v>
      </c>
      <c r="O106" t="s">
        <v>57</v>
      </c>
      <c r="P106" t="s">
        <v>58</v>
      </c>
      <c r="Q106" t="s">
        <v>94</v>
      </c>
      <c r="R106" t="s">
        <v>715</v>
      </c>
      <c r="S106" t="s">
        <v>514</v>
      </c>
      <c r="U106" s="2">
        <v>46239</v>
      </c>
      <c r="V106" t="s">
        <v>727</v>
      </c>
      <c r="W10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6" s="9">
        <f>+DATE(YEAR(Control[[#This Row],[Fecha Requisición]]),MONTH(Control[[#This Row],[Fecha Requisición]]),1)</f>
        <v>46204</v>
      </c>
      <c r="Y106" s="11">
        <f>+IF(Control[[#This Row],[Fecha de entrega]]="","",NETWORKDAYS(Control[[#This Row],[Fecha Requisición]],Control[[#This Row],[Fecha de entrega]]))</f>
        <v>7</v>
      </c>
      <c r="AA106" s="15">
        <f>+_xlfn.ISOWEEKNUM(Control[[#This Row],[Fecha Requisición]])</f>
        <v>31</v>
      </c>
    </row>
    <row r="107" spans="1:27">
      <c r="A107" t="s">
        <v>742</v>
      </c>
      <c r="B107" t="s">
        <v>743</v>
      </c>
      <c r="C107" t="s">
        <v>744</v>
      </c>
      <c r="D107" t="s">
        <v>745</v>
      </c>
      <c r="E107">
        <v>77</v>
      </c>
      <c r="F107" t="s">
        <v>746</v>
      </c>
      <c r="G107" t="s">
        <v>747</v>
      </c>
      <c r="H107" t="s">
        <v>747</v>
      </c>
      <c r="I107" t="s">
        <v>747</v>
      </c>
      <c r="J107" t="s">
        <v>30</v>
      </c>
      <c r="K107" s="5">
        <v>48995</v>
      </c>
      <c r="L107" s="5" t="s">
        <v>55</v>
      </c>
      <c r="M107" t="s">
        <v>748</v>
      </c>
      <c r="N107" t="s">
        <v>705</v>
      </c>
      <c r="O107" t="s">
        <v>57</v>
      </c>
      <c r="P107" t="s">
        <v>58</v>
      </c>
      <c r="Q107" t="s">
        <v>59</v>
      </c>
      <c r="R107" t="s">
        <v>749</v>
      </c>
      <c r="S107" t="s">
        <v>514</v>
      </c>
      <c r="U107" s="2">
        <v>46233</v>
      </c>
      <c r="V107" t="s">
        <v>758</v>
      </c>
      <c r="W10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7" s="9">
        <f>+DATE(YEAR(Control[[#This Row],[Fecha Requisición]]),MONTH(Control[[#This Row],[Fecha Requisición]]),1)</f>
        <v>46204</v>
      </c>
      <c r="Y107" s="14">
        <f>+IF(Control[[#This Row],[Fecha de entrega]]="","",NETWORKDAYS(Control[[#This Row],[Fecha Requisición]],Control[[#This Row],[Fecha de entrega]]))</f>
        <v>1</v>
      </c>
      <c r="AA107" s="13">
        <f>+_xlfn.ISOWEEKNUM(Control[[#This Row],[Fecha Requisición]])</f>
        <v>31</v>
      </c>
    </row>
    <row r="108" spans="1:27">
      <c r="A108" t="s">
        <v>750</v>
      </c>
      <c r="B108" t="s">
        <v>751</v>
      </c>
      <c r="C108" t="s">
        <v>752</v>
      </c>
      <c r="D108" t="s">
        <v>775</v>
      </c>
      <c r="E108">
        <v>78</v>
      </c>
      <c r="F108" t="s">
        <v>753</v>
      </c>
      <c r="G108" t="s">
        <v>747</v>
      </c>
      <c r="H108" t="s">
        <v>747</v>
      </c>
      <c r="I108" t="s">
        <v>747</v>
      </c>
      <c r="J108" t="s">
        <v>30</v>
      </c>
      <c r="K108" s="5"/>
      <c r="L108" s="5" t="s">
        <v>55</v>
      </c>
      <c r="M108" t="s">
        <v>748</v>
      </c>
      <c r="N108" t="s">
        <v>705</v>
      </c>
      <c r="O108" t="s">
        <v>57</v>
      </c>
      <c r="P108" t="s">
        <v>58</v>
      </c>
      <c r="Q108" t="s">
        <v>59</v>
      </c>
      <c r="R108" t="s">
        <v>776</v>
      </c>
      <c r="S108" t="s">
        <v>514</v>
      </c>
      <c r="U108" s="2">
        <v>46233</v>
      </c>
      <c r="V108" t="s">
        <v>759</v>
      </c>
      <c r="W10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8" s="9">
        <f>+DATE(YEAR(Control[[#This Row],[Fecha Requisición]]),MONTH(Control[[#This Row],[Fecha Requisición]]),1)</f>
        <v>46204</v>
      </c>
      <c r="Y108" s="14">
        <f>+IF(Control[[#This Row],[Fecha de entrega]]="","",NETWORKDAYS(Control[[#This Row],[Fecha Requisición]],Control[[#This Row],[Fecha de entrega]]))</f>
        <v>1</v>
      </c>
      <c r="AA108" s="13">
        <f>+_xlfn.ISOWEEKNUM(Control[[#This Row],[Fecha Requisición]])</f>
        <v>31</v>
      </c>
    </row>
    <row r="109" spans="1:27">
      <c r="A109" t="s">
        <v>760</v>
      </c>
      <c r="B109" t="s">
        <v>761</v>
      </c>
      <c r="C109" t="s">
        <v>762</v>
      </c>
      <c r="D109" t="s">
        <v>763</v>
      </c>
      <c r="E109">
        <v>80</v>
      </c>
      <c r="F109" t="s">
        <v>764</v>
      </c>
      <c r="G109" t="s">
        <v>747</v>
      </c>
      <c r="H109" t="s">
        <v>747</v>
      </c>
      <c r="I109" t="s">
        <v>747</v>
      </c>
      <c r="J109" t="s">
        <v>39</v>
      </c>
      <c r="K109" s="5"/>
      <c r="L109" s="5" t="s">
        <v>31</v>
      </c>
      <c r="M109" t="s">
        <v>74</v>
      </c>
      <c r="N109" t="s">
        <v>765</v>
      </c>
      <c r="O109" t="s">
        <v>57</v>
      </c>
      <c r="P109" t="s">
        <v>35</v>
      </c>
      <c r="Q109" t="s">
        <v>36</v>
      </c>
      <c r="R109" t="s">
        <v>766</v>
      </c>
      <c r="S109" t="s">
        <v>514</v>
      </c>
      <c r="T109" s="2">
        <v>46236</v>
      </c>
      <c r="U109" s="2">
        <v>46235</v>
      </c>
      <c r="V109" t="s">
        <v>642</v>
      </c>
      <c r="W10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9" s="9">
        <f>+DATE(YEAR(Control[[#This Row],[Fecha Requisición]]),MONTH(Control[[#This Row],[Fecha Requisición]]),1)</f>
        <v>46204</v>
      </c>
      <c r="Y109" s="14">
        <f>+IF(Control[[#This Row],[Fecha de entrega]]="","",NETWORKDAYS(Control[[#This Row],[Fecha Requisición]],Control[[#This Row],[Fecha de entrega]]))</f>
        <v>2</v>
      </c>
      <c r="AA109" s="13">
        <f>+_xlfn.ISOWEEKNUM(Control[[#This Row],[Fecha Requisición]])</f>
        <v>31</v>
      </c>
    </row>
    <row r="110" spans="1:27">
      <c r="A110" t="s">
        <v>767</v>
      </c>
      <c r="B110" t="s">
        <v>768</v>
      </c>
      <c r="C110" t="s">
        <v>769</v>
      </c>
      <c r="D110" t="s">
        <v>873</v>
      </c>
      <c r="E110">
        <v>81</v>
      </c>
      <c r="F110" t="s">
        <v>770</v>
      </c>
      <c r="G110" t="s">
        <v>771</v>
      </c>
      <c r="H110" t="s">
        <v>771</v>
      </c>
      <c r="I110" t="s">
        <v>771</v>
      </c>
      <c r="J110" t="s">
        <v>39</v>
      </c>
      <c r="K110" s="5"/>
      <c r="L110" s="5" t="s">
        <v>31</v>
      </c>
      <c r="M110" t="s">
        <v>74</v>
      </c>
      <c r="N110" t="s">
        <v>435</v>
      </c>
      <c r="P110" t="s">
        <v>57</v>
      </c>
      <c r="R110" t="s">
        <v>874</v>
      </c>
      <c r="S110" t="s">
        <v>514</v>
      </c>
      <c r="U110" s="2">
        <v>46248</v>
      </c>
      <c r="V110" t="s">
        <v>642</v>
      </c>
      <c r="W11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0" s="9">
        <f>+DATE(YEAR(Control[[#This Row],[Fecha Requisición]]),MONTH(Control[[#This Row],[Fecha Requisición]]),1)</f>
        <v>46204</v>
      </c>
      <c r="Y110" s="14">
        <f>+IF(Control[[#This Row],[Fecha de entrega]]="","",NETWORKDAYS(Control[[#This Row],[Fecha Requisición]],Control[[#This Row],[Fecha de entrega]]))</f>
        <v>11</v>
      </c>
      <c r="AA110" s="13">
        <f>+_xlfn.ISOWEEKNUM(Control[[#This Row],[Fecha Requisición]])</f>
        <v>31</v>
      </c>
    </row>
    <row r="111" spans="1:27">
      <c r="A111" t="s">
        <v>767</v>
      </c>
      <c r="B111" t="s">
        <v>768</v>
      </c>
      <c r="C111" t="s">
        <v>769</v>
      </c>
      <c r="D111" t="s">
        <v>873</v>
      </c>
      <c r="E111">
        <v>81</v>
      </c>
      <c r="F111" t="s">
        <v>770</v>
      </c>
      <c r="G111" t="s">
        <v>771</v>
      </c>
      <c r="H111" t="s">
        <v>771</v>
      </c>
      <c r="I111" t="s">
        <v>771</v>
      </c>
      <c r="J111" t="s">
        <v>39</v>
      </c>
      <c r="K111" s="5"/>
      <c r="L111" s="5" t="s">
        <v>31</v>
      </c>
      <c r="M111" t="s">
        <v>74</v>
      </c>
      <c r="N111" t="s">
        <v>435</v>
      </c>
      <c r="P111" t="s">
        <v>35</v>
      </c>
      <c r="Q111" t="s">
        <v>59</v>
      </c>
      <c r="R111" t="s">
        <v>874</v>
      </c>
      <c r="S111" t="s">
        <v>514</v>
      </c>
      <c r="U111" s="2">
        <v>46248</v>
      </c>
      <c r="V111" t="s">
        <v>642</v>
      </c>
      <c r="W11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1" s="9">
        <f>+DATE(YEAR(Control[[#This Row],[Fecha Requisición]]),MONTH(Control[[#This Row],[Fecha Requisición]]),1)</f>
        <v>46204</v>
      </c>
      <c r="Y111" s="14">
        <f>+IF(Control[[#This Row],[Fecha de entrega]]="","",NETWORKDAYS(Control[[#This Row],[Fecha Requisición]],Control[[#This Row],[Fecha de entrega]]))</f>
        <v>11</v>
      </c>
      <c r="AA111" s="13">
        <f>+_xlfn.ISOWEEKNUM(Control[[#This Row],[Fecha Requisición]])</f>
        <v>31</v>
      </c>
    </row>
    <row r="112" spans="1:27">
      <c r="A112" t="s">
        <v>781</v>
      </c>
      <c r="B112" t="s">
        <v>782</v>
      </c>
      <c r="C112" t="s">
        <v>834</v>
      </c>
      <c r="D112" t="s">
        <v>914</v>
      </c>
      <c r="E112">
        <v>83</v>
      </c>
      <c r="F112" t="s">
        <v>783</v>
      </c>
      <c r="G112" t="s">
        <v>784</v>
      </c>
      <c r="H112" t="s">
        <v>784</v>
      </c>
      <c r="I112" t="s">
        <v>784</v>
      </c>
      <c r="J112" t="s">
        <v>30</v>
      </c>
      <c r="K112" s="5"/>
      <c r="L112" s="5" t="s">
        <v>31</v>
      </c>
      <c r="M112" t="s">
        <v>915</v>
      </c>
      <c r="N112" t="s">
        <v>196</v>
      </c>
      <c r="O112" t="s">
        <v>197</v>
      </c>
      <c r="P112" t="s">
        <v>58</v>
      </c>
      <c r="Q112" t="s">
        <v>36</v>
      </c>
      <c r="R112" t="s">
        <v>916</v>
      </c>
      <c r="S112" t="s">
        <v>514</v>
      </c>
      <c r="U112" s="2">
        <v>46246</v>
      </c>
      <c r="V112" t="s">
        <v>952</v>
      </c>
      <c r="W112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2" s="9">
        <f>+DATE(YEAR(Control[[#This Row],[Fecha Requisición]]),MONTH(Control[[#This Row],[Fecha Requisición]]),1)</f>
        <v>46235</v>
      </c>
      <c r="Y112" s="14">
        <f>+IF(Control[[#This Row],[Fecha de entrega]]="","",NETWORKDAYS(Control[[#This Row],[Fecha Requisición]],Control[[#This Row],[Fecha de entrega]]))</f>
        <v>8</v>
      </c>
      <c r="AA112" s="13">
        <f>+_xlfn.ISOWEEKNUM(Control[[#This Row],[Fecha Requisición]])</f>
        <v>32</v>
      </c>
    </row>
    <row r="113" spans="1:27">
      <c r="A113" t="s">
        <v>785</v>
      </c>
      <c r="B113" t="s">
        <v>786</v>
      </c>
      <c r="C113" t="s">
        <v>835</v>
      </c>
      <c r="D113" t="s">
        <v>917</v>
      </c>
      <c r="E113">
        <v>84</v>
      </c>
      <c r="F113" t="s">
        <v>787</v>
      </c>
      <c r="G113" t="s">
        <v>784</v>
      </c>
      <c r="H113" t="s">
        <v>784</v>
      </c>
      <c r="I113" t="s">
        <v>784</v>
      </c>
      <c r="J113" t="s">
        <v>30</v>
      </c>
      <c r="K113" s="5"/>
      <c r="L113" s="5" t="s">
        <v>31</v>
      </c>
      <c r="M113" t="s">
        <v>915</v>
      </c>
      <c r="N113" t="s">
        <v>196</v>
      </c>
      <c r="O113" t="s">
        <v>197</v>
      </c>
      <c r="P113" t="s">
        <v>124</v>
      </c>
      <c r="Q113" t="s">
        <v>36</v>
      </c>
      <c r="R113" t="s">
        <v>918</v>
      </c>
      <c r="S113" t="s">
        <v>514</v>
      </c>
      <c r="U113" s="2">
        <v>46246</v>
      </c>
      <c r="V113" t="s">
        <v>952</v>
      </c>
      <c r="W113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3" s="9">
        <f>+DATE(YEAR(Control[[#This Row],[Fecha Requisición]]),MONTH(Control[[#This Row],[Fecha Requisición]]),1)</f>
        <v>46235</v>
      </c>
      <c r="Y113" s="14">
        <f>+IF(Control[[#This Row],[Fecha de entrega]]="","",NETWORKDAYS(Control[[#This Row],[Fecha Requisición]],Control[[#This Row],[Fecha de entrega]]))</f>
        <v>8</v>
      </c>
      <c r="AA113" s="13">
        <f>+_xlfn.ISOWEEKNUM(Control[[#This Row],[Fecha Requisición]])</f>
        <v>32</v>
      </c>
    </row>
    <row r="114" spans="1:27">
      <c r="A114" t="s">
        <v>788</v>
      </c>
      <c r="B114" t="s">
        <v>789</v>
      </c>
      <c r="C114" t="s">
        <v>836</v>
      </c>
      <c r="D114" t="s">
        <v>919</v>
      </c>
      <c r="E114">
        <v>85</v>
      </c>
      <c r="F114" t="s">
        <v>790</v>
      </c>
      <c r="G114" t="s">
        <v>784</v>
      </c>
      <c r="H114" t="s">
        <v>784</v>
      </c>
      <c r="I114" t="s">
        <v>784</v>
      </c>
      <c r="J114" t="s">
        <v>30</v>
      </c>
      <c r="K114" s="5"/>
      <c r="L114" s="5" t="s">
        <v>31</v>
      </c>
      <c r="M114" t="s">
        <v>915</v>
      </c>
      <c r="N114" t="s">
        <v>196</v>
      </c>
      <c r="O114" t="s">
        <v>197</v>
      </c>
      <c r="P114" t="s">
        <v>273</v>
      </c>
      <c r="Q114" t="s">
        <v>36</v>
      </c>
      <c r="R114" t="s">
        <v>920</v>
      </c>
      <c r="S114" t="s">
        <v>514</v>
      </c>
      <c r="U114" s="2">
        <v>46246</v>
      </c>
      <c r="V114" t="s">
        <v>952</v>
      </c>
      <c r="W114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4" s="9">
        <f>+DATE(YEAR(Control[[#This Row],[Fecha Requisición]]),MONTH(Control[[#This Row],[Fecha Requisición]]),1)</f>
        <v>46235</v>
      </c>
      <c r="Y114" s="14">
        <f>+IF(Control[[#This Row],[Fecha de entrega]]="","",NETWORKDAYS(Control[[#This Row],[Fecha Requisición]],Control[[#This Row],[Fecha de entrega]]))</f>
        <v>8</v>
      </c>
      <c r="AA114" s="13">
        <f>+_xlfn.ISOWEEKNUM(Control[[#This Row],[Fecha Requisición]])</f>
        <v>32</v>
      </c>
    </row>
    <row r="115" spans="1:27">
      <c r="A115" t="s">
        <v>791</v>
      </c>
      <c r="B115" t="s">
        <v>792</v>
      </c>
      <c r="C115" t="s">
        <v>837</v>
      </c>
      <c r="D115" t="s">
        <v>921</v>
      </c>
      <c r="E115">
        <v>86</v>
      </c>
      <c r="F115" t="s">
        <v>793</v>
      </c>
      <c r="G115" t="s">
        <v>784</v>
      </c>
      <c r="H115" t="s">
        <v>784</v>
      </c>
      <c r="I115" t="s">
        <v>784</v>
      </c>
      <c r="J115" t="s">
        <v>30</v>
      </c>
      <c r="K115" s="5"/>
      <c r="L115" s="5" t="s">
        <v>31</v>
      </c>
      <c r="M115" t="s">
        <v>915</v>
      </c>
      <c r="N115" t="s">
        <v>196</v>
      </c>
      <c r="O115" t="s">
        <v>197</v>
      </c>
      <c r="P115" t="s">
        <v>75</v>
      </c>
      <c r="Q115" t="s">
        <v>36</v>
      </c>
      <c r="R115" t="s">
        <v>922</v>
      </c>
      <c r="S115" t="s">
        <v>514</v>
      </c>
      <c r="U115" s="2">
        <v>46246</v>
      </c>
      <c r="V115" t="s">
        <v>952</v>
      </c>
      <c r="W115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5" s="9">
        <f>+DATE(YEAR(Control[[#This Row],[Fecha Requisición]]),MONTH(Control[[#This Row],[Fecha Requisición]]),1)</f>
        <v>46235</v>
      </c>
      <c r="Y115" s="14">
        <f>+IF(Control[[#This Row],[Fecha de entrega]]="","",NETWORKDAYS(Control[[#This Row],[Fecha Requisición]],Control[[#This Row],[Fecha de entrega]]))</f>
        <v>8</v>
      </c>
      <c r="AA115" s="13">
        <f>+_xlfn.ISOWEEKNUM(Control[[#This Row],[Fecha Requisición]])</f>
        <v>32</v>
      </c>
    </row>
    <row r="116" spans="1:27">
      <c r="A116" s="15" t="s">
        <v>794</v>
      </c>
      <c r="B116" s="15" t="s">
        <v>795</v>
      </c>
      <c r="C116" s="15" t="s">
        <v>838</v>
      </c>
      <c r="D116" s="15" t="s">
        <v>1089</v>
      </c>
      <c r="E116" s="15">
        <v>87</v>
      </c>
      <c r="F116" s="15" t="s">
        <v>796</v>
      </c>
      <c r="G116" s="15" t="s">
        <v>784</v>
      </c>
      <c r="H116" s="15" t="s">
        <v>784</v>
      </c>
      <c r="I116" s="15" t="s">
        <v>784</v>
      </c>
      <c r="J116" s="15" t="s">
        <v>30</v>
      </c>
      <c r="K116" s="5"/>
      <c r="L116" s="5" t="s">
        <v>31</v>
      </c>
      <c r="M116" s="15" t="s">
        <v>1090</v>
      </c>
      <c r="N116" s="15" t="s">
        <v>196</v>
      </c>
      <c r="O116" s="15" t="s">
        <v>34</v>
      </c>
      <c r="P116" s="15" t="s">
        <v>797</v>
      </c>
      <c r="Q116" s="15" t="s">
        <v>36</v>
      </c>
      <c r="R116" s="15" t="s">
        <v>1091</v>
      </c>
      <c r="S116" s="15" t="s">
        <v>514</v>
      </c>
      <c r="V116" s="15" t="s">
        <v>1183</v>
      </c>
      <c r="W116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6" s="9">
        <f>+DATE(YEAR(Control[[#This Row],[Fecha Requisición]]),MONTH(Control[[#This Row],[Fecha Requisición]]),1)</f>
        <v>46235</v>
      </c>
      <c r="Y116" s="14" t="str">
        <f>+IF(Control[[#This Row],[Fecha de entrega]]="","",NETWORKDAYS(Control[[#This Row],[Fecha Requisición]],Control[[#This Row],[Fecha de entrega]]))</f>
        <v/>
      </c>
      <c r="Z116" s="15"/>
      <c r="AA116" s="13">
        <f>+_xlfn.ISOWEEKNUM(Control[[#This Row],[Fecha Requisición]])</f>
        <v>32</v>
      </c>
    </row>
    <row r="117" spans="1:27">
      <c r="A117" s="15" t="s">
        <v>794</v>
      </c>
      <c r="B117" s="15" t="s">
        <v>795</v>
      </c>
      <c r="C117" s="15" t="s">
        <v>838</v>
      </c>
      <c r="D117" s="15" t="s">
        <v>1092</v>
      </c>
      <c r="E117" s="15">
        <v>87</v>
      </c>
      <c r="F117" s="15" t="s">
        <v>796</v>
      </c>
      <c r="G117" s="15" t="s">
        <v>784</v>
      </c>
      <c r="H117" s="15" t="s">
        <v>784</v>
      </c>
      <c r="I117" s="15" t="s">
        <v>784</v>
      </c>
      <c r="J117" s="15" t="s">
        <v>39</v>
      </c>
      <c r="K117" s="5"/>
      <c r="L117" s="5" t="s">
        <v>31</v>
      </c>
      <c r="M117" s="15" t="s">
        <v>933</v>
      </c>
      <c r="N117" s="15" t="s">
        <v>196</v>
      </c>
      <c r="O117" s="15" t="s">
        <v>34</v>
      </c>
      <c r="P117" s="15" t="s">
        <v>797</v>
      </c>
      <c r="Q117" s="15" t="s">
        <v>36</v>
      </c>
      <c r="R117" s="15" t="s">
        <v>1093</v>
      </c>
      <c r="S117" s="15" t="s">
        <v>514</v>
      </c>
      <c r="V117" s="15" t="s">
        <v>1183</v>
      </c>
      <c r="W117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7" s="9">
        <f>+DATE(YEAR(Control[[#This Row],[Fecha Requisición]]),MONTH(Control[[#This Row],[Fecha Requisición]]),1)</f>
        <v>46235</v>
      </c>
      <c r="Y117" s="14" t="str">
        <f>+IF(Control[[#This Row],[Fecha de entrega]]="","",NETWORKDAYS(Control[[#This Row],[Fecha Requisición]],Control[[#This Row],[Fecha de entrega]]))</f>
        <v/>
      </c>
      <c r="Z117" s="15"/>
      <c r="AA117" s="13">
        <f>+_xlfn.ISOWEEKNUM(Control[[#This Row],[Fecha Requisición]])</f>
        <v>32</v>
      </c>
    </row>
    <row r="118" spans="1:27">
      <c r="A118" s="15" t="s">
        <v>798</v>
      </c>
      <c r="B118" s="15" t="s">
        <v>799</v>
      </c>
      <c r="C118" s="15" t="s">
        <v>839</v>
      </c>
      <c r="D118" s="15" t="s">
        <v>1094</v>
      </c>
      <c r="E118" s="15">
        <v>88</v>
      </c>
      <c r="F118" s="15" t="s">
        <v>800</v>
      </c>
      <c r="G118" s="15" t="s">
        <v>784</v>
      </c>
      <c r="H118" s="15" t="s">
        <v>784</v>
      </c>
      <c r="I118" s="15" t="s">
        <v>784</v>
      </c>
      <c r="J118" s="15" t="s">
        <v>39</v>
      </c>
      <c r="K118" s="5"/>
      <c r="L118" s="5" t="s">
        <v>31</v>
      </c>
      <c r="M118" s="15" t="s">
        <v>930</v>
      </c>
      <c r="N118" s="15" t="s">
        <v>196</v>
      </c>
      <c r="O118" s="15" t="s">
        <v>197</v>
      </c>
      <c r="P118" s="15" t="s">
        <v>463</v>
      </c>
      <c r="Q118" s="15" t="s">
        <v>36</v>
      </c>
      <c r="R118" s="15" t="s">
        <v>1095</v>
      </c>
      <c r="S118" s="15" t="s">
        <v>514</v>
      </c>
      <c r="T118" s="2">
        <v>46260</v>
      </c>
      <c r="U118" s="2">
        <v>46270</v>
      </c>
      <c r="V118" s="15" t="s">
        <v>642</v>
      </c>
      <c r="W11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8" s="9">
        <f>+DATE(YEAR(Control[[#This Row],[Fecha Requisición]]),MONTH(Control[[#This Row],[Fecha Requisición]]),1)</f>
        <v>46235</v>
      </c>
      <c r="Y118" s="14">
        <f>+IF(Control[[#This Row],[Fecha de entrega]]="","",NETWORKDAYS(Control[[#This Row],[Fecha Requisición]],Control[[#This Row],[Fecha de entrega]]))</f>
        <v>25</v>
      </c>
      <c r="Z118" s="15"/>
      <c r="AA118" s="13">
        <f>+_xlfn.ISOWEEKNUM(Control[[#This Row],[Fecha Requisición]])</f>
        <v>32</v>
      </c>
    </row>
    <row r="119" spans="1:27">
      <c r="A119" s="15" t="s">
        <v>801</v>
      </c>
      <c r="B119" s="15" t="s">
        <v>802</v>
      </c>
      <c r="C119" s="15" t="s">
        <v>820</v>
      </c>
      <c r="D119" s="15" t="s">
        <v>821</v>
      </c>
      <c r="E119" s="15">
        <v>89</v>
      </c>
      <c r="F119" s="15" t="s">
        <v>803</v>
      </c>
      <c r="G119" s="15" t="s">
        <v>784</v>
      </c>
      <c r="H119" s="15" t="s">
        <v>784</v>
      </c>
      <c r="I119" s="15" t="s">
        <v>784</v>
      </c>
      <c r="J119" s="15" t="s">
        <v>39</v>
      </c>
      <c r="K119" s="5">
        <v>299800</v>
      </c>
      <c r="L119" s="5" t="s">
        <v>55</v>
      </c>
      <c r="M119" s="15" t="s">
        <v>822</v>
      </c>
      <c r="N119" s="15" t="s">
        <v>383</v>
      </c>
      <c r="O119" s="15" t="s">
        <v>384</v>
      </c>
      <c r="P119" s="15" t="s">
        <v>58</v>
      </c>
      <c r="Q119" s="15" t="s">
        <v>36</v>
      </c>
      <c r="R119" s="15" t="s">
        <v>823</v>
      </c>
      <c r="S119" s="15" t="s">
        <v>514</v>
      </c>
      <c r="T119" s="2">
        <v>46237</v>
      </c>
      <c r="U119" s="2">
        <v>46238</v>
      </c>
      <c r="V119" s="15" t="s">
        <v>774</v>
      </c>
      <c r="W119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9" s="9">
        <f>+DATE(YEAR(Control[[#This Row],[Fecha Requisición]]),MONTH(Control[[#This Row],[Fecha Requisición]]),1)</f>
        <v>46235</v>
      </c>
      <c r="Y119" s="14">
        <f>+IF(Control[[#This Row],[Fecha de entrega]]="","",NETWORKDAYS(Control[[#This Row],[Fecha Requisición]],Control[[#This Row],[Fecha de entrega]]))</f>
        <v>2</v>
      </c>
      <c r="Z119" s="15"/>
      <c r="AA119" s="13">
        <f>+_xlfn.ISOWEEKNUM(Control[[#This Row],[Fecha Requisición]])</f>
        <v>32</v>
      </c>
    </row>
    <row r="120" spans="1:27">
      <c r="A120" s="15" t="s">
        <v>811</v>
      </c>
      <c r="B120" s="15" t="s">
        <v>812</v>
      </c>
      <c r="C120" s="15" t="s">
        <v>840</v>
      </c>
      <c r="D120" s="15" t="s">
        <v>845</v>
      </c>
      <c r="E120" s="15">
        <v>92</v>
      </c>
      <c r="F120" s="15" t="s">
        <v>813</v>
      </c>
      <c r="G120" s="15" t="s">
        <v>784</v>
      </c>
      <c r="H120" s="15" t="s">
        <v>784</v>
      </c>
      <c r="I120" s="15" t="s">
        <v>784</v>
      </c>
      <c r="J120" s="15" t="s">
        <v>39</v>
      </c>
      <c r="K120" s="5"/>
      <c r="L120" s="5" t="s">
        <v>31</v>
      </c>
      <c r="M120" s="15" t="s">
        <v>121</v>
      </c>
      <c r="N120" s="15" t="s">
        <v>765</v>
      </c>
      <c r="O120" s="15" t="s">
        <v>57</v>
      </c>
      <c r="P120" s="15" t="s">
        <v>35</v>
      </c>
      <c r="Q120" s="15" t="s">
        <v>94</v>
      </c>
      <c r="R120" s="15" t="s">
        <v>846</v>
      </c>
      <c r="S120" s="15" t="s">
        <v>514</v>
      </c>
      <c r="U120" s="2">
        <v>46246</v>
      </c>
      <c r="V120" s="15" t="s">
        <v>774</v>
      </c>
      <c r="W12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0" s="9">
        <f>+DATE(YEAR(Control[[#This Row],[Fecha Requisición]]),MONTH(Control[[#This Row],[Fecha Requisición]]),1)</f>
        <v>46235</v>
      </c>
      <c r="Y120" s="14">
        <f>+IF(Control[[#This Row],[Fecha de entrega]]="","",NETWORKDAYS(Control[[#This Row],[Fecha Requisición]],Control[[#This Row],[Fecha de entrega]]))</f>
        <v>8</v>
      </c>
      <c r="Z120" s="15"/>
      <c r="AA120" s="13">
        <f>+_xlfn.ISOWEEKNUM(Control[[#This Row],[Fecha Requisición]])</f>
        <v>32</v>
      </c>
    </row>
    <row r="121" spans="1:27">
      <c r="A121" s="15" t="s">
        <v>811</v>
      </c>
      <c r="B121" s="15" t="s">
        <v>812</v>
      </c>
      <c r="C121" s="15" t="s">
        <v>840</v>
      </c>
      <c r="D121" s="15" t="s">
        <v>847</v>
      </c>
      <c r="E121" s="15">
        <v>92</v>
      </c>
      <c r="F121" s="15" t="s">
        <v>813</v>
      </c>
      <c r="G121" s="15" t="s">
        <v>784</v>
      </c>
      <c r="H121" s="15" t="s">
        <v>784</v>
      </c>
      <c r="I121" s="15" t="s">
        <v>784</v>
      </c>
      <c r="J121" s="15" t="s">
        <v>30</v>
      </c>
      <c r="K121" s="5"/>
      <c r="L121" s="5" t="s">
        <v>31</v>
      </c>
      <c r="M121" s="15" t="s">
        <v>243</v>
      </c>
      <c r="N121" s="15" t="s">
        <v>765</v>
      </c>
      <c r="O121" s="15" t="s">
        <v>57</v>
      </c>
      <c r="P121" s="15" t="s">
        <v>35</v>
      </c>
      <c r="Q121" s="15" t="s">
        <v>94</v>
      </c>
      <c r="R121" s="15" t="s">
        <v>848</v>
      </c>
      <c r="S121" s="15" t="s">
        <v>514</v>
      </c>
      <c r="U121" s="2">
        <v>46246</v>
      </c>
      <c r="V121" s="15" t="s">
        <v>774</v>
      </c>
      <c r="W12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1" s="9">
        <f>+DATE(YEAR(Control[[#This Row],[Fecha Requisición]]),MONTH(Control[[#This Row],[Fecha Requisición]]),1)</f>
        <v>46235</v>
      </c>
      <c r="Y121" s="14">
        <f>+IF(Control[[#This Row],[Fecha de entrega]]="","",NETWORKDAYS(Control[[#This Row],[Fecha Requisición]],Control[[#This Row],[Fecha de entrega]]))</f>
        <v>8</v>
      </c>
      <c r="Z121" s="15"/>
      <c r="AA121" s="13">
        <f>+_xlfn.ISOWEEKNUM(Control[[#This Row],[Fecha Requisición]])</f>
        <v>32</v>
      </c>
    </row>
    <row r="122" spans="1:27">
      <c r="A122" s="15" t="s">
        <v>824</v>
      </c>
      <c r="B122" s="15" t="s">
        <v>825</v>
      </c>
      <c r="C122" s="15" t="s">
        <v>826</v>
      </c>
      <c r="D122" s="15" t="s">
        <v>827</v>
      </c>
      <c r="E122" s="15">
        <v>94</v>
      </c>
      <c r="F122" s="15" t="s">
        <v>828</v>
      </c>
      <c r="G122" s="15" t="s">
        <v>829</v>
      </c>
      <c r="H122" s="15" t="s">
        <v>829</v>
      </c>
      <c r="I122" s="15" t="s">
        <v>829</v>
      </c>
      <c r="J122" s="15" t="s">
        <v>39</v>
      </c>
      <c r="K122" s="5"/>
      <c r="L122" s="5" t="s">
        <v>31</v>
      </c>
      <c r="M122" s="15" t="s">
        <v>830</v>
      </c>
      <c r="N122" s="15" t="s">
        <v>831</v>
      </c>
      <c r="O122" s="15" t="s">
        <v>57</v>
      </c>
      <c r="P122" s="15" t="s">
        <v>35</v>
      </c>
      <c r="Q122" s="15" t="s">
        <v>59</v>
      </c>
      <c r="R122" s="15" t="s">
        <v>832</v>
      </c>
      <c r="S122" s="15" t="s">
        <v>514</v>
      </c>
      <c r="U122" s="2">
        <v>46238</v>
      </c>
      <c r="V122" s="15" t="s">
        <v>773</v>
      </c>
      <c r="W12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2" s="9">
        <f>+DATE(YEAR(Control[[#This Row],[Fecha Requisición]]),MONTH(Control[[#This Row],[Fecha Requisición]]),1)</f>
        <v>46569</v>
      </c>
      <c r="Y122" s="14">
        <f>+IF(Control[[#This Row],[Fecha de entrega]]="","",NETWORKDAYS(Control[[#This Row],[Fecha Requisición]],Control[[#This Row],[Fecha de entrega]]))</f>
        <v>-259</v>
      </c>
      <c r="Z122" s="15"/>
      <c r="AA122" s="13">
        <f>+_xlfn.ISOWEEKNUM(Control[[#This Row],[Fecha Requisición]])</f>
        <v>30</v>
      </c>
    </row>
    <row r="123" spans="1:27">
      <c r="A123" s="15" t="s">
        <v>842</v>
      </c>
      <c r="B123" s="15" t="s">
        <v>843</v>
      </c>
      <c r="C123" s="15" t="s">
        <v>849</v>
      </c>
      <c r="D123" s="15" t="s">
        <v>875</v>
      </c>
      <c r="E123" s="15">
        <v>95</v>
      </c>
      <c r="F123" s="15" t="s">
        <v>844</v>
      </c>
      <c r="G123" s="15" t="s">
        <v>784</v>
      </c>
      <c r="H123" s="15" t="s">
        <v>784</v>
      </c>
      <c r="I123" s="15" t="s">
        <v>784</v>
      </c>
      <c r="J123" s="15" t="s">
        <v>39</v>
      </c>
      <c r="K123" s="5">
        <v>135898</v>
      </c>
      <c r="L123" s="5"/>
      <c r="M123" s="15" t="s">
        <v>121</v>
      </c>
      <c r="N123" s="15"/>
      <c r="O123" s="15"/>
      <c r="P123" s="15"/>
      <c r="Q123" s="15"/>
      <c r="R123" s="15" t="s">
        <v>876</v>
      </c>
      <c r="S123" s="15" t="s">
        <v>514</v>
      </c>
      <c r="T123" s="2">
        <v>46241</v>
      </c>
      <c r="U123" s="2">
        <v>46247</v>
      </c>
      <c r="V123" s="15" t="s">
        <v>953</v>
      </c>
      <c r="W12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3" s="9">
        <f>+DATE(YEAR(Control[[#This Row],[Fecha Requisición]]),MONTH(Control[[#This Row],[Fecha Requisición]]),1)</f>
        <v>46235</v>
      </c>
      <c r="Y123" s="14">
        <f>+IF(Control[[#This Row],[Fecha de entrega]]="","",NETWORKDAYS(Control[[#This Row],[Fecha Requisición]],Control[[#This Row],[Fecha de entrega]]))</f>
        <v>9</v>
      </c>
      <c r="Z123" s="15"/>
      <c r="AA123" s="13">
        <f>+_xlfn.ISOWEEKNUM(Control[[#This Row],[Fecha Requisición]])</f>
        <v>32</v>
      </c>
    </row>
    <row r="124" spans="1:27">
      <c r="A124" s="15" t="s">
        <v>850</v>
      </c>
      <c r="B124" s="15" t="s">
        <v>851</v>
      </c>
      <c r="C124" s="15" t="s">
        <v>852</v>
      </c>
      <c r="D124" s="15" t="s">
        <v>853</v>
      </c>
      <c r="E124" s="15">
        <v>96</v>
      </c>
      <c r="F124" s="15" t="s">
        <v>854</v>
      </c>
      <c r="G124" s="15" t="s">
        <v>855</v>
      </c>
      <c r="H124" s="15" t="s">
        <v>855</v>
      </c>
      <c r="I124" s="15" t="s">
        <v>855</v>
      </c>
      <c r="J124" s="15" t="s">
        <v>30</v>
      </c>
      <c r="K124" s="5">
        <v>129472</v>
      </c>
      <c r="L124" s="5" t="s">
        <v>55</v>
      </c>
      <c r="M124" s="15" t="s">
        <v>32</v>
      </c>
      <c r="N124" s="15" t="s">
        <v>204</v>
      </c>
      <c r="O124" s="15" t="s">
        <v>57</v>
      </c>
      <c r="P124" s="15" t="s">
        <v>58</v>
      </c>
      <c r="Q124" s="15" t="s">
        <v>36</v>
      </c>
      <c r="R124" s="15" t="s">
        <v>856</v>
      </c>
      <c r="S124" s="15" t="s">
        <v>514</v>
      </c>
      <c r="U124" s="2">
        <v>46238</v>
      </c>
      <c r="V124" s="15" t="s">
        <v>872</v>
      </c>
      <c r="W12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4" s="9">
        <f>+DATE(YEAR(Control[[#This Row],[Fecha Requisición]]),MONTH(Control[[#This Row],[Fecha Requisición]]),1)</f>
        <v>46235</v>
      </c>
      <c r="Y124" s="14">
        <f>+IF(Control[[#This Row],[Fecha de entrega]]="","",NETWORKDAYS(Control[[#This Row],[Fecha Requisición]],Control[[#This Row],[Fecha de entrega]]))</f>
        <v>1</v>
      </c>
      <c r="Z124" s="15"/>
      <c r="AA124" s="13">
        <f>+_xlfn.ISOWEEKNUM(Control[[#This Row],[Fecha Requisición]])</f>
        <v>32</v>
      </c>
    </row>
    <row r="125" spans="1:27">
      <c r="A125" s="15" t="s">
        <v>857</v>
      </c>
      <c r="B125" s="15" t="s">
        <v>858</v>
      </c>
      <c r="C125" s="15" t="s">
        <v>871</v>
      </c>
      <c r="D125" s="15" t="s">
        <v>1096</v>
      </c>
      <c r="E125" s="15">
        <v>97</v>
      </c>
      <c r="F125" s="15" t="s">
        <v>859</v>
      </c>
      <c r="G125" s="15" t="s">
        <v>860</v>
      </c>
      <c r="H125" s="15" t="s">
        <v>860</v>
      </c>
      <c r="I125" s="15" t="s">
        <v>860</v>
      </c>
      <c r="J125" s="15" t="s">
        <v>30</v>
      </c>
      <c r="K125" s="5"/>
      <c r="L125" s="5" t="s">
        <v>31</v>
      </c>
      <c r="M125" s="15" t="s">
        <v>927</v>
      </c>
      <c r="N125" s="15" t="s">
        <v>861</v>
      </c>
      <c r="O125" s="15" t="s">
        <v>197</v>
      </c>
      <c r="P125" s="15" t="s">
        <v>124</v>
      </c>
      <c r="Q125" s="15" t="s">
        <v>59</v>
      </c>
      <c r="R125" s="15" t="s">
        <v>1097</v>
      </c>
      <c r="S125" s="15" t="s">
        <v>514</v>
      </c>
      <c r="V125" s="15" t="s">
        <v>1031</v>
      </c>
      <c r="W12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25" s="9">
        <f>+DATE(YEAR(Control[[#This Row],[Fecha Requisición]]),MONTH(Control[[#This Row],[Fecha Requisición]]),1)</f>
        <v>46204</v>
      </c>
      <c r="Y125" s="14" t="str">
        <f>+IF(Control[[#This Row],[Fecha de entrega]]="","",NETWORKDAYS(Control[[#This Row],[Fecha Requisición]],Control[[#This Row],[Fecha de entrega]]))</f>
        <v/>
      </c>
      <c r="Z125" s="15"/>
      <c r="AA125" s="13">
        <f>+_xlfn.ISOWEEKNUM(Control[[#This Row],[Fecha Requisición]])</f>
        <v>27</v>
      </c>
    </row>
    <row r="126" spans="1:27">
      <c r="A126" s="15" t="s">
        <v>857</v>
      </c>
      <c r="B126" s="15" t="s">
        <v>858</v>
      </c>
      <c r="C126" s="15" t="s">
        <v>871</v>
      </c>
      <c r="D126" s="15" t="s">
        <v>1098</v>
      </c>
      <c r="E126" s="15">
        <v>97</v>
      </c>
      <c r="F126" s="15" t="s">
        <v>859</v>
      </c>
      <c r="G126" s="15" t="s">
        <v>860</v>
      </c>
      <c r="H126" s="15" t="s">
        <v>860</v>
      </c>
      <c r="I126" s="15" t="s">
        <v>860</v>
      </c>
      <c r="J126" s="15" t="s">
        <v>30</v>
      </c>
      <c r="K126" s="5"/>
      <c r="L126" s="5" t="s">
        <v>31</v>
      </c>
      <c r="M126" s="15" t="s">
        <v>936</v>
      </c>
      <c r="N126" s="15" t="s">
        <v>861</v>
      </c>
      <c r="O126" s="15" t="s">
        <v>197</v>
      </c>
      <c r="P126" s="15" t="s">
        <v>124</v>
      </c>
      <c r="Q126" s="15" t="s">
        <v>59</v>
      </c>
      <c r="R126" s="15" t="s">
        <v>1099</v>
      </c>
      <c r="S126" s="15" t="s">
        <v>514</v>
      </c>
      <c r="V126" s="15" t="s">
        <v>1031</v>
      </c>
      <c r="W12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26" s="9">
        <f>+DATE(YEAR(Control[[#This Row],[Fecha Requisición]]),MONTH(Control[[#This Row],[Fecha Requisición]]),1)</f>
        <v>46204</v>
      </c>
      <c r="Y126" s="14" t="str">
        <f>+IF(Control[[#This Row],[Fecha de entrega]]="","",NETWORKDAYS(Control[[#This Row],[Fecha Requisición]],Control[[#This Row],[Fecha de entrega]]))</f>
        <v/>
      </c>
      <c r="Z126" s="15"/>
      <c r="AA126" s="13">
        <f>+_xlfn.ISOWEEKNUM(Control[[#This Row],[Fecha Requisición]])</f>
        <v>27</v>
      </c>
    </row>
    <row r="127" spans="1:27">
      <c r="A127" s="15" t="s">
        <v>862</v>
      </c>
      <c r="B127" s="15" t="s">
        <v>863</v>
      </c>
      <c r="C127" s="15" t="s">
        <v>877</v>
      </c>
      <c r="D127" s="15" t="s">
        <v>878</v>
      </c>
      <c r="E127" s="15">
        <v>98</v>
      </c>
      <c r="F127" s="15" t="s">
        <v>864</v>
      </c>
      <c r="G127" s="15" t="s">
        <v>865</v>
      </c>
      <c r="H127" s="15" t="s">
        <v>865</v>
      </c>
      <c r="I127" s="15" t="s">
        <v>865</v>
      </c>
      <c r="J127" s="15" t="s">
        <v>39</v>
      </c>
      <c r="K127" s="5"/>
      <c r="L127" s="5" t="s">
        <v>31</v>
      </c>
      <c r="M127" s="15" t="s">
        <v>879</v>
      </c>
      <c r="N127" s="15" t="s">
        <v>219</v>
      </c>
      <c r="O127" s="15" t="s">
        <v>866</v>
      </c>
      <c r="P127" s="15" t="s">
        <v>124</v>
      </c>
      <c r="Q127" s="15" t="s">
        <v>94</v>
      </c>
      <c r="R127" s="15" t="s">
        <v>880</v>
      </c>
      <c r="S127" s="15" t="s">
        <v>514</v>
      </c>
      <c r="T127" s="2">
        <v>46248</v>
      </c>
      <c r="U127" s="2">
        <v>46252</v>
      </c>
      <c r="V127" s="15" t="s">
        <v>642</v>
      </c>
      <c r="W12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7" s="9">
        <f>+DATE(YEAR(Control[[#This Row],[Fecha Requisición]]),MONTH(Control[[#This Row],[Fecha Requisición]]),1)</f>
        <v>46235</v>
      </c>
      <c r="Y127" s="14">
        <f>+IF(Control[[#This Row],[Fecha de entrega]]="","",NETWORKDAYS(Control[[#This Row],[Fecha Requisición]],Control[[#This Row],[Fecha de entrega]]))</f>
        <v>10</v>
      </c>
      <c r="Z127" s="15"/>
      <c r="AA127" s="13">
        <f>+_xlfn.ISOWEEKNUM(Control[[#This Row],[Fecha Requisición]])</f>
        <v>32</v>
      </c>
    </row>
    <row r="128" spans="1:27">
      <c r="A128" s="15" t="s">
        <v>867</v>
      </c>
      <c r="B128" s="15" t="s">
        <v>868</v>
      </c>
      <c r="C128" s="15" t="s">
        <v>892</v>
      </c>
      <c r="D128" s="15" t="s">
        <v>923</v>
      </c>
      <c r="E128" s="15">
        <v>99</v>
      </c>
      <c r="F128" s="15" t="s">
        <v>869</v>
      </c>
      <c r="G128" s="15" t="s">
        <v>870</v>
      </c>
      <c r="H128" s="15" t="s">
        <v>870</v>
      </c>
      <c r="I128" s="15" t="s">
        <v>870</v>
      </c>
      <c r="J128" s="15" t="s">
        <v>39</v>
      </c>
      <c r="K128" s="5">
        <v>430820</v>
      </c>
      <c r="L128" s="5" t="s">
        <v>55</v>
      </c>
      <c r="M128" s="15" t="s">
        <v>924</v>
      </c>
      <c r="N128" s="15" t="s">
        <v>204</v>
      </c>
      <c r="O128" s="15" t="s">
        <v>86</v>
      </c>
      <c r="P128" s="15" t="s">
        <v>58</v>
      </c>
      <c r="Q128" s="15" t="s">
        <v>36</v>
      </c>
      <c r="R128" s="15" t="s">
        <v>925</v>
      </c>
      <c r="S128" s="15" t="s">
        <v>514</v>
      </c>
      <c r="T128" s="2">
        <v>46248</v>
      </c>
      <c r="U128" s="2">
        <v>46251</v>
      </c>
      <c r="V128" s="15" t="s">
        <v>1032</v>
      </c>
      <c r="W12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8" s="9">
        <f>+DATE(YEAR(Control[[#This Row],[Fecha Requisición]]),MONTH(Control[[#This Row],[Fecha Requisición]]),1)</f>
        <v>46235</v>
      </c>
      <c r="Y128" s="14">
        <f>+IF(Control[[#This Row],[Fecha de entrega]]="","",NETWORKDAYS(Control[[#This Row],[Fecha Requisición]],Control[[#This Row],[Fecha de entrega]]))</f>
        <v>6</v>
      </c>
      <c r="Z128" s="15"/>
      <c r="AA128" s="13">
        <f>+_xlfn.ISOWEEKNUM(Control[[#This Row],[Fecha Requisición]])</f>
        <v>32</v>
      </c>
    </row>
    <row r="129" spans="1:27">
      <c r="A129" s="15" t="s">
        <v>867</v>
      </c>
      <c r="B129" s="15" t="s">
        <v>868</v>
      </c>
      <c r="C129" s="15" t="s">
        <v>892</v>
      </c>
      <c r="D129" s="15" t="s">
        <v>926</v>
      </c>
      <c r="E129" s="15">
        <v>99</v>
      </c>
      <c r="F129" s="15" t="s">
        <v>869</v>
      </c>
      <c r="G129" s="15" t="s">
        <v>870</v>
      </c>
      <c r="H129" s="15" t="s">
        <v>870</v>
      </c>
      <c r="I129" s="15" t="s">
        <v>870</v>
      </c>
      <c r="J129" s="15" t="s">
        <v>30</v>
      </c>
      <c r="K129" s="5">
        <v>175893</v>
      </c>
      <c r="L129" s="5" t="s">
        <v>55</v>
      </c>
      <c r="M129" s="15" t="s">
        <v>927</v>
      </c>
      <c r="N129" s="15" t="s">
        <v>204</v>
      </c>
      <c r="O129" s="15" t="s">
        <v>86</v>
      </c>
      <c r="P129" s="15" t="s">
        <v>58</v>
      </c>
      <c r="Q129" s="15" t="s">
        <v>36</v>
      </c>
      <c r="R129" s="15" t="s">
        <v>928</v>
      </c>
      <c r="S129" s="15" t="s">
        <v>514</v>
      </c>
      <c r="T129" s="2">
        <v>46248</v>
      </c>
      <c r="U129" s="2">
        <v>46251</v>
      </c>
      <c r="V129" s="15" t="s">
        <v>1032</v>
      </c>
      <c r="W12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9" s="9">
        <f>+DATE(YEAR(Control[[#This Row],[Fecha Requisición]]),MONTH(Control[[#This Row],[Fecha Requisición]]),1)</f>
        <v>46235</v>
      </c>
      <c r="Y129" s="14">
        <f>+IF(Control[[#This Row],[Fecha de entrega]]="","",NETWORKDAYS(Control[[#This Row],[Fecha Requisición]],Control[[#This Row],[Fecha de entrega]]))</f>
        <v>6</v>
      </c>
      <c r="Z129" s="15"/>
      <c r="AA129" s="13">
        <f>+_xlfn.ISOWEEKNUM(Control[[#This Row],[Fecha Requisición]])</f>
        <v>32</v>
      </c>
    </row>
    <row r="130" spans="1:27">
      <c r="A130" s="15" t="s">
        <v>867</v>
      </c>
      <c r="B130" s="15" t="s">
        <v>868</v>
      </c>
      <c r="C130" s="15" t="s">
        <v>892</v>
      </c>
      <c r="D130" s="15" t="s">
        <v>929</v>
      </c>
      <c r="E130" s="15">
        <v>99</v>
      </c>
      <c r="F130" s="15" t="s">
        <v>869</v>
      </c>
      <c r="G130" s="15" t="s">
        <v>870</v>
      </c>
      <c r="H130" s="15" t="s">
        <v>870</v>
      </c>
      <c r="I130" s="15" t="s">
        <v>870</v>
      </c>
      <c r="J130" s="15" t="s">
        <v>39</v>
      </c>
      <c r="K130" s="5">
        <v>582990</v>
      </c>
      <c r="L130" s="5" t="s">
        <v>55</v>
      </c>
      <c r="M130" s="15" t="s">
        <v>930</v>
      </c>
      <c r="N130" s="15" t="s">
        <v>204</v>
      </c>
      <c r="O130" s="15" t="s">
        <v>86</v>
      </c>
      <c r="P130" s="15" t="s">
        <v>58</v>
      </c>
      <c r="Q130" s="15" t="s">
        <v>36</v>
      </c>
      <c r="R130" s="15" t="s">
        <v>931</v>
      </c>
      <c r="S130" s="15" t="s">
        <v>514</v>
      </c>
      <c r="T130" s="2">
        <v>46248</v>
      </c>
      <c r="U130" s="2">
        <v>46251</v>
      </c>
      <c r="V130" s="15" t="s">
        <v>1032</v>
      </c>
      <c r="W13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0" s="9">
        <f>+DATE(YEAR(Control[[#This Row],[Fecha Requisición]]),MONTH(Control[[#This Row],[Fecha Requisición]]),1)</f>
        <v>46235</v>
      </c>
      <c r="Y130" s="14">
        <f>+IF(Control[[#This Row],[Fecha de entrega]]="","",NETWORKDAYS(Control[[#This Row],[Fecha Requisición]],Control[[#This Row],[Fecha de entrega]]))</f>
        <v>6</v>
      </c>
      <c r="Z130" s="15"/>
      <c r="AA130" s="13">
        <f>+_xlfn.ISOWEEKNUM(Control[[#This Row],[Fecha Requisición]])</f>
        <v>32</v>
      </c>
    </row>
    <row r="131" spans="1:27">
      <c r="A131" s="15" t="s">
        <v>867</v>
      </c>
      <c r="B131" s="15" t="s">
        <v>868</v>
      </c>
      <c r="C131" s="15" t="s">
        <v>892</v>
      </c>
      <c r="D131" s="15" t="s">
        <v>932</v>
      </c>
      <c r="E131" s="15">
        <v>99</v>
      </c>
      <c r="F131" s="15" t="s">
        <v>869</v>
      </c>
      <c r="G131" s="15" t="s">
        <v>870</v>
      </c>
      <c r="H131" s="15" t="s">
        <v>870</v>
      </c>
      <c r="I131" s="15" t="s">
        <v>870</v>
      </c>
      <c r="J131" s="15" t="s">
        <v>39</v>
      </c>
      <c r="K131" s="5">
        <v>259391</v>
      </c>
      <c r="L131" s="5" t="s">
        <v>55</v>
      </c>
      <c r="M131" s="15" t="s">
        <v>933</v>
      </c>
      <c r="N131" s="15" t="s">
        <v>204</v>
      </c>
      <c r="O131" s="15" t="s">
        <v>86</v>
      </c>
      <c r="P131" s="15" t="s">
        <v>58</v>
      </c>
      <c r="Q131" s="15" t="s">
        <v>36</v>
      </c>
      <c r="R131" s="15" t="s">
        <v>934</v>
      </c>
      <c r="S131" s="15" t="s">
        <v>514</v>
      </c>
      <c r="T131" s="2">
        <v>46248</v>
      </c>
      <c r="U131" s="2">
        <v>46251</v>
      </c>
      <c r="V131" s="15" t="s">
        <v>1032</v>
      </c>
      <c r="W13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1" s="9">
        <f>+DATE(YEAR(Control[[#This Row],[Fecha Requisición]]),MONTH(Control[[#This Row],[Fecha Requisición]]),1)</f>
        <v>46235</v>
      </c>
      <c r="Y131" s="14">
        <f>+IF(Control[[#This Row],[Fecha de entrega]]="","",NETWORKDAYS(Control[[#This Row],[Fecha Requisición]],Control[[#This Row],[Fecha de entrega]]))</f>
        <v>6</v>
      </c>
      <c r="Z131" s="15"/>
      <c r="AA131" s="13">
        <f>+_xlfn.ISOWEEKNUM(Control[[#This Row],[Fecha Requisición]])</f>
        <v>32</v>
      </c>
    </row>
    <row r="132" spans="1:27">
      <c r="A132" s="15" t="s">
        <v>867</v>
      </c>
      <c r="B132" s="15" t="s">
        <v>868</v>
      </c>
      <c r="C132" s="15" t="s">
        <v>892</v>
      </c>
      <c r="D132" s="15" t="s">
        <v>1239</v>
      </c>
      <c r="E132" s="15">
        <v>99</v>
      </c>
      <c r="F132" s="15" t="s">
        <v>869</v>
      </c>
      <c r="G132" s="15" t="s">
        <v>870</v>
      </c>
      <c r="H132" s="15" t="s">
        <v>870</v>
      </c>
      <c r="I132" s="15" t="s">
        <v>870</v>
      </c>
      <c r="J132" s="15" t="s">
        <v>30</v>
      </c>
      <c r="K132" s="5">
        <v>994840</v>
      </c>
      <c r="L132" s="5" t="s">
        <v>55</v>
      </c>
      <c r="M132" s="15" t="s">
        <v>1090</v>
      </c>
      <c r="N132" s="15" t="s">
        <v>204</v>
      </c>
      <c r="O132" s="15" t="s">
        <v>86</v>
      </c>
      <c r="P132" s="15" t="s">
        <v>58</v>
      </c>
      <c r="Q132" s="15" t="s">
        <v>36</v>
      </c>
      <c r="R132" s="15" t="s">
        <v>1240</v>
      </c>
      <c r="S132" s="15" t="s">
        <v>514</v>
      </c>
      <c r="T132" s="2">
        <v>46248</v>
      </c>
      <c r="U132" s="2">
        <v>46251</v>
      </c>
      <c r="V132" s="15" t="s">
        <v>1032</v>
      </c>
      <c r="W13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2" s="9">
        <f>+DATE(YEAR(Control[[#This Row],[Fecha Requisición]]),MONTH(Control[[#This Row],[Fecha Requisición]]),1)</f>
        <v>46235</v>
      </c>
      <c r="Y132" s="14">
        <f>+IF(Control[[#This Row],[Fecha de entrega]]="","",NETWORKDAYS(Control[[#This Row],[Fecha Requisición]],Control[[#This Row],[Fecha de entrega]]))</f>
        <v>6</v>
      </c>
      <c r="Z132" s="15"/>
      <c r="AA132" s="13">
        <f>+_xlfn.ISOWEEKNUM(Control[[#This Row],[Fecha Requisición]])</f>
        <v>32</v>
      </c>
    </row>
    <row r="133" spans="1:27">
      <c r="A133" s="15" t="s">
        <v>881</v>
      </c>
      <c r="B133" s="15" t="s">
        <v>882</v>
      </c>
      <c r="C133" s="15" t="s">
        <v>891</v>
      </c>
      <c r="D133" s="15" t="s">
        <v>883</v>
      </c>
      <c r="E133" s="15">
        <v>100</v>
      </c>
      <c r="F133" s="15" t="s">
        <v>884</v>
      </c>
      <c r="G133" s="15" t="s">
        <v>885</v>
      </c>
      <c r="H133" s="15" t="s">
        <v>885</v>
      </c>
      <c r="I133" s="15" t="s">
        <v>885</v>
      </c>
      <c r="J133" s="15" t="s">
        <v>30</v>
      </c>
      <c r="K133" s="5">
        <v>536000</v>
      </c>
      <c r="L133" s="5" t="s">
        <v>55</v>
      </c>
      <c r="M133" s="15" t="s">
        <v>886</v>
      </c>
      <c r="N133" s="15" t="s">
        <v>383</v>
      </c>
      <c r="O133" s="15" t="s">
        <v>384</v>
      </c>
      <c r="P133" s="15" t="s">
        <v>58</v>
      </c>
      <c r="Q133" s="15" t="s">
        <v>36</v>
      </c>
      <c r="R133" s="15" t="s">
        <v>887</v>
      </c>
      <c r="S133" s="15" t="s">
        <v>514</v>
      </c>
      <c r="T133" s="2">
        <v>46248</v>
      </c>
      <c r="U133" s="2">
        <v>46244</v>
      </c>
      <c r="V133" s="15" t="s">
        <v>642</v>
      </c>
      <c r="W13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3" s="9">
        <f>+DATE(YEAR(Control[[#This Row],[Fecha Requisición]]),MONTH(Control[[#This Row],[Fecha Requisición]]),1)</f>
        <v>46235</v>
      </c>
      <c r="Y133" s="14">
        <f>+IF(Control[[#This Row],[Fecha de entrega]]="","",NETWORKDAYS(Control[[#This Row],[Fecha Requisición]],Control[[#This Row],[Fecha de entrega]]))</f>
        <v>3</v>
      </c>
      <c r="Z133" s="15"/>
      <c r="AA133" s="13">
        <f>+_xlfn.ISOWEEKNUM(Control[[#This Row],[Fecha Requisición]])</f>
        <v>32</v>
      </c>
    </row>
    <row r="134" spans="1:27">
      <c r="A134" s="15" t="s">
        <v>888</v>
      </c>
      <c r="B134" s="15" t="s">
        <v>889</v>
      </c>
      <c r="C134" s="15" t="s">
        <v>893</v>
      </c>
      <c r="D134" s="15" t="s">
        <v>935</v>
      </c>
      <c r="E134" s="15">
        <v>101</v>
      </c>
      <c r="F134" s="15" t="s">
        <v>890</v>
      </c>
      <c r="G134" s="15" t="s">
        <v>885</v>
      </c>
      <c r="H134" s="15" t="s">
        <v>885</v>
      </c>
      <c r="I134" s="15" t="s">
        <v>885</v>
      </c>
      <c r="J134" s="15" t="s">
        <v>30</v>
      </c>
      <c r="K134" s="5"/>
      <c r="L134" s="5" t="s">
        <v>31</v>
      </c>
      <c r="M134" s="15" t="s">
        <v>936</v>
      </c>
      <c r="N134" s="15" t="s">
        <v>307</v>
      </c>
      <c r="O134" s="15" t="s">
        <v>86</v>
      </c>
      <c r="P134" s="15" t="s">
        <v>124</v>
      </c>
      <c r="Q134" s="15" t="s">
        <v>36</v>
      </c>
      <c r="R134" s="15" t="s">
        <v>937</v>
      </c>
      <c r="S134" s="15" t="s">
        <v>514</v>
      </c>
      <c r="U134" s="2">
        <v>46247</v>
      </c>
      <c r="V134" s="15" t="s">
        <v>642</v>
      </c>
      <c r="W13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4" s="9">
        <f>+DATE(YEAR(Control[[#This Row],[Fecha Requisición]]),MONTH(Control[[#This Row],[Fecha Requisición]]),1)</f>
        <v>46235</v>
      </c>
      <c r="Y134" s="14">
        <f>+IF(Control[[#This Row],[Fecha de entrega]]="","",NETWORKDAYS(Control[[#This Row],[Fecha Requisición]],Control[[#This Row],[Fecha de entrega]]))</f>
        <v>6</v>
      </c>
      <c r="Z134" s="15"/>
      <c r="AA134" s="13">
        <f>+_xlfn.ISOWEEKNUM(Control[[#This Row],[Fecha Requisición]])</f>
        <v>32</v>
      </c>
    </row>
    <row r="135" spans="1:27">
      <c r="A135" s="15" t="s">
        <v>894</v>
      </c>
      <c r="B135" s="15" t="s">
        <v>895</v>
      </c>
      <c r="C135" s="15" t="s">
        <v>896</v>
      </c>
      <c r="D135" s="15" t="s">
        <v>956</v>
      </c>
      <c r="E135" s="15">
        <v>102</v>
      </c>
      <c r="F135" s="15" t="s">
        <v>897</v>
      </c>
      <c r="G135" s="15" t="s">
        <v>898</v>
      </c>
      <c r="H135" s="15" t="s">
        <v>898</v>
      </c>
      <c r="I135" s="15" t="s">
        <v>898</v>
      </c>
      <c r="J135" s="15" t="s">
        <v>39</v>
      </c>
      <c r="K135" s="5"/>
      <c r="L135" s="5" t="s">
        <v>31</v>
      </c>
      <c r="M135" s="15" t="s">
        <v>957</v>
      </c>
      <c r="N135" s="15" t="s">
        <v>219</v>
      </c>
      <c r="O135" s="15" t="s">
        <v>866</v>
      </c>
      <c r="P135" s="15"/>
      <c r="Q135" s="15" t="s">
        <v>36</v>
      </c>
      <c r="R135" s="15" t="s">
        <v>958</v>
      </c>
      <c r="S135" s="15" t="s">
        <v>514</v>
      </c>
      <c r="T135" s="2">
        <v>46248</v>
      </c>
      <c r="U135" s="2">
        <v>46248</v>
      </c>
      <c r="V135" s="15" t="s">
        <v>642</v>
      </c>
      <c r="W13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5" s="9">
        <f>+DATE(YEAR(Control[[#This Row],[Fecha Requisición]]),MONTH(Control[[#This Row],[Fecha Requisición]]),1)</f>
        <v>46235</v>
      </c>
      <c r="Y135" s="14">
        <f>+IF(Control[[#This Row],[Fecha de entrega]]="","",NETWORKDAYS(Control[[#This Row],[Fecha Requisición]],Control[[#This Row],[Fecha de entrega]]))</f>
        <v>6</v>
      </c>
      <c r="Z135" s="15"/>
      <c r="AA135" s="13">
        <f>+_xlfn.ISOWEEKNUM(Control[[#This Row],[Fecha Requisición]])</f>
        <v>32</v>
      </c>
    </row>
    <row r="136" spans="1:27">
      <c r="A136" s="15" t="s">
        <v>899</v>
      </c>
      <c r="B136" s="15" t="s">
        <v>900</v>
      </c>
      <c r="C136" s="15" t="s">
        <v>901</v>
      </c>
      <c r="D136" s="15" t="s">
        <v>959</v>
      </c>
      <c r="E136" s="15">
        <v>103</v>
      </c>
      <c r="F136" s="15" t="s">
        <v>902</v>
      </c>
      <c r="G136" s="15" t="s">
        <v>898</v>
      </c>
      <c r="H136" s="15" t="s">
        <v>898</v>
      </c>
      <c r="I136" s="15" t="s">
        <v>898</v>
      </c>
      <c r="J136" s="15" t="s">
        <v>39</v>
      </c>
      <c r="K136" s="5">
        <v>1662073</v>
      </c>
      <c r="L136" s="5" t="s">
        <v>55</v>
      </c>
      <c r="M136" s="15" t="s">
        <v>960</v>
      </c>
      <c r="N136" s="15" t="s">
        <v>903</v>
      </c>
      <c r="O136" s="15" t="s">
        <v>384</v>
      </c>
      <c r="P136" s="15" t="s">
        <v>58</v>
      </c>
      <c r="Q136" s="15" t="s">
        <v>36</v>
      </c>
      <c r="R136" s="15" t="s">
        <v>961</v>
      </c>
      <c r="S136" s="15" t="s">
        <v>641</v>
      </c>
      <c r="T136" s="2">
        <v>46248</v>
      </c>
      <c r="V136" s="15" t="s">
        <v>1214</v>
      </c>
      <c r="W13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36" s="9">
        <f>+DATE(YEAR(Control[[#This Row],[Fecha Requisición]]),MONTH(Control[[#This Row],[Fecha Requisición]]),1)</f>
        <v>46235</v>
      </c>
      <c r="Y136" s="14" t="str">
        <f>+IF(Control[[#This Row],[Fecha de entrega]]="","",NETWORKDAYS(Control[[#This Row],[Fecha Requisición]],Control[[#This Row],[Fecha de entrega]]))</f>
        <v/>
      </c>
      <c r="Z136" s="15"/>
      <c r="AA136" s="13">
        <f>+_xlfn.ISOWEEKNUM(Control[[#This Row],[Fecha Requisición]])</f>
        <v>32</v>
      </c>
    </row>
    <row r="137" spans="1:27">
      <c r="A137" s="15" t="s">
        <v>904</v>
      </c>
      <c r="B137" s="15" t="s">
        <v>905</v>
      </c>
      <c r="C137" s="15" t="s">
        <v>906</v>
      </c>
      <c r="D137" s="15" t="s">
        <v>945</v>
      </c>
      <c r="E137" s="15">
        <v>104</v>
      </c>
      <c r="F137" s="15" t="s">
        <v>907</v>
      </c>
      <c r="G137" s="15" t="s">
        <v>908</v>
      </c>
      <c r="H137" s="15" t="s">
        <v>908</v>
      </c>
      <c r="I137" s="15" t="s">
        <v>908</v>
      </c>
      <c r="J137" s="15" t="s">
        <v>30</v>
      </c>
      <c r="K137" s="5"/>
      <c r="L137" s="5" t="s">
        <v>31</v>
      </c>
      <c r="M137" s="15" t="s">
        <v>936</v>
      </c>
      <c r="N137" s="15" t="s">
        <v>909</v>
      </c>
      <c r="O137" s="15" t="s">
        <v>34</v>
      </c>
      <c r="P137" s="15" t="s">
        <v>273</v>
      </c>
      <c r="Q137" s="15" t="s">
        <v>36</v>
      </c>
      <c r="R137" s="15" t="s">
        <v>946</v>
      </c>
      <c r="S137" s="15" t="s">
        <v>514</v>
      </c>
      <c r="U137" s="2">
        <v>46247</v>
      </c>
      <c r="V137" s="15" t="s">
        <v>642</v>
      </c>
      <c r="W13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7" s="9">
        <f>+DATE(YEAR(Control[[#This Row],[Fecha Requisición]]),MONTH(Control[[#This Row],[Fecha Requisición]]),1)</f>
        <v>46235</v>
      </c>
      <c r="Y137" s="14">
        <f>+IF(Control[[#This Row],[Fecha de entrega]]="","",NETWORKDAYS(Control[[#This Row],[Fecha Requisición]],Control[[#This Row],[Fecha de entrega]]))</f>
        <v>3</v>
      </c>
      <c r="Z137" s="15"/>
      <c r="AA137" s="13">
        <f>+_xlfn.ISOWEEKNUM(Control[[#This Row],[Fecha Requisición]])</f>
        <v>33</v>
      </c>
    </row>
    <row r="138" spans="1:27">
      <c r="A138" s="15" t="s">
        <v>910</v>
      </c>
      <c r="B138" s="15" t="s">
        <v>911</v>
      </c>
      <c r="C138" s="15" t="s">
        <v>912</v>
      </c>
      <c r="D138" s="15" t="s">
        <v>962</v>
      </c>
      <c r="E138" s="15">
        <v>105</v>
      </c>
      <c r="F138" s="15" t="s">
        <v>913</v>
      </c>
      <c r="G138" s="15" t="s">
        <v>908</v>
      </c>
      <c r="H138" s="15" t="s">
        <v>908</v>
      </c>
      <c r="I138" s="15" t="s">
        <v>908</v>
      </c>
      <c r="J138" s="15" t="s">
        <v>39</v>
      </c>
      <c r="K138" s="5">
        <v>353930</v>
      </c>
      <c r="L138" s="5" t="s">
        <v>55</v>
      </c>
      <c r="M138" s="15" t="s">
        <v>963</v>
      </c>
      <c r="N138" s="15" t="s">
        <v>903</v>
      </c>
      <c r="O138" s="15" t="s">
        <v>384</v>
      </c>
      <c r="P138" s="15" t="s">
        <v>58</v>
      </c>
      <c r="Q138" s="15" t="s">
        <v>36</v>
      </c>
      <c r="R138" s="15" t="s">
        <v>964</v>
      </c>
      <c r="S138" s="15" t="s">
        <v>514</v>
      </c>
      <c r="T138" s="2">
        <v>46248</v>
      </c>
      <c r="U138" s="2">
        <v>46252</v>
      </c>
      <c r="V138" s="15" t="s">
        <v>642</v>
      </c>
      <c r="W13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8" s="9">
        <f>+DATE(YEAR(Control[[#This Row],[Fecha Requisición]]),MONTH(Control[[#This Row],[Fecha Requisición]]),1)</f>
        <v>46235</v>
      </c>
      <c r="Y138" s="14">
        <f>+IF(Control[[#This Row],[Fecha de entrega]]="","",NETWORKDAYS(Control[[#This Row],[Fecha Requisición]],Control[[#This Row],[Fecha de entrega]]))</f>
        <v>6</v>
      </c>
      <c r="Z138" s="15"/>
      <c r="AA138" s="13">
        <f>+_xlfn.ISOWEEKNUM(Control[[#This Row],[Fecha Requisición]])</f>
        <v>33</v>
      </c>
    </row>
    <row r="139" spans="1:27">
      <c r="A139" s="15" t="s">
        <v>938</v>
      </c>
      <c r="B139" s="15" t="s">
        <v>939</v>
      </c>
      <c r="C139" s="15" t="s">
        <v>965</v>
      </c>
      <c r="D139" s="15" t="s">
        <v>1100</v>
      </c>
      <c r="E139" s="15">
        <v>106</v>
      </c>
      <c r="F139" s="15" t="s">
        <v>940</v>
      </c>
      <c r="G139" s="15" t="s">
        <v>941</v>
      </c>
      <c r="H139" s="15" t="s">
        <v>941</v>
      </c>
      <c r="I139" s="15" t="s">
        <v>941</v>
      </c>
      <c r="J139" s="15" t="s">
        <v>39</v>
      </c>
      <c r="K139" s="5"/>
      <c r="L139" s="5" t="s">
        <v>31</v>
      </c>
      <c r="M139" s="15" t="s">
        <v>1101</v>
      </c>
      <c r="N139" s="15" t="s">
        <v>204</v>
      </c>
      <c r="O139" s="15" t="s">
        <v>57</v>
      </c>
      <c r="P139" s="15" t="s">
        <v>58</v>
      </c>
      <c r="Q139" s="15" t="s">
        <v>36</v>
      </c>
      <c r="R139" s="15" t="s">
        <v>1102</v>
      </c>
      <c r="S139" s="15" t="s">
        <v>514</v>
      </c>
      <c r="U139" s="2">
        <v>46252</v>
      </c>
      <c r="V139" s="15" t="s">
        <v>642</v>
      </c>
      <c r="W13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9" s="9">
        <f>+DATE(YEAR(Control[[#This Row],[Fecha Requisición]]),MONTH(Control[[#This Row],[Fecha Requisición]]),1)</f>
        <v>46235</v>
      </c>
      <c r="Y139" s="14">
        <f>+IF(Control[[#This Row],[Fecha de entrega]]="","",NETWORKDAYS(Control[[#This Row],[Fecha Requisición]],Control[[#This Row],[Fecha de entrega]]))</f>
        <v>5</v>
      </c>
      <c r="Z139" s="15"/>
      <c r="AA139" s="13">
        <f>+_xlfn.ISOWEEKNUM(Control[[#This Row],[Fecha Requisición]])</f>
        <v>33</v>
      </c>
    </row>
    <row r="140" spans="1:27">
      <c r="A140" s="15" t="s">
        <v>938</v>
      </c>
      <c r="B140" s="15" t="s">
        <v>939</v>
      </c>
      <c r="C140" s="15" t="s">
        <v>965</v>
      </c>
      <c r="D140" s="15" t="s">
        <v>1103</v>
      </c>
      <c r="E140" s="15">
        <v>106</v>
      </c>
      <c r="F140" s="15" t="s">
        <v>940</v>
      </c>
      <c r="G140" s="15" t="s">
        <v>941</v>
      </c>
      <c r="H140" s="15" t="s">
        <v>941</v>
      </c>
      <c r="I140" s="15" t="s">
        <v>941</v>
      </c>
      <c r="J140" s="15" t="s">
        <v>30</v>
      </c>
      <c r="K140" s="5"/>
      <c r="L140" s="5" t="s">
        <v>31</v>
      </c>
      <c r="M140" s="15" t="s">
        <v>1104</v>
      </c>
      <c r="N140" s="15" t="s">
        <v>204</v>
      </c>
      <c r="O140" s="15" t="s">
        <v>57</v>
      </c>
      <c r="P140" s="15" t="s">
        <v>58</v>
      </c>
      <c r="Q140" s="15" t="s">
        <v>36</v>
      </c>
      <c r="R140" s="15" t="s">
        <v>1105</v>
      </c>
      <c r="S140" s="15" t="s">
        <v>514</v>
      </c>
      <c r="U140" s="2">
        <v>46252</v>
      </c>
      <c r="V140" s="15" t="s">
        <v>642</v>
      </c>
      <c r="W14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0" s="9">
        <f>+DATE(YEAR(Control[[#This Row],[Fecha Requisición]]),MONTH(Control[[#This Row],[Fecha Requisición]]),1)</f>
        <v>46235</v>
      </c>
      <c r="Y140" s="14">
        <f>+IF(Control[[#This Row],[Fecha de entrega]]="","",NETWORKDAYS(Control[[#This Row],[Fecha Requisición]],Control[[#This Row],[Fecha de entrega]]))</f>
        <v>5</v>
      </c>
      <c r="Z140" s="15"/>
      <c r="AA140" s="13">
        <f>+_xlfn.ISOWEEKNUM(Control[[#This Row],[Fecha Requisición]])</f>
        <v>33</v>
      </c>
    </row>
    <row r="141" spans="1:27">
      <c r="A141" s="15" t="s">
        <v>938</v>
      </c>
      <c r="B141" s="15" t="s">
        <v>939</v>
      </c>
      <c r="C141" s="15" t="s">
        <v>965</v>
      </c>
      <c r="D141" s="15" t="s">
        <v>1106</v>
      </c>
      <c r="E141" s="15">
        <v>106</v>
      </c>
      <c r="F141" s="15" t="s">
        <v>940</v>
      </c>
      <c r="G141" s="15" t="s">
        <v>941</v>
      </c>
      <c r="H141" s="15" t="s">
        <v>941</v>
      </c>
      <c r="I141" s="15" t="s">
        <v>941</v>
      </c>
      <c r="J141" s="15" t="s">
        <v>39</v>
      </c>
      <c r="K141" s="5"/>
      <c r="L141" s="5" t="s">
        <v>31</v>
      </c>
      <c r="M141" s="15" t="s">
        <v>924</v>
      </c>
      <c r="N141" s="15" t="s">
        <v>204</v>
      </c>
      <c r="O141" s="15" t="s">
        <v>57</v>
      </c>
      <c r="P141" s="15" t="s">
        <v>58</v>
      </c>
      <c r="Q141" s="15" t="s">
        <v>36</v>
      </c>
      <c r="R141" s="15" t="s">
        <v>1107</v>
      </c>
      <c r="S141" s="15" t="s">
        <v>514</v>
      </c>
      <c r="U141" s="2">
        <v>46252</v>
      </c>
      <c r="V141" s="15" t="s">
        <v>642</v>
      </c>
      <c r="W14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1" s="9">
        <f>+DATE(YEAR(Control[[#This Row],[Fecha Requisición]]),MONTH(Control[[#This Row],[Fecha Requisición]]),1)</f>
        <v>46235</v>
      </c>
      <c r="Y141" s="14">
        <f>+IF(Control[[#This Row],[Fecha de entrega]]="","",NETWORKDAYS(Control[[#This Row],[Fecha Requisición]],Control[[#This Row],[Fecha de entrega]]))</f>
        <v>5</v>
      </c>
      <c r="Z141" s="15"/>
      <c r="AA141" s="13">
        <f>+_xlfn.ISOWEEKNUM(Control[[#This Row],[Fecha Requisición]])</f>
        <v>33</v>
      </c>
    </row>
    <row r="142" spans="1:27">
      <c r="A142" s="15" t="s">
        <v>938</v>
      </c>
      <c r="B142" s="15" t="s">
        <v>939</v>
      </c>
      <c r="C142" s="15" t="s">
        <v>965</v>
      </c>
      <c r="D142" s="15" t="s">
        <v>993</v>
      </c>
      <c r="E142" s="15">
        <v>106</v>
      </c>
      <c r="F142" s="15" t="s">
        <v>940</v>
      </c>
      <c r="G142" s="15" t="s">
        <v>941</v>
      </c>
      <c r="H142" s="15" t="s">
        <v>941</v>
      </c>
      <c r="I142" s="15" t="s">
        <v>941</v>
      </c>
      <c r="J142" s="15" t="s">
        <v>30</v>
      </c>
      <c r="K142" s="5"/>
      <c r="L142" s="5" t="s">
        <v>31</v>
      </c>
      <c r="M142" s="15" t="s">
        <v>927</v>
      </c>
      <c r="N142" s="15" t="s">
        <v>204</v>
      </c>
      <c r="O142" s="15" t="s">
        <v>57</v>
      </c>
      <c r="P142" s="15" t="s">
        <v>58</v>
      </c>
      <c r="Q142" s="15" t="s">
        <v>36</v>
      </c>
      <c r="R142" s="15" t="s">
        <v>994</v>
      </c>
      <c r="S142" s="15" t="s">
        <v>514</v>
      </c>
      <c r="U142" s="2">
        <v>46252</v>
      </c>
      <c r="V142" s="15" t="s">
        <v>642</v>
      </c>
      <c r="W14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2" s="9">
        <f>+DATE(YEAR(Control[[#This Row],[Fecha Requisición]]),MONTH(Control[[#This Row],[Fecha Requisición]]),1)</f>
        <v>46235</v>
      </c>
      <c r="Y142" s="14">
        <f>+IF(Control[[#This Row],[Fecha de entrega]]="","",NETWORKDAYS(Control[[#This Row],[Fecha Requisición]],Control[[#This Row],[Fecha de entrega]]))</f>
        <v>5</v>
      </c>
      <c r="Z142" s="15"/>
      <c r="AA142" s="13">
        <f>+_xlfn.ISOWEEKNUM(Control[[#This Row],[Fecha Requisición]])</f>
        <v>33</v>
      </c>
    </row>
    <row r="143" spans="1:27">
      <c r="A143" s="15" t="s">
        <v>938</v>
      </c>
      <c r="B143" s="15" t="s">
        <v>939</v>
      </c>
      <c r="C143" s="15" t="s">
        <v>965</v>
      </c>
      <c r="D143" s="15" t="s">
        <v>1108</v>
      </c>
      <c r="E143" s="15">
        <v>106</v>
      </c>
      <c r="F143" s="15" t="s">
        <v>940</v>
      </c>
      <c r="G143" s="15" t="s">
        <v>941</v>
      </c>
      <c r="H143" s="15" t="s">
        <v>941</v>
      </c>
      <c r="I143" s="15" t="s">
        <v>941</v>
      </c>
      <c r="J143" s="15" t="s">
        <v>39</v>
      </c>
      <c r="K143" s="5"/>
      <c r="L143" s="5" t="s">
        <v>31</v>
      </c>
      <c r="M143" s="15" t="s">
        <v>930</v>
      </c>
      <c r="N143" s="15" t="s">
        <v>204</v>
      </c>
      <c r="O143" s="15" t="s">
        <v>57</v>
      </c>
      <c r="P143" s="15" t="s">
        <v>58</v>
      </c>
      <c r="Q143" s="15" t="s">
        <v>36</v>
      </c>
      <c r="R143" s="15" t="s">
        <v>1109</v>
      </c>
      <c r="S143" s="15" t="s">
        <v>514</v>
      </c>
      <c r="U143" s="2">
        <v>46252</v>
      </c>
      <c r="V143" s="15" t="s">
        <v>642</v>
      </c>
      <c r="W14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3" s="9">
        <f>+DATE(YEAR(Control[[#This Row],[Fecha Requisición]]),MONTH(Control[[#This Row],[Fecha Requisición]]),1)</f>
        <v>46235</v>
      </c>
      <c r="Y143" s="14">
        <f>+IF(Control[[#This Row],[Fecha de entrega]]="","",NETWORKDAYS(Control[[#This Row],[Fecha Requisición]],Control[[#This Row],[Fecha de entrega]]))</f>
        <v>5</v>
      </c>
      <c r="Z143" s="15"/>
      <c r="AA143" s="13">
        <f>+_xlfn.ISOWEEKNUM(Control[[#This Row],[Fecha Requisición]])</f>
        <v>33</v>
      </c>
    </row>
    <row r="144" spans="1:27">
      <c r="A144" s="15" t="s">
        <v>942</v>
      </c>
      <c r="B144" s="15" t="s">
        <v>943</v>
      </c>
      <c r="C144" s="15" t="s">
        <v>966</v>
      </c>
      <c r="D144" s="15" t="s">
        <v>1144</v>
      </c>
      <c r="E144" s="15">
        <v>107</v>
      </c>
      <c r="F144" s="15" t="s">
        <v>944</v>
      </c>
      <c r="G144" s="15" t="s">
        <v>941</v>
      </c>
      <c r="H144" s="15" t="s">
        <v>941</v>
      </c>
      <c r="I144" s="15" t="s">
        <v>941</v>
      </c>
      <c r="J144" s="15" t="s">
        <v>39</v>
      </c>
      <c r="K144" s="5">
        <v>136374</v>
      </c>
      <c r="L144" s="5" t="s">
        <v>55</v>
      </c>
      <c r="M144" s="15" t="s">
        <v>1145</v>
      </c>
      <c r="N144" s="15" t="s">
        <v>204</v>
      </c>
      <c r="O144" s="15" t="s">
        <v>57</v>
      </c>
      <c r="P144" s="15" t="s">
        <v>58</v>
      </c>
      <c r="Q144" s="15" t="s">
        <v>36</v>
      </c>
      <c r="R144" s="15" t="s">
        <v>1146</v>
      </c>
      <c r="S144" s="15" t="s">
        <v>514</v>
      </c>
      <c r="U144" s="2">
        <v>46252</v>
      </c>
      <c r="V144" s="15" t="s">
        <v>642</v>
      </c>
      <c r="W14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4" s="9">
        <f>+DATE(YEAR(Control[[#This Row],[Fecha Requisición]]),MONTH(Control[[#This Row],[Fecha Requisición]]),1)</f>
        <v>46235</v>
      </c>
      <c r="Y144" s="14">
        <f>+IF(Control[[#This Row],[Fecha de entrega]]="","",NETWORKDAYS(Control[[#This Row],[Fecha Requisición]],Control[[#This Row],[Fecha de entrega]]))</f>
        <v>5</v>
      </c>
      <c r="Z144" s="15"/>
      <c r="AA144" s="13">
        <f>+_xlfn.ISOWEEKNUM(Control[[#This Row],[Fecha Requisición]])</f>
        <v>33</v>
      </c>
    </row>
    <row r="145" spans="1:27">
      <c r="A145" s="15" t="s">
        <v>942</v>
      </c>
      <c r="B145" s="15" t="s">
        <v>943</v>
      </c>
      <c r="C145" s="15" t="s">
        <v>966</v>
      </c>
      <c r="D145" s="15" t="s">
        <v>1147</v>
      </c>
      <c r="E145" s="15">
        <v>107</v>
      </c>
      <c r="F145" s="15" t="s">
        <v>944</v>
      </c>
      <c r="G145" s="15" t="s">
        <v>941</v>
      </c>
      <c r="H145" s="15" t="s">
        <v>941</v>
      </c>
      <c r="I145" s="15" t="s">
        <v>941</v>
      </c>
      <c r="J145" s="15" t="s">
        <v>30</v>
      </c>
      <c r="K145" s="5">
        <v>1572094</v>
      </c>
      <c r="L145" s="5" t="s">
        <v>55</v>
      </c>
      <c r="M145" s="15" t="s">
        <v>1090</v>
      </c>
      <c r="N145" s="15" t="s">
        <v>204</v>
      </c>
      <c r="O145" s="15" t="s">
        <v>57</v>
      </c>
      <c r="P145" s="15" t="s">
        <v>58</v>
      </c>
      <c r="Q145" s="15" t="s">
        <v>36</v>
      </c>
      <c r="R145" s="15" t="s">
        <v>1148</v>
      </c>
      <c r="S145" s="15" t="s">
        <v>514</v>
      </c>
      <c r="U145" s="2">
        <v>46252</v>
      </c>
      <c r="V145" s="15" t="s">
        <v>642</v>
      </c>
      <c r="W14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5" s="9">
        <f>+DATE(YEAR(Control[[#This Row],[Fecha Requisición]]),MONTH(Control[[#This Row],[Fecha Requisición]]),1)</f>
        <v>46235</v>
      </c>
      <c r="Y145" s="14">
        <f>+IF(Control[[#This Row],[Fecha de entrega]]="","",NETWORKDAYS(Control[[#This Row],[Fecha Requisición]],Control[[#This Row],[Fecha de entrega]]))</f>
        <v>5</v>
      </c>
      <c r="Z145" s="15"/>
      <c r="AA145" s="13">
        <f>+_xlfn.ISOWEEKNUM(Control[[#This Row],[Fecha Requisición]])</f>
        <v>33</v>
      </c>
    </row>
    <row r="146" spans="1:27">
      <c r="A146" s="15" t="s">
        <v>942</v>
      </c>
      <c r="B146" s="15" t="s">
        <v>943</v>
      </c>
      <c r="C146" s="15" t="s">
        <v>966</v>
      </c>
      <c r="D146" s="15" t="s">
        <v>1149</v>
      </c>
      <c r="E146" s="15">
        <v>107</v>
      </c>
      <c r="F146" s="15" t="s">
        <v>944</v>
      </c>
      <c r="G146" s="15" t="s">
        <v>941</v>
      </c>
      <c r="H146" s="15" t="s">
        <v>941</v>
      </c>
      <c r="I146" s="15" t="s">
        <v>941</v>
      </c>
      <c r="J146" s="15" t="s">
        <v>39</v>
      </c>
      <c r="K146" s="5">
        <v>80325</v>
      </c>
      <c r="L146" s="5" t="s">
        <v>55</v>
      </c>
      <c r="M146" s="15" t="s">
        <v>924</v>
      </c>
      <c r="N146" s="15" t="s">
        <v>204</v>
      </c>
      <c r="O146" s="15" t="s">
        <v>57</v>
      </c>
      <c r="P146" s="15" t="s">
        <v>58</v>
      </c>
      <c r="Q146" s="15" t="s">
        <v>36</v>
      </c>
      <c r="R146" s="15" t="s">
        <v>1150</v>
      </c>
      <c r="S146" s="15" t="s">
        <v>514</v>
      </c>
      <c r="U146" s="2">
        <v>46252</v>
      </c>
      <c r="V146" s="15" t="s">
        <v>642</v>
      </c>
      <c r="W14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6" s="9">
        <f>+DATE(YEAR(Control[[#This Row],[Fecha Requisición]]),MONTH(Control[[#This Row],[Fecha Requisición]]),1)</f>
        <v>46235</v>
      </c>
      <c r="Y146" s="14">
        <f>+IF(Control[[#This Row],[Fecha de entrega]]="","",NETWORKDAYS(Control[[#This Row],[Fecha Requisición]],Control[[#This Row],[Fecha de entrega]]))</f>
        <v>5</v>
      </c>
      <c r="Z146" s="15"/>
      <c r="AA146" s="13">
        <f>+_xlfn.ISOWEEKNUM(Control[[#This Row],[Fecha Requisición]])</f>
        <v>33</v>
      </c>
    </row>
    <row r="147" spans="1:27">
      <c r="A147" s="15" t="s">
        <v>942</v>
      </c>
      <c r="B147" s="15" t="s">
        <v>943</v>
      </c>
      <c r="C147" s="15" t="s">
        <v>966</v>
      </c>
      <c r="D147" s="15" t="s">
        <v>995</v>
      </c>
      <c r="E147" s="15">
        <v>107</v>
      </c>
      <c r="F147" s="15" t="s">
        <v>944</v>
      </c>
      <c r="G147" s="15" t="s">
        <v>941</v>
      </c>
      <c r="H147" s="15" t="s">
        <v>941</v>
      </c>
      <c r="I147" s="15" t="s">
        <v>941</v>
      </c>
      <c r="J147" s="15" t="s">
        <v>30</v>
      </c>
      <c r="K147" s="5">
        <v>1672516</v>
      </c>
      <c r="L147" s="5" t="s">
        <v>55</v>
      </c>
      <c r="M147" s="15" t="s">
        <v>996</v>
      </c>
      <c r="N147" s="15" t="s">
        <v>204</v>
      </c>
      <c r="O147" s="15" t="s">
        <v>57</v>
      </c>
      <c r="P147" s="15" t="s">
        <v>58</v>
      </c>
      <c r="Q147" s="15" t="s">
        <v>36</v>
      </c>
      <c r="R147" s="15" t="s">
        <v>997</v>
      </c>
      <c r="S147" s="15" t="s">
        <v>514</v>
      </c>
      <c r="U147" s="2">
        <v>46252</v>
      </c>
      <c r="V147" s="15" t="s">
        <v>642</v>
      </c>
      <c r="W14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7" s="9">
        <f>+DATE(YEAR(Control[[#This Row],[Fecha Requisición]]),MONTH(Control[[#This Row],[Fecha Requisición]]),1)</f>
        <v>46235</v>
      </c>
      <c r="Y147" s="14">
        <f>+IF(Control[[#This Row],[Fecha de entrega]]="","",NETWORKDAYS(Control[[#This Row],[Fecha Requisición]],Control[[#This Row],[Fecha de entrega]]))</f>
        <v>5</v>
      </c>
      <c r="Z147" s="15"/>
      <c r="AA147" s="13">
        <f>+_xlfn.ISOWEEKNUM(Control[[#This Row],[Fecha Requisición]])</f>
        <v>33</v>
      </c>
    </row>
    <row r="148" spans="1:27">
      <c r="A148" s="15" t="s">
        <v>942</v>
      </c>
      <c r="B148" s="15" t="s">
        <v>943</v>
      </c>
      <c r="C148" s="15" t="s">
        <v>966</v>
      </c>
      <c r="D148" s="15" t="s">
        <v>1151</v>
      </c>
      <c r="E148" s="15">
        <v>107</v>
      </c>
      <c r="F148" s="15" t="s">
        <v>944</v>
      </c>
      <c r="G148" s="15" t="s">
        <v>941</v>
      </c>
      <c r="H148" s="15" t="s">
        <v>941</v>
      </c>
      <c r="I148" s="15" t="s">
        <v>941</v>
      </c>
      <c r="J148" s="15" t="s">
        <v>39</v>
      </c>
      <c r="K148" s="5">
        <v>97801</v>
      </c>
      <c r="L148" s="5" t="s">
        <v>55</v>
      </c>
      <c r="M148" s="15" t="s">
        <v>930</v>
      </c>
      <c r="N148" s="15" t="s">
        <v>204</v>
      </c>
      <c r="O148" s="15" t="s">
        <v>57</v>
      </c>
      <c r="P148" s="15" t="s">
        <v>58</v>
      </c>
      <c r="Q148" s="15" t="s">
        <v>36</v>
      </c>
      <c r="R148" s="15" t="s">
        <v>1152</v>
      </c>
      <c r="S148" s="15" t="s">
        <v>514</v>
      </c>
      <c r="U148" s="2">
        <v>46252</v>
      </c>
      <c r="V148" s="15" t="s">
        <v>642</v>
      </c>
      <c r="W14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8" s="9">
        <f>+DATE(YEAR(Control[[#This Row],[Fecha Requisición]]),MONTH(Control[[#This Row],[Fecha Requisición]]),1)</f>
        <v>46235</v>
      </c>
      <c r="Y148" s="14">
        <f>+IF(Control[[#This Row],[Fecha de entrega]]="","",NETWORKDAYS(Control[[#This Row],[Fecha Requisición]],Control[[#This Row],[Fecha de entrega]]))</f>
        <v>5</v>
      </c>
      <c r="Z148" s="15"/>
      <c r="AA148" s="13">
        <f>+_xlfn.ISOWEEKNUM(Control[[#This Row],[Fecha Requisición]])</f>
        <v>33</v>
      </c>
    </row>
    <row r="149" spans="1:27">
      <c r="A149" s="15" t="s">
        <v>947</v>
      </c>
      <c r="B149" s="15" t="s">
        <v>948</v>
      </c>
      <c r="C149" s="15" t="s">
        <v>949</v>
      </c>
      <c r="D149" s="15" t="s">
        <v>954</v>
      </c>
      <c r="E149" s="15">
        <v>109</v>
      </c>
      <c r="F149" s="15" t="s">
        <v>950</v>
      </c>
      <c r="G149" s="15" t="s">
        <v>951</v>
      </c>
      <c r="H149" s="15" t="s">
        <v>951</v>
      </c>
      <c r="I149" s="15" t="s">
        <v>951</v>
      </c>
      <c r="J149" s="15" t="s">
        <v>39</v>
      </c>
      <c r="K149" s="5"/>
      <c r="L149" s="5" t="s">
        <v>31</v>
      </c>
      <c r="M149" s="15" t="s">
        <v>571</v>
      </c>
      <c r="N149" s="15" t="s">
        <v>219</v>
      </c>
      <c r="O149" s="15" t="s">
        <v>866</v>
      </c>
      <c r="P149" s="15" t="s">
        <v>124</v>
      </c>
      <c r="Q149" s="15" t="s">
        <v>36</v>
      </c>
      <c r="R149" s="15" t="s">
        <v>955</v>
      </c>
      <c r="S149" s="15" t="s">
        <v>514</v>
      </c>
      <c r="T149" s="2">
        <v>46248</v>
      </c>
      <c r="U149" s="2">
        <v>46251</v>
      </c>
      <c r="V149" s="15" t="s">
        <v>642</v>
      </c>
      <c r="W14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9" s="9">
        <f>+DATE(YEAR(Control[[#This Row],[Fecha Requisición]]),MONTH(Control[[#This Row],[Fecha Requisición]]),1)</f>
        <v>46235</v>
      </c>
      <c r="Y149" s="14">
        <f>+IF(Control[[#This Row],[Fecha de entrega]]="","",NETWORKDAYS(Control[[#This Row],[Fecha Requisición]],Control[[#This Row],[Fecha de entrega]]))</f>
        <v>3</v>
      </c>
      <c r="Z149" s="15"/>
      <c r="AA149" s="13">
        <f>+_xlfn.ISOWEEKNUM(Control[[#This Row],[Fecha Requisición]])</f>
        <v>33</v>
      </c>
    </row>
    <row r="150" spans="1:27">
      <c r="A150" s="15" t="s">
        <v>967</v>
      </c>
      <c r="B150" s="15" t="s">
        <v>968</v>
      </c>
      <c r="C150" s="15" t="s">
        <v>969</v>
      </c>
      <c r="D150" s="15" t="s">
        <v>998</v>
      </c>
      <c r="E150" s="15">
        <v>110</v>
      </c>
      <c r="F150" s="15" t="s">
        <v>970</v>
      </c>
      <c r="G150" s="15" t="s">
        <v>951</v>
      </c>
      <c r="H150" s="15" t="s">
        <v>951</v>
      </c>
      <c r="I150" s="15" t="s">
        <v>951</v>
      </c>
      <c r="J150" s="15" t="s">
        <v>30</v>
      </c>
      <c r="K150" s="5">
        <v>1431345</v>
      </c>
      <c r="L150" s="5" t="s">
        <v>55</v>
      </c>
      <c r="M150" s="15" t="s">
        <v>915</v>
      </c>
      <c r="N150" s="15" t="s">
        <v>204</v>
      </c>
      <c r="O150" s="15" t="s">
        <v>57</v>
      </c>
      <c r="P150" s="15" t="s">
        <v>58</v>
      </c>
      <c r="Q150" s="15" t="s">
        <v>36</v>
      </c>
      <c r="R150" s="15" t="s">
        <v>999</v>
      </c>
      <c r="S150" s="15" t="s">
        <v>514</v>
      </c>
      <c r="U150" s="2">
        <v>46251</v>
      </c>
      <c r="V150" s="15" t="s">
        <v>1087</v>
      </c>
      <c r="W15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0" s="9">
        <f>+DATE(YEAR(Control[[#This Row],[Fecha Requisición]]),MONTH(Control[[#This Row],[Fecha Requisición]]),1)</f>
        <v>46235</v>
      </c>
      <c r="Y150" s="14">
        <f>+IF(Control[[#This Row],[Fecha de entrega]]="","",NETWORKDAYS(Control[[#This Row],[Fecha Requisición]],Control[[#This Row],[Fecha de entrega]]))</f>
        <v>3</v>
      </c>
      <c r="Z150" s="15"/>
      <c r="AA150" s="13">
        <f>+_xlfn.ISOWEEKNUM(Control[[#This Row],[Fecha Requisición]])</f>
        <v>33</v>
      </c>
    </row>
    <row r="151" spans="1:27">
      <c r="A151" s="15" t="s">
        <v>971</v>
      </c>
      <c r="B151" s="15" t="s">
        <v>972</v>
      </c>
      <c r="C151" s="15" t="s">
        <v>973</v>
      </c>
      <c r="D151" s="15" t="s">
        <v>1000</v>
      </c>
      <c r="E151" s="15">
        <v>111</v>
      </c>
      <c r="F151" s="15" t="s">
        <v>974</v>
      </c>
      <c r="G151" s="15" t="s">
        <v>951</v>
      </c>
      <c r="H151" s="15" t="s">
        <v>951</v>
      </c>
      <c r="I151" s="15" t="s">
        <v>951</v>
      </c>
      <c r="J151" s="15" t="s">
        <v>30</v>
      </c>
      <c r="K151" s="5"/>
      <c r="L151" s="5" t="s">
        <v>31</v>
      </c>
      <c r="M151" s="15" t="s">
        <v>1001</v>
      </c>
      <c r="N151" s="15" t="s">
        <v>975</v>
      </c>
      <c r="O151" s="15" t="s">
        <v>57</v>
      </c>
      <c r="P151" s="15" t="s">
        <v>124</v>
      </c>
      <c r="Q151" s="15" t="s">
        <v>36</v>
      </c>
      <c r="R151" s="15" t="s">
        <v>1002</v>
      </c>
      <c r="S151" s="15" t="s">
        <v>514</v>
      </c>
      <c r="U151" s="2">
        <v>46251</v>
      </c>
      <c r="V151" s="15" t="s">
        <v>1087</v>
      </c>
      <c r="W15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1" s="9">
        <f>+DATE(YEAR(Control[[#This Row],[Fecha Requisición]]),MONTH(Control[[#This Row],[Fecha Requisición]]),1)</f>
        <v>46235</v>
      </c>
      <c r="Y151" s="14">
        <f>+IF(Control[[#This Row],[Fecha de entrega]]="","",NETWORKDAYS(Control[[#This Row],[Fecha Requisición]],Control[[#This Row],[Fecha de entrega]]))</f>
        <v>3</v>
      </c>
      <c r="Z151" s="15"/>
      <c r="AA151" s="13">
        <f>+_xlfn.ISOWEEKNUM(Control[[#This Row],[Fecha Requisición]])</f>
        <v>33</v>
      </c>
    </row>
    <row r="152" spans="1:27">
      <c r="A152" s="15" t="s">
        <v>976</v>
      </c>
      <c r="B152" s="15" t="s">
        <v>977</v>
      </c>
      <c r="C152" s="15" t="s">
        <v>978</v>
      </c>
      <c r="D152" s="15" t="s">
        <v>1003</v>
      </c>
      <c r="E152" s="15">
        <v>112</v>
      </c>
      <c r="F152" s="15" t="s">
        <v>979</v>
      </c>
      <c r="G152" s="15" t="s">
        <v>951</v>
      </c>
      <c r="H152" s="15" t="s">
        <v>951</v>
      </c>
      <c r="I152" s="15" t="s">
        <v>951</v>
      </c>
      <c r="J152" s="15" t="s">
        <v>30</v>
      </c>
      <c r="K152" s="5"/>
      <c r="L152" s="5" t="s">
        <v>31</v>
      </c>
      <c r="M152" s="15" t="s">
        <v>1001</v>
      </c>
      <c r="N152" s="15" t="s">
        <v>975</v>
      </c>
      <c r="O152" s="15" t="s">
        <v>101</v>
      </c>
      <c r="P152" s="15" t="s">
        <v>124</v>
      </c>
      <c r="Q152" s="15" t="s">
        <v>36</v>
      </c>
      <c r="R152" s="15" t="s">
        <v>1004</v>
      </c>
      <c r="S152" s="15" t="s">
        <v>514</v>
      </c>
      <c r="U152" s="2">
        <v>46251</v>
      </c>
      <c r="V152" s="15" t="s">
        <v>1087</v>
      </c>
      <c r="W15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2" s="9">
        <f>+DATE(YEAR(Control[[#This Row],[Fecha Requisición]]),MONTH(Control[[#This Row],[Fecha Requisición]]),1)</f>
        <v>46235</v>
      </c>
      <c r="Y152" s="14">
        <f>+IF(Control[[#This Row],[Fecha de entrega]]="","",NETWORKDAYS(Control[[#This Row],[Fecha Requisición]],Control[[#This Row],[Fecha de entrega]]))</f>
        <v>3</v>
      </c>
      <c r="Z152" s="15"/>
      <c r="AA152" s="13">
        <f>+_xlfn.ISOWEEKNUM(Control[[#This Row],[Fecha Requisición]])</f>
        <v>33</v>
      </c>
    </row>
    <row r="153" spans="1:27">
      <c r="A153" s="15" t="s">
        <v>980</v>
      </c>
      <c r="B153" s="15" t="s">
        <v>981</v>
      </c>
      <c r="C153" s="15" t="s">
        <v>982</v>
      </c>
      <c r="D153" s="15" t="s">
        <v>1005</v>
      </c>
      <c r="E153" s="15">
        <v>113</v>
      </c>
      <c r="F153" s="15" t="s">
        <v>983</v>
      </c>
      <c r="G153" s="15" t="s">
        <v>951</v>
      </c>
      <c r="H153" s="15" t="s">
        <v>951</v>
      </c>
      <c r="I153" s="15" t="s">
        <v>951</v>
      </c>
      <c r="J153" s="15" t="s">
        <v>30</v>
      </c>
      <c r="K153" s="5"/>
      <c r="L153" s="5" t="s">
        <v>31</v>
      </c>
      <c r="M153" s="15" t="s">
        <v>1001</v>
      </c>
      <c r="N153" s="15" t="s">
        <v>975</v>
      </c>
      <c r="O153" s="15" t="s">
        <v>123</v>
      </c>
      <c r="P153" s="15" t="s">
        <v>124</v>
      </c>
      <c r="Q153" s="15" t="s">
        <v>36</v>
      </c>
      <c r="R153" s="15" t="s">
        <v>1006</v>
      </c>
      <c r="S153" s="15" t="s">
        <v>514</v>
      </c>
      <c r="U153" s="2">
        <v>46251</v>
      </c>
      <c r="V153" s="15" t="s">
        <v>1087</v>
      </c>
      <c r="W15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3" s="9">
        <f>+DATE(YEAR(Control[[#This Row],[Fecha Requisición]]),MONTH(Control[[#This Row],[Fecha Requisición]]),1)</f>
        <v>46235</v>
      </c>
      <c r="Y153" s="14">
        <f>+IF(Control[[#This Row],[Fecha de entrega]]="","",NETWORKDAYS(Control[[#This Row],[Fecha Requisición]],Control[[#This Row],[Fecha de entrega]]))</f>
        <v>3</v>
      </c>
      <c r="Z153" s="15"/>
      <c r="AA153" s="13">
        <f>+_xlfn.ISOWEEKNUM(Control[[#This Row],[Fecha Requisición]])</f>
        <v>33</v>
      </c>
    </row>
    <row r="154" spans="1:27">
      <c r="A154" s="15" t="s">
        <v>984</v>
      </c>
      <c r="B154" s="15" t="s">
        <v>985</v>
      </c>
      <c r="C154" s="15" t="s">
        <v>992</v>
      </c>
      <c r="D154" s="15" t="s">
        <v>1007</v>
      </c>
      <c r="E154" s="15">
        <v>114</v>
      </c>
      <c r="F154" s="15" t="s">
        <v>986</v>
      </c>
      <c r="G154" s="15" t="s">
        <v>987</v>
      </c>
      <c r="H154" s="15" t="s">
        <v>987</v>
      </c>
      <c r="I154" s="15" t="s">
        <v>987</v>
      </c>
      <c r="J154" s="15" t="s">
        <v>30</v>
      </c>
      <c r="K154" s="5"/>
      <c r="L154" s="5" t="s">
        <v>31</v>
      </c>
      <c r="M154" s="15" t="s">
        <v>1001</v>
      </c>
      <c r="N154" s="15" t="s">
        <v>765</v>
      </c>
      <c r="O154" s="15" t="s">
        <v>57</v>
      </c>
      <c r="P154" s="15" t="s">
        <v>35</v>
      </c>
      <c r="Q154" s="15" t="s">
        <v>94</v>
      </c>
      <c r="R154" s="15" t="s">
        <v>1008</v>
      </c>
      <c r="S154" s="15" t="s">
        <v>514</v>
      </c>
      <c r="U154" s="2">
        <v>46251</v>
      </c>
      <c r="V154" s="15" t="s">
        <v>1088</v>
      </c>
      <c r="W15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4" s="9">
        <f>+DATE(YEAR(Control[[#This Row],[Fecha Requisición]]),MONTH(Control[[#This Row],[Fecha Requisición]]),1)</f>
        <v>46235</v>
      </c>
      <c r="Y154" s="14">
        <f>+IF(Control[[#This Row],[Fecha de entrega]]="","",NETWORKDAYS(Control[[#This Row],[Fecha Requisición]],Control[[#This Row],[Fecha de entrega]]))</f>
        <v>2</v>
      </c>
      <c r="Z154" s="15"/>
      <c r="AA154" s="13">
        <f>+_xlfn.ISOWEEKNUM(Control[[#This Row],[Fecha Requisición]])</f>
        <v>33</v>
      </c>
    </row>
    <row r="155" spans="1:27">
      <c r="A155" s="15" t="s">
        <v>988</v>
      </c>
      <c r="B155" s="15" t="s">
        <v>989</v>
      </c>
      <c r="C155" s="15" t="s">
        <v>990</v>
      </c>
      <c r="D155" s="15" t="s">
        <v>1009</v>
      </c>
      <c r="E155" s="15">
        <v>115</v>
      </c>
      <c r="F155" s="15" t="s">
        <v>991</v>
      </c>
      <c r="G155" s="15" t="s">
        <v>987</v>
      </c>
      <c r="H155" s="15" t="s">
        <v>987</v>
      </c>
      <c r="I155" s="15" t="s">
        <v>987</v>
      </c>
      <c r="J155" s="15" t="s">
        <v>30</v>
      </c>
      <c r="K155" s="5">
        <v>150000</v>
      </c>
      <c r="L155" s="5" t="s">
        <v>55</v>
      </c>
      <c r="M155" s="15" t="s">
        <v>1010</v>
      </c>
      <c r="N155" s="15" t="s">
        <v>903</v>
      </c>
      <c r="O155" s="15" t="s">
        <v>384</v>
      </c>
      <c r="P155" s="15" t="s">
        <v>58</v>
      </c>
      <c r="Q155" s="15" t="s">
        <v>36</v>
      </c>
      <c r="R155" s="15" t="s">
        <v>1011</v>
      </c>
      <c r="S155" s="15" t="s">
        <v>514</v>
      </c>
      <c r="T155" s="2">
        <v>46252</v>
      </c>
      <c r="U155" s="2">
        <v>46251</v>
      </c>
      <c r="V155" s="15" t="s">
        <v>642</v>
      </c>
      <c r="W15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5" s="9">
        <f>+DATE(YEAR(Control[[#This Row],[Fecha Requisición]]),MONTH(Control[[#This Row],[Fecha Requisición]]),1)</f>
        <v>46235</v>
      </c>
      <c r="Y155" s="14">
        <f>+IF(Control[[#This Row],[Fecha de entrega]]="","",NETWORKDAYS(Control[[#This Row],[Fecha Requisición]],Control[[#This Row],[Fecha de entrega]]))</f>
        <v>2</v>
      </c>
      <c r="Z155" s="15"/>
      <c r="AA155" s="13">
        <f>+_xlfn.ISOWEEKNUM(Control[[#This Row],[Fecha Requisición]])</f>
        <v>33</v>
      </c>
    </row>
    <row r="156" spans="1:27">
      <c r="A156" s="15" t="s">
        <v>1012</v>
      </c>
      <c r="B156" s="15" t="s">
        <v>1013</v>
      </c>
      <c r="C156" s="15" t="s">
        <v>1014</v>
      </c>
      <c r="D156" s="15" t="s">
        <v>1110</v>
      </c>
      <c r="E156" s="15">
        <v>116</v>
      </c>
      <c r="F156" s="15" t="s">
        <v>1015</v>
      </c>
      <c r="G156" s="15" t="s">
        <v>1016</v>
      </c>
      <c r="H156" s="15" t="s">
        <v>1016</v>
      </c>
      <c r="I156" s="15" t="s">
        <v>1016</v>
      </c>
      <c r="J156" s="15" t="s">
        <v>30</v>
      </c>
      <c r="K156" s="5"/>
      <c r="L156" s="5" t="s">
        <v>31</v>
      </c>
      <c r="M156" s="15" t="s">
        <v>1111</v>
      </c>
      <c r="N156" s="15" t="s">
        <v>219</v>
      </c>
      <c r="O156" s="15" t="s">
        <v>384</v>
      </c>
      <c r="P156" s="15"/>
      <c r="Q156" s="15" t="s">
        <v>94</v>
      </c>
      <c r="R156" s="15" t="s">
        <v>1112</v>
      </c>
      <c r="S156" s="15" t="s">
        <v>514</v>
      </c>
      <c r="U156" s="2">
        <v>46261</v>
      </c>
      <c r="V156" s="15" t="s">
        <v>642</v>
      </c>
      <c r="W15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6" s="9">
        <f>+DATE(YEAR(Control[[#This Row],[Fecha Requisición]]),MONTH(Control[[#This Row],[Fecha Requisición]]),1)</f>
        <v>46235</v>
      </c>
      <c r="Y156" s="14">
        <f>+IF(Control[[#This Row],[Fecha de entrega]]="","",NETWORKDAYS(Control[[#This Row],[Fecha Requisición]],Control[[#This Row],[Fecha de entrega]]))</f>
        <v>9</v>
      </c>
      <c r="Z156" s="15"/>
      <c r="AA156" s="13">
        <f>+_xlfn.ISOWEEKNUM(Control[[#This Row],[Fecha Requisición]])</f>
        <v>34</v>
      </c>
    </row>
    <row r="157" spans="1:27">
      <c r="A157" s="15" t="s">
        <v>1017</v>
      </c>
      <c r="B157" s="15" t="s">
        <v>1018</v>
      </c>
      <c r="C157" s="15" t="s">
        <v>1019</v>
      </c>
      <c r="D157" s="15" t="s">
        <v>1153</v>
      </c>
      <c r="E157" s="15">
        <v>117</v>
      </c>
      <c r="F157" s="15" t="s">
        <v>1020</v>
      </c>
      <c r="G157" s="15" t="s">
        <v>1021</v>
      </c>
      <c r="H157" s="15" t="s">
        <v>1021</v>
      </c>
      <c r="I157" s="15" t="s">
        <v>1021</v>
      </c>
      <c r="J157" s="15" t="s">
        <v>39</v>
      </c>
      <c r="K157" s="5">
        <v>399990</v>
      </c>
      <c r="L157" s="5" t="s">
        <v>55</v>
      </c>
      <c r="M157" s="15" t="s">
        <v>1154</v>
      </c>
      <c r="N157" s="15" t="s">
        <v>93</v>
      </c>
      <c r="O157" s="15" t="s">
        <v>866</v>
      </c>
      <c r="P157" s="15" t="s">
        <v>58</v>
      </c>
      <c r="Q157" s="15" t="s">
        <v>94</v>
      </c>
      <c r="R157" s="15" t="s">
        <v>1155</v>
      </c>
      <c r="S157" s="15" t="s">
        <v>514</v>
      </c>
      <c r="T157" s="2">
        <v>46254</v>
      </c>
      <c r="U157" s="2">
        <v>46259</v>
      </c>
      <c r="V157" s="15" t="s">
        <v>642</v>
      </c>
      <c r="W15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7" s="9">
        <f>+DATE(YEAR(Control[[#This Row],[Fecha Requisición]]),MONTH(Control[[#This Row],[Fecha Requisición]]),1)</f>
        <v>46235</v>
      </c>
      <c r="Y157" s="14">
        <f>+IF(Control[[#This Row],[Fecha de entrega]]="","",NETWORKDAYS(Control[[#This Row],[Fecha Requisición]],Control[[#This Row],[Fecha de entrega]]))</f>
        <v>6</v>
      </c>
      <c r="Z157" s="15"/>
      <c r="AA157" s="13">
        <f>+_xlfn.ISOWEEKNUM(Control[[#This Row],[Fecha Requisición]])</f>
        <v>34</v>
      </c>
    </row>
    <row r="158" spans="1:27">
      <c r="A158" s="15" t="s">
        <v>1022</v>
      </c>
      <c r="B158" s="15" t="s">
        <v>1023</v>
      </c>
      <c r="C158" s="15" t="s">
        <v>1024</v>
      </c>
      <c r="D158" s="15" t="s">
        <v>1113</v>
      </c>
      <c r="E158" s="15">
        <v>118</v>
      </c>
      <c r="F158" s="15" t="s">
        <v>1025</v>
      </c>
      <c r="G158" s="15" t="s">
        <v>1021</v>
      </c>
      <c r="H158" s="15" t="s">
        <v>1021</v>
      </c>
      <c r="I158" s="15" t="s">
        <v>1021</v>
      </c>
      <c r="J158" s="15" t="s">
        <v>30</v>
      </c>
      <c r="K158" s="5"/>
      <c r="L158" s="5" t="s">
        <v>31</v>
      </c>
      <c r="M158" s="15" t="s">
        <v>1114</v>
      </c>
      <c r="N158" s="15" t="s">
        <v>204</v>
      </c>
      <c r="O158" s="15" t="s">
        <v>57</v>
      </c>
      <c r="P158" s="15" t="s">
        <v>58</v>
      </c>
      <c r="Q158" s="15" t="s">
        <v>36</v>
      </c>
      <c r="R158" s="15" t="s">
        <v>1115</v>
      </c>
      <c r="S158" s="15" t="s">
        <v>514</v>
      </c>
      <c r="U158" s="2">
        <v>46261</v>
      </c>
      <c r="V158" s="15" t="s">
        <v>642</v>
      </c>
      <c r="W15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8" s="9">
        <f>+DATE(YEAR(Control[[#This Row],[Fecha Requisición]]),MONTH(Control[[#This Row],[Fecha Requisición]]),1)</f>
        <v>46235</v>
      </c>
      <c r="Y158" s="14">
        <f>+IF(Control[[#This Row],[Fecha de entrega]]="","",NETWORKDAYS(Control[[#This Row],[Fecha Requisición]],Control[[#This Row],[Fecha de entrega]]))</f>
        <v>8</v>
      </c>
      <c r="Z158" s="15"/>
      <c r="AA158" s="13">
        <f>+_xlfn.ISOWEEKNUM(Control[[#This Row],[Fecha Requisición]])</f>
        <v>34</v>
      </c>
    </row>
    <row r="159" spans="1:27">
      <c r="A159" s="15" t="s">
        <v>1026</v>
      </c>
      <c r="B159" s="15" t="s">
        <v>1027</v>
      </c>
      <c r="C159" s="15" t="s">
        <v>1028</v>
      </c>
      <c r="D159" s="15" t="s">
        <v>1040</v>
      </c>
      <c r="E159" s="15">
        <v>119</v>
      </c>
      <c r="F159" s="15" t="s">
        <v>1029</v>
      </c>
      <c r="G159" s="15" t="s">
        <v>1021</v>
      </c>
      <c r="H159" s="15" t="s">
        <v>1021</v>
      </c>
      <c r="I159" s="15" t="s">
        <v>1021</v>
      </c>
      <c r="J159" s="15" t="s">
        <v>30</v>
      </c>
      <c r="K159" s="5">
        <v>602295</v>
      </c>
      <c r="L159" s="5" t="s">
        <v>55</v>
      </c>
      <c r="M159" s="15" t="s">
        <v>927</v>
      </c>
      <c r="N159" s="15" t="s">
        <v>204</v>
      </c>
      <c r="O159" s="15" t="s">
        <v>57</v>
      </c>
      <c r="P159" s="15" t="s">
        <v>58</v>
      </c>
      <c r="Q159" s="15" t="s">
        <v>36</v>
      </c>
      <c r="R159" s="15" t="s">
        <v>1041</v>
      </c>
      <c r="S159" s="15" t="s">
        <v>514</v>
      </c>
      <c r="U159" s="2">
        <v>46261</v>
      </c>
      <c r="V159" s="15" t="s">
        <v>642</v>
      </c>
      <c r="W15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9" s="9">
        <f>+DATE(YEAR(Control[[#This Row],[Fecha Requisición]]),MONTH(Control[[#This Row],[Fecha Requisición]]),1)</f>
        <v>46235</v>
      </c>
      <c r="Y159" s="14">
        <f>+IF(Control[[#This Row],[Fecha de entrega]]="","",NETWORKDAYS(Control[[#This Row],[Fecha Requisición]],Control[[#This Row],[Fecha de entrega]]))</f>
        <v>8</v>
      </c>
      <c r="Z159" s="15"/>
      <c r="AA159" s="13">
        <f>+_xlfn.ISOWEEKNUM(Control[[#This Row],[Fecha Requisición]])</f>
        <v>34</v>
      </c>
    </row>
    <row r="160" spans="1:27">
      <c r="A160" s="15" t="s">
        <v>1042</v>
      </c>
      <c r="B160" s="15" t="s">
        <v>1043</v>
      </c>
      <c r="C160" s="15" t="s">
        <v>1043</v>
      </c>
      <c r="D160" s="15" t="s">
        <v>1116</v>
      </c>
      <c r="E160" s="15">
        <v>121</v>
      </c>
      <c r="F160" s="15" t="s">
        <v>1044</v>
      </c>
      <c r="G160" s="15" t="s">
        <v>1045</v>
      </c>
      <c r="H160" s="15" t="s">
        <v>1045</v>
      </c>
      <c r="I160" s="15" t="s">
        <v>1045</v>
      </c>
      <c r="J160" s="15" t="s">
        <v>30</v>
      </c>
      <c r="K160" s="5"/>
      <c r="L160" s="5" t="s">
        <v>31</v>
      </c>
      <c r="M160" s="15" t="s">
        <v>830</v>
      </c>
      <c r="N160" s="15" t="s">
        <v>765</v>
      </c>
      <c r="O160" s="15" t="s">
        <v>57</v>
      </c>
      <c r="P160" s="15" t="s">
        <v>35</v>
      </c>
      <c r="Q160" s="15" t="s">
        <v>94</v>
      </c>
      <c r="R160" s="15" t="s">
        <v>1117</v>
      </c>
      <c r="S160" s="15" t="s">
        <v>514</v>
      </c>
      <c r="U160" s="2">
        <v>46255</v>
      </c>
      <c r="V160" s="15" t="s">
        <v>1084</v>
      </c>
      <c r="W16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0" s="9">
        <f>+DATE(YEAR(Control[[#This Row],[Fecha Requisición]]),MONTH(Control[[#This Row],[Fecha Requisición]]),1)</f>
        <v>46235</v>
      </c>
      <c r="Y160" s="14">
        <f>+IF(Control[[#This Row],[Fecha de entrega]]="","",NETWORKDAYS(Control[[#This Row],[Fecha Requisición]],Control[[#This Row],[Fecha de entrega]]))</f>
        <v>1</v>
      </c>
      <c r="Z160" s="15"/>
      <c r="AA160" s="13">
        <f>+_xlfn.ISOWEEKNUM(Control[[#This Row],[Fecha Requisición]])</f>
        <v>34</v>
      </c>
    </row>
    <row r="161" spans="1:27">
      <c r="A161" s="15" t="s">
        <v>1046</v>
      </c>
      <c r="B161" s="15" t="s">
        <v>1047</v>
      </c>
      <c r="C161" s="15" t="s">
        <v>1048</v>
      </c>
      <c r="D161" s="15" t="s">
        <v>1156</v>
      </c>
      <c r="E161" s="15">
        <v>122</v>
      </c>
      <c r="F161" s="15" t="s">
        <v>1049</v>
      </c>
      <c r="G161" s="15" t="s">
        <v>1050</v>
      </c>
      <c r="H161" s="15" t="s">
        <v>1050</v>
      </c>
      <c r="I161" s="15" t="s">
        <v>1050</v>
      </c>
      <c r="J161" s="15" t="s">
        <v>39</v>
      </c>
      <c r="K161" s="5">
        <v>100000</v>
      </c>
      <c r="L161" s="5" t="s">
        <v>55</v>
      </c>
      <c r="M161" s="15" t="s">
        <v>1157</v>
      </c>
      <c r="N161" s="15" t="s">
        <v>93</v>
      </c>
      <c r="O161" s="15" t="s">
        <v>57</v>
      </c>
      <c r="P161" s="15" t="s">
        <v>58</v>
      </c>
      <c r="Q161" s="15" t="s">
        <v>94</v>
      </c>
      <c r="R161" s="15" t="s">
        <v>1158</v>
      </c>
      <c r="S161" s="15" t="s">
        <v>514</v>
      </c>
      <c r="T161" s="2">
        <v>46262</v>
      </c>
      <c r="U161" s="2">
        <v>46262</v>
      </c>
      <c r="V161" s="15" t="s">
        <v>642</v>
      </c>
      <c r="W16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1" s="9">
        <f>+DATE(YEAR(Control[[#This Row],[Fecha Requisición]]),MONTH(Control[[#This Row],[Fecha Requisición]]),1)</f>
        <v>46235</v>
      </c>
      <c r="Y161" s="14">
        <f>+IF(Control[[#This Row],[Fecha de entrega]]="","",NETWORKDAYS(Control[[#This Row],[Fecha Requisición]],Control[[#This Row],[Fecha de entrega]]))</f>
        <v>5</v>
      </c>
      <c r="Z161" s="15"/>
      <c r="AA161" s="13">
        <f>+_xlfn.ISOWEEKNUM(Control[[#This Row],[Fecha Requisición]])</f>
        <v>35</v>
      </c>
    </row>
    <row r="162" spans="1:27">
      <c r="A162" s="21" t="s">
        <v>1059</v>
      </c>
      <c r="B162" s="21" t="s">
        <v>1060</v>
      </c>
      <c r="C162" s="21" t="s">
        <v>1061</v>
      </c>
      <c r="D162" s="21" t="s">
        <v>1159</v>
      </c>
      <c r="E162" s="21">
        <v>125</v>
      </c>
      <c r="F162" s="21" t="s">
        <v>1062</v>
      </c>
      <c r="G162" s="21" t="s">
        <v>1050</v>
      </c>
      <c r="H162" s="21" t="s">
        <v>1050</v>
      </c>
      <c r="I162" s="21" t="s">
        <v>1050</v>
      </c>
      <c r="J162" s="21" t="s">
        <v>39</v>
      </c>
      <c r="K162" s="5"/>
      <c r="L162" s="5" t="s">
        <v>31</v>
      </c>
      <c r="M162" s="21" t="s">
        <v>1160</v>
      </c>
      <c r="N162" s="21" t="s">
        <v>1063</v>
      </c>
      <c r="O162" s="21" t="s">
        <v>1064</v>
      </c>
      <c r="P162" s="21" t="s">
        <v>1065</v>
      </c>
      <c r="Q162" s="21" t="s">
        <v>94</v>
      </c>
      <c r="R162" s="21" t="s">
        <v>1161</v>
      </c>
      <c r="S162" s="21" t="s">
        <v>514</v>
      </c>
      <c r="T162" s="2">
        <v>46261</v>
      </c>
      <c r="U162" s="2">
        <v>46262</v>
      </c>
      <c r="V162" s="21" t="s">
        <v>1142</v>
      </c>
      <c r="W16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2" s="9">
        <f>+DATE(YEAR(Control[[#This Row],[Fecha Requisición]]),MONTH(Control[[#This Row],[Fecha Requisición]]),1)</f>
        <v>46235</v>
      </c>
      <c r="Y162" s="14">
        <f>+IF(Control[[#This Row],[Fecha de entrega]]="","",NETWORKDAYS(Control[[#This Row],[Fecha Requisición]],Control[[#This Row],[Fecha de entrega]]))</f>
        <v>5</v>
      </c>
      <c r="Z162" s="21"/>
      <c r="AA162" s="13">
        <f>+_xlfn.ISOWEEKNUM(Control[[#This Row],[Fecha Requisición]])</f>
        <v>35</v>
      </c>
    </row>
    <row r="163" spans="1:27">
      <c r="A163" s="21" t="s">
        <v>1066</v>
      </c>
      <c r="B163" s="21" t="s">
        <v>1067</v>
      </c>
      <c r="C163" s="21" t="s">
        <v>1068</v>
      </c>
      <c r="D163" s="21" t="s">
        <v>1118</v>
      </c>
      <c r="E163" s="21">
        <v>126</v>
      </c>
      <c r="F163" s="21" t="s">
        <v>1069</v>
      </c>
      <c r="G163" s="21" t="s">
        <v>1050</v>
      </c>
      <c r="H163" s="21" t="s">
        <v>1050</v>
      </c>
      <c r="I163" s="21" t="s">
        <v>1050</v>
      </c>
      <c r="J163" s="21" t="s">
        <v>39</v>
      </c>
      <c r="K163" s="5"/>
      <c r="L163" s="5" t="s">
        <v>31</v>
      </c>
      <c r="M163" s="21" t="s">
        <v>1119</v>
      </c>
      <c r="N163" s="21" t="s">
        <v>1070</v>
      </c>
      <c r="O163" s="21" t="s">
        <v>384</v>
      </c>
      <c r="P163" s="21" t="s">
        <v>124</v>
      </c>
      <c r="Q163" s="21" t="s">
        <v>59</v>
      </c>
      <c r="R163" s="21" t="s">
        <v>1120</v>
      </c>
      <c r="S163" s="21" t="s">
        <v>514</v>
      </c>
      <c r="T163" s="2">
        <v>46261</v>
      </c>
      <c r="U163" s="2">
        <v>46267</v>
      </c>
      <c r="V163" s="21" t="s">
        <v>642</v>
      </c>
      <c r="W16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3" s="9">
        <f>+DATE(YEAR(Control[[#This Row],[Fecha Requisición]]),MONTH(Control[[#This Row],[Fecha Requisición]]),1)</f>
        <v>46235</v>
      </c>
      <c r="Y163" s="14">
        <f>+IF(Control[[#This Row],[Fecha de entrega]]="","",NETWORKDAYS(Control[[#This Row],[Fecha Requisición]],Control[[#This Row],[Fecha de entrega]]))</f>
        <v>8</v>
      </c>
      <c r="Z163" s="21"/>
      <c r="AA163" s="13">
        <f>+_xlfn.ISOWEEKNUM(Control[[#This Row],[Fecha Requisición]])</f>
        <v>35</v>
      </c>
    </row>
    <row r="164" spans="1:27">
      <c r="A164" s="21" t="s">
        <v>1127</v>
      </c>
      <c r="B164" s="21" t="s">
        <v>1128</v>
      </c>
      <c r="C164" s="21" t="s">
        <v>1129</v>
      </c>
      <c r="D164" s="21" t="s">
        <v>1162</v>
      </c>
      <c r="E164" s="21">
        <v>132</v>
      </c>
      <c r="F164" s="21" t="s">
        <v>1130</v>
      </c>
      <c r="G164" s="21" t="s">
        <v>1075</v>
      </c>
      <c r="H164" s="21" t="s">
        <v>1075</v>
      </c>
      <c r="I164" s="21" t="s">
        <v>1075</v>
      </c>
      <c r="J164" s="21" t="s">
        <v>30</v>
      </c>
      <c r="K164" s="5">
        <v>1930043</v>
      </c>
      <c r="L164" s="5"/>
      <c r="M164" s="21" t="s">
        <v>1001</v>
      </c>
      <c r="N164" s="21"/>
      <c r="O164" s="21"/>
      <c r="P164" s="21"/>
      <c r="Q164" s="21"/>
      <c r="R164" s="21" t="s">
        <v>1163</v>
      </c>
      <c r="S164" s="21" t="s">
        <v>514</v>
      </c>
      <c r="U164" s="2">
        <v>46265</v>
      </c>
      <c r="V164" s="21" t="s">
        <v>1184</v>
      </c>
      <c r="W16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4" s="9">
        <f>+DATE(YEAR(Control[[#This Row],[Fecha Requisición]]),MONTH(Control[[#This Row],[Fecha Requisición]]),1)</f>
        <v>46235</v>
      </c>
      <c r="Y164" s="14">
        <f>+IF(Control[[#This Row],[Fecha de entrega]]="","",NETWORKDAYS(Control[[#This Row],[Fecha Requisición]],Control[[#This Row],[Fecha de entrega]]))</f>
        <v>5</v>
      </c>
      <c r="Z164" s="21"/>
      <c r="AA164" s="13">
        <f>+_xlfn.ISOWEEKNUM(Control[[#This Row],[Fecha Requisición]])</f>
        <v>35</v>
      </c>
    </row>
    <row r="165" spans="1:27">
      <c r="A165" s="21" t="s">
        <v>1164</v>
      </c>
      <c r="B165" s="21" t="s">
        <v>1165</v>
      </c>
      <c r="C165" s="21" t="s">
        <v>1166</v>
      </c>
      <c r="D165" s="21" t="s">
        <v>1167</v>
      </c>
      <c r="E165" s="21">
        <v>135</v>
      </c>
      <c r="F165" s="21" t="s">
        <v>1168</v>
      </c>
      <c r="G165" s="21" t="s">
        <v>1169</v>
      </c>
      <c r="H165" s="21" t="s">
        <v>1169</v>
      </c>
      <c r="I165" s="21" t="s">
        <v>1169</v>
      </c>
      <c r="J165" s="21" t="s">
        <v>30</v>
      </c>
      <c r="K165" s="5">
        <v>500654</v>
      </c>
      <c r="L165" s="5" t="s">
        <v>55</v>
      </c>
      <c r="M165" s="21" t="s">
        <v>1170</v>
      </c>
      <c r="N165" s="21" t="s">
        <v>93</v>
      </c>
      <c r="O165" s="21" t="s">
        <v>57</v>
      </c>
      <c r="P165" s="21" t="s">
        <v>58</v>
      </c>
      <c r="Q165" s="21" t="s">
        <v>94</v>
      </c>
      <c r="R165" s="21" t="s">
        <v>1171</v>
      </c>
      <c r="S165" s="21" t="s">
        <v>514</v>
      </c>
      <c r="U165" s="2">
        <v>46238</v>
      </c>
      <c r="V165" s="21" t="s">
        <v>642</v>
      </c>
      <c r="W16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5" s="9">
        <f>+DATE(YEAR(Control[[#This Row],[Fecha Requisición]]),MONTH(Control[[#This Row],[Fecha Requisición]]),1)</f>
        <v>46235</v>
      </c>
      <c r="Y165" s="14">
        <f>+IF(Control[[#This Row],[Fecha de entrega]]="","",NETWORKDAYS(Control[[#This Row],[Fecha Requisición]],Control[[#This Row],[Fecha de entrega]]))</f>
        <v>-17</v>
      </c>
      <c r="Z165" s="21"/>
      <c r="AA165" s="13">
        <f>+_xlfn.ISOWEEKNUM(Control[[#This Row],[Fecha Requisición]])</f>
        <v>35</v>
      </c>
    </row>
    <row r="166" spans="1:27">
      <c r="A166" s="21" t="s">
        <v>1172</v>
      </c>
      <c r="B166" s="21" t="s">
        <v>1173</v>
      </c>
      <c r="C166" s="21" t="s">
        <v>1174</v>
      </c>
      <c r="D166" s="21" t="s">
        <v>1175</v>
      </c>
      <c r="E166" s="21">
        <v>137</v>
      </c>
      <c r="F166" s="21" t="s">
        <v>1176</v>
      </c>
      <c r="G166" s="21" t="s">
        <v>1177</v>
      </c>
      <c r="H166" s="21" t="s">
        <v>1177</v>
      </c>
      <c r="I166" s="21" t="s">
        <v>1177</v>
      </c>
      <c r="J166" s="21" t="s">
        <v>30</v>
      </c>
      <c r="K166" s="5">
        <v>1837303</v>
      </c>
      <c r="L166" s="5"/>
      <c r="M166" s="21" t="s">
        <v>1001</v>
      </c>
      <c r="N166" s="21"/>
      <c r="O166" s="21"/>
      <c r="P166" s="21"/>
      <c r="Q166" s="21"/>
      <c r="R166" s="21" t="s">
        <v>1178</v>
      </c>
      <c r="S166" s="21" t="s">
        <v>514</v>
      </c>
      <c r="U166" s="2">
        <v>46265</v>
      </c>
      <c r="V166" s="21" t="s">
        <v>1143</v>
      </c>
      <c r="W16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6" s="9">
        <f>+DATE(YEAR(Control[[#This Row],[Fecha Requisición]]),MONTH(Control[[#This Row],[Fecha Requisición]]),1)</f>
        <v>46235</v>
      </c>
      <c r="Y166" s="14">
        <f>+IF(Control[[#This Row],[Fecha de entrega]]="","",NETWORKDAYS(Control[[#This Row],[Fecha Requisición]],Control[[#This Row],[Fecha de entrega]]))</f>
        <v>3</v>
      </c>
      <c r="Z166" s="21"/>
      <c r="AA166" s="13">
        <f>+_xlfn.ISOWEEKNUM(Control[[#This Row],[Fecha Requisición]])</f>
        <v>35</v>
      </c>
    </row>
    <row r="167" spans="1:27">
      <c r="A167" s="21" t="s">
        <v>1204</v>
      </c>
      <c r="B167" s="21" t="s">
        <v>1205</v>
      </c>
      <c r="C167" s="21" t="s">
        <v>1206</v>
      </c>
      <c r="D167" s="21" t="s">
        <v>1241</v>
      </c>
      <c r="E167" s="21">
        <v>140</v>
      </c>
      <c r="F167" s="21" t="s">
        <v>1207</v>
      </c>
      <c r="G167" s="21" t="s">
        <v>1192</v>
      </c>
      <c r="H167" s="21" t="s">
        <v>1192</v>
      </c>
      <c r="I167" s="21" t="s">
        <v>1192</v>
      </c>
      <c r="J167" s="21" t="s">
        <v>39</v>
      </c>
      <c r="K167" s="5">
        <v>336502</v>
      </c>
      <c r="L167" s="5" t="s">
        <v>55</v>
      </c>
      <c r="M167" s="21" t="s">
        <v>741</v>
      </c>
      <c r="N167" s="21" t="s">
        <v>1208</v>
      </c>
      <c r="O167" s="21" t="s">
        <v>101</v>
      </c>
      <c r="P167" s="21" t="s">
        <v>58</v>
      </c>
      <c r="Q167" s="21" t="s">
        <v>36</v>
      </c>
      <c r="R167" s="21" t="s">
        <v>1242</v>
      </c>
      <c r="S167" s="21" t="s">
        <v>514</v>
      </c>
      <c r="V167" s="21" t="s">
        <v>1215</v>
      </c>
      <c r="W16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67" s="9">
        <f>+DATE(YEAR(Control[[#This Row],[Fecha Requisición]]),MONTH(Control[[#This Row],[Fecha Requisición]]),1)</f>
        <v>46235</v>
      </c>
      <c r="Y167" s="14" t="str">
        <f>+IF(Control[[#This Row],[Fecha de entrega]]="","",NETWORKDAYS(Control[[#This Row],[Fecha Requisición]],Control[[#This Row],[Fecha de entrega]]))</f>
        <v/>
      </c>
      <c r="Z167" s="21"/>
      <c r="AA167" s="13">
        <f>+_xlfn.ISOWEEKNUM(Control[[#This Row],[Fecha Requisición]])</f>
        <v>36</v>
      </c>
    </row>
    <row r="168" spans="1:27">
      <c r="A168" s="21" t="s">
        <v>1187</v>
      </c>
      <c r="B168" s="21" t="s">
        <v>1188</v>
      </c>
      <c r="C168" s="21" t="s">
        <v>1189</v>
      </c>
      <c r="D168" s="21" t="s">
        <v>1243</v>
      </c>
      <c r="E168" s="21">
        <v>141</v>
      </c>
      <c r="F168" s="21" t="s">
        <v>1191</v>
      </c>
      <c r="G168" s="21" t="s">
        <v>1192</v>
      </c>
      <c r="H168" s="21" t="s">
        <v>1192</v>
      </c>
      <c r="I168" s="21" t="s">
        <v>1192</v>
      </c>
      <c r="J168" s="21" t="s">
        <v>30</v>
      </c>
      <c r="K168" s="5"/>
      <c r="L168" s="5" t="s">
        <v>31</v>
      </c>
      <c r="M168" s="21" t="s">
        <v>1244</v>
      </c>
      <c r="N168" s="21" t="s">
        <v>1194</v>
      </c>
      <c r="O168" s="21" t="s">
        <v>57</v>
      </c>
      <c r="P168" s="21" t="s">
        <v>463</v>
      </c>
      <c r="Q168" s="21" t="s">
        <v>94</v>
      </c>
      <c r="R168" s="21" t="s">
        <v>1245</v>
      </c>
      <c r="S168" s="21" t="s">
        <v>514</v>
      </c>
      <c r="U168" s="2">
        <v>46267</v>
      </c>
      <c r="V168" s="21" t="s">
        <v>1216</v>
      </c>
      <c r="W16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8" s="9">
        <f>+DATE(YEAR(Control[[#This Row],[Fecha Requisición]]),MONTH(Control[[#This Row],[Fecha Requisición]]),1)</f>
        <v>46235</v>
      </c>
      <c r="Y168" s="14">
        <f>+IF(Control[[#This Row],[Fecha de entrega]]="","",NETWORKDAYS(Control[[#This Row],[Fecha Requisición]],Control[[#This Row],[Fecha de entrega]]))</f>
        <v>3</v>
      </c>
      <c r="Z168" s="21"/>
      <c r="AA168" s="13">
        <f>+_xlfn.ISOWEEKNUM(Control[[#This Row],[Fecha Requisición]])</f>
        <v>36</v>
      </c>
    </row>
    <row r="169" spans="1:27">
      <c r="A169" s="21" t="s">
        <v>1187</v>
      </c>
      <c r="B169" s="21" t="s">
        <v>1188</v>
      </c>
      <c r="C169" s="21" t="s">
        <v>1189</v>
      </c>
      <c r="D169" s="21" t="s">
        <v>1190</v>
      </c>
      <c r="E169" s="21">
        <v>141</v>
      </c>
      <c r="F169" s="21" t="s">
        <v>1191</v>
      </c>
      <c r="G169" s="21" t="s">
        <v>1192</v>
      </c>
      <c r="H169" s="21" t="s">
        <v>1192</v>
      </c>
      <c r="I169" s="21" t="s">
        <v>1192</v>
      </c>
      <c r="J169" s="21" t="s">
        <v>39</v>
      </c>
      <c r="K169" s="5">
        <v>883396</v>
      </c>
      <c r="L169" s="5" t="s">
        <v>31</v>
      </c>
      <c r="M169" s="21" t="s">
        <v>1193</v>
      </c>
      <c r="N169" s="21" t="s">
        <v>1194</v>
      </c>
      <c r="O169" s="21" t="s">
        <v>57</v>
      </c>
      <c r="P169" s="21" t="s">
        <v>463</v>
      </c>
      <c r="Q169" s="21" t="s">
        <v>94</v>
      </c>
      <c r="R169" s="21" t="s">
        <v>1195</v>
      </c>
      <c r="S169" s="21" t="s">
        <v>514</v>
      </c>
      <c r="U169" s="2">
        <v>46267</v>
      </c>
      <c r="V169" s="21" t="s">
        <v>1216</v>
      </c>
      <c r="W16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9" s="9">
        <f>+DATE(YEAR(Control[[#This Row],[Fecha Requisición]]),MONTH(Control[[#This Row],[Fecha Requisición]]),1)</f>
        <v>46235</v>
      </c>
      <c r="Y169" s="14">
        <f>+IF(Control[[#This Row],[Fecha de entrega]]="","",NETWORKDAYS(Control[[#This Row],[Fecha Requisición]],Control[[#This Row],[Fecha de entrega]]))</f>
        <v>3</v>
      </c>
      <c r="Z169" s="21"/>
      <c r="AA169" s="13">
        <f>+_xlfn.ISOWEEKNUM(Control[[#This Row],[Fecha Requisición]])</f>
        <v>36</v>
      </c>
    </row>
    <row r="170" spans="1:27">
      <c r="A170" s="21" t="s">
        <v>1217</v>
      </c>
      <c r="B170" s="21" t="s">
        <v>1218</v>
      </c>
      <c r="C170" s="21" t="s">
        <v>1219</v>
      </c>
      <c r="D170" s="21" t="s">
        <v>1246</v>
      </c>
      <c r="E170" s="21">
        <v>143</v>
      </c>
      <c r="F170" s="21" t="s">
        <v>1220</v>
      </c>
      <c r="G170" s="21" t="s">
        <v>1221</v>
      </c>
      <c r="H170" s="21" t="s">
        <v>1221</v>
      </c>
      <c r="I170" s="21" t="s">
        <v>1221</v>
      </c>
      <c r="J170" s="21" t="s">
        <v>30</v>
      </c>
      <c r="K170" s="5"/>
      <c r="L170" s="5" t="s">
        <v>31</v>
      </c>
      <c r="M170" s="21" t="s">
        <v>1247</v>
      </c>
      <c r="N170" s="21" t="s">
        <v>975</v>
      </c>
      <c r="O170" s="21" t="s">
        <v>57</v>
      </c>
      <c r="P170" s="21" t="s">
        <v>124</v>
      </c>
      <c r="Q170" s="21" t="s">
        <v>36</v>
      </c>
      <c r="R170" s="21" t="s">
        <v>1248</v>
      </c>
      <c r="S170" s="21" t="s">
        <v>1234</v>
      </c>
      <c r="V170" s="21" t="s">
        <v>1235</v>
      </c>
      <c r="W17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70" s="9">
        <f>+DATE(YEAR(Control[[#This Row],[Fecha Requisición]]),MONTH(Control[[#This Row],[Fecha Requisición]]),1)</f>
        <v>46266</v>
      </c>
      <c r="Y170" s="14" t="str">
        <f>+IF(Control[[#This Row],[Fecha de entrega]]="","",NETWORKDAYS(Control[[#This Row],[Fecha Requisición]],Control[[#This Row],[Fecha de entrega]]))</f>
        <v/>
      </c>
      <c r="Z170" s="21"/>
      <c r="AA170" s="13">
        <f>+_xlfn.ISOWEEKNUM(Control[[#This Row],[Fecha Requisición]])</f>
        <v>36</v>
      </c>
    </row>
    <row r="171" spans="1:27">
      <c r="A171" s="21" t="s">
        <v>1222</v>
      </c>
      <c r="B171" s="21" t="s">
        <v>1223</v>
      </c>
      <c r="C171" s="21" t="s">
        <v>1224</v>
      </c>
      <c r="D171" s="21" t="s">
        <v>1249</v>
      </c>
      <c r="E171" s="21">
        <v>144</v>
      </c>
      <c r="F171" s="21" t="s">
        <v>1225</v>
      </c>
      <c r="G171" s="21" t="s">
        <v>1221</v>
      </c>
      <c r="H171" s="21" t="s">
        <v>1221</v>
      </c>
      <c r="I171" s="21" t="s">
        <v>1221</v>
      </c>
      <c r="J171" s="21" t="s">
        <v>30</v>
      </c>
      <c r="K171" s="5"/>
      <c r="L171" s="5" t="s">
        <v>31</v>
      </c>
      <c r="M171" s="21" t="s">
        <v>1247</v>
      </c>
      <c r="N171" s="21" t="s">
        <v>975</v>
      </c>
      <c r="O171" s="21" t="s">
        <v>123</v>
      </c>
      <c r="P171" s="21" t="s">
        <v>124</v>
      </c>
      <c r="Q171" s="21" t="s">
        <v>36</v>
      </c>
      <c r="R171" s="21" t="s">
        <v>1250</v>
      </c>
      <c r="S171" s="21" t="s">
        <v>514</v>
      </c>
      <c r="V171" s="21" t="s">
        <v>1236</v>
      </c>
      <c r="W17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71" s="9">
        <f>+DATE(YEAR(Control[[#This Row],[Fecha Requisición]]),MONTH(Control[[#This Row],[Fecha Requisición]]),1)</f>
        <v>46266</v>
      </c>
      <c r="Y171" s="14" t="str">
        <f>+IF(Control[[#This Row],[Fecha de entrega]]="","",NETWORKDAYS(Control[[#This Row],[Fecha Requisición]],Control[[#This Row],[Fecha de entrega]]))</f>
        <v/>
      </c>
      <c r="Z171" s="21"/>
      <c r="AA171" s="13">
        <f>+_xlfn.ISOWEEKNUM(Control[[#This Row],[Fecha Requisición]])</f>
        <v>36</v>
      </c>
    </row>
    <row r="172" spans="1:27">
      <c r="A172" s="21" t="s">
        <v>1226</v>
      </c>
      <c r="B172" s="21" t="s">
        <v>1227</v>
      </c>
      <c r="C172" s="21" t="s">
        <v>1228</v>
      </c>
      <c r="D172" s="21" t="s">
        <v>1251</v>
      </c>
      <c r="E172" s="21">
        <v>145</v>
      </c>
      <c r="F172" s="21" t="s">
        <v>1229</v>
      </c>
      <c r="G172" s="21" t="s">
        <v>1221</v>
      </c>
      <c r="H172" s="21" t="s">
        <v>1221</v>
      </c>
      <c r="I172" s="21" t="s">
        <v>1221</v>
      </c>
      <c r="J172" s="21" t="s">
        <v>30</v>
      </c>
      <c r="K172" s="5"/>
      <c r="L172" s="5" t="s">
        <v>31</v>
      </c>
      <c r="M172" s="21" t="s">
        <v>1114</v>
      </c>
      <c r="N172" s="21" t="s">
        <v>975</v>
      </c>
      <c r="O172" s="21" t="s">
        <v>101</v>
      </c>
      <c r="P172" s="21" t="s">
        <v>124</v>
      </c>
      <c r="Q172" s="21" t="s">
        <v>36</v>
      </c>
      <c r="R172" s="21" t="s">
        <v>1252</v>
      </c>
      <c r="S172" s="21" t="s">
        <v>514</v>
      </c>
      <c r="V172" s="21" t="s">
        <v>1237</v>
      </c>
      <c r="W17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72" s="9">
        <f>+DATE(YEAR(Control[[#This Row],[Fecha Requisición]]),MONTH(Control[[#This Row],[Fecha Requisición]]),1)</f>
        <v>46266</v>
      </c>
      <c r="Y172" s="14" t="str">
        <f>+IF(Control[[#This Row],[Fecha de entrega]]="","",NETWORKDAYS(Control[[#This Row],[Fecha Requisición]],Control[[#This Row],[Fecha de entrega]]))</f>
        <v/>
      </c>
      <c r="Z172" s="21"/>
      <c r="AA172" s="13">
        <f>+_xlfn.ISOWEEKNUM(Control[[#This Row],[Fecha Requisición]])</f>
        <v>36</v>
      </c>
    </row>
    <row r="173" spans="1:27">
      <c r="A173" s="21" t="s">
        <v>1226</v>
      </c>
      <c r="B173" s="21" t="s">
        <v>1227</v>
      </c>
      <c r="C173" s="21" t="s">
        <v>1228</v>
      </c>
      <c r="D173" s="21" t="s">
        <v>1253</v>
      </c>
      <c r="E173" s="21">
        <v>145</v>
      </c>
      <c r="F173" s="21" t="s">
        <v>1229</v>
      </c>
      <c r="G173" s="21" t="s">
        <v>1221</v>
      </c>
      <c r="H173" s="21" t="s">
        <v>1221</v>
      </c>
      <c r="I173" s="21" t="s">
        <v>1221</v>
      </c>
      <c r="J173" s="21" t="s">
        <v>30</v>
      </c>
      <c r="K173" s="5"/>
      <c r="L173" s="5" t="s">
        <v>31</v>
      </c>
      <c r="M173" s="21" t="s">
        <v>1247</v>
      </c>
      <c r="N173" s="21" t="s">
        <v>975</v>
      </c>
      <c r="O173" s="21" t="s">
        <v>101</v>
      </c>
      <c r="P173" s="21" t="s">
        <v>124</v>
      </c>
      <c r="Q173" s="21" t="s">
        <v>36</v>
      </c>
      <c r="R173" s="21" t="s">
        <v>1254</v>
      </c>
      <c r="S173" s="21" t="s">
        <v>514</v>
      </c>
      <c r="V173" s="21" t="s">
        <v>1237</v>
      </c>
      <c r="W17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73" s="9">
        <f>+DATE(YEAR(Control[[#This Row],[Fecha Requisición]]),MONTH(Control[[#This Row],[Fecha Requisición]]),1)</f>
        <v>46266</v>
      </c>
      <c r="Y173" s="14" t="str">
        <f>+IF(Control[[#This Row],[Fecha de entrega]]="","",NETWORKDAYS(Control[[#This Row],[Fecha Requisición]],Control[[#This Row],[Fecha de entrega]]))</f>
        <v/>
      </c>
      <c r="Z173" s="21"/>
      <c r="AA173" s="13">
        <f>+_xlfn.ISOWEEKNUM(Control[[#This Row],[Fecha Requisición]])</f>
        <v>36</v>
      </c>
    </row>
    <row r="174" spans="1:27">
      <c r="A174" s="21" t="s">
        <v>199</v>
      </c>
      <c r="B174" s="21" t="s">
        <v>200</v>
      </c>
      <c r="C174" s="21" t="s">
        <v>201</v>
      </c>
      <c r="D174" s="21"/>
      <c r="E174" s="21">
        <v>18</v>
      </c>
      <c r="F174" s="21" t="s">
        <v>202</v>
      </c>
      <c r="G174" s="21" t="s">
        <v>203</v>
      </c>
      <c r="H174" s="21" t="s">
        <v>203</v>
      </c>
      <c r="I174" s="21"/>
      <c r="J174" s="21"/>
      <c r="K174" s="5"/>
      <c r="L174" s="5" t="s">
        <v>55</v>
      </c>
      <c r="M174" s="21"/>
      <c r="N174" s="21" t="s">
        <v>204</v>
      </c>
      <c r="O174" s="21" t="s">
        <v>86</v>
      </c>
      <c r="P174" s="21" t="s">
        <v>58</v>
      </c>
      <c r="Q174" s="21" t="s">
        <v>36</v>
      </c>
      <c r="R174" s="21"/>
      <c r="S174" s="21" t="s">
        <v>641</v>
      </c>
      <c r="V174" s="21" t="s">
        <v>641</v>
      </c>
      <c r="W17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74" s="9">
        <f>+DATE(YEAR(Control[[#This Row],[Fecha Requisición]]),MONTH(Control[[#This Row],[Fecha Requisición]]),1)</f>
        <v>46174</v>
      </c>
      <c r="Y174" s="14" t="str">
        <f>+IF(Control[[#This Row],[Fecha de entrega]]="","",NETWORKDAYS(Control[[#This Row],[Fecha Requisición]],Control[[#This Row],[Fecha de entrega]]))</f>
        <v/>
      </c>
      <c r="Z174" s="21"/>
      <c r="AA174" s="13">
        <f>+_xlfn.ISOWEEKNUM(Control[[#This Row],[Fecha Requisición]])</f>
        <v>23</v>
      </c>
    </row>
    <row r="175" spans="1:27">
      <c r="A175" s="21" t="s">
        <v>205</v>
      </c>
      <c r="B175" s="21" t="s">
        <v>206</v>
      </c>
      <c r="C175" s="21" t="s">
        <v>716</v>
      </c>
      <c r="D175" s="21"/>
      <c r="E175" s="21">
        <v>21</v>
      </c>
      <c r="F175" s="21" t="s">
        <v>207</v>
      </c>
      <c r="G175" s="21" t="s">
        <v>195</v>
      </c>
      <c r="H175" s="21" t="s">
        <v>195</v>
      </c>
      <c r="I175" s="21"/>
      <c r="J175" s="21"/>
      <c r="K175" s="5"/>
      <c r="L175" s="5" t="s">
        <v>31</v>
      </c>
      <c r="M175" s="21"/>
      <c r="N175" s="21" t="s">
        <v>167</v>
      </c>
      <c r="O175" s="21" t="s">
        <v>86</v>
      </c>
      <c r="P175" s="21" t="s">
        <v>35</v>
      </c>
      <c r="Q175" s="21" t="s">
        <v>36</v>
      </c>
      <c r="R175" s="21"/>
      <c r="S175" s="21" t="s">
        <v>641</v>
      </c>
      <c r="V175" s="21" t="s">
        <v>641</v>
      </c>
      <c r="W17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75" s="9">
        <f>+DATE(YEAR(Control[[#This Row],[Fecha Requisición]]),MONTH(Control[[#This Row],[Fecha Requisición]]),1)</f>
        <v>46174</v>
      </c>
      <c r="Y175" s="14" t="str">
        <f>+IF(Control[[#This Row],[Fecha de entrega]]="","",NETWORKDAYS(Control[[#This Row],[Fecha Requisición]],Control[[#This Row],[Fecha de entrega]]))</f>
        <v/>
      </c>
      <c r="Z175" s="21"/>
      <c r="AA175" s="13">
        <f>+_xlfn.ISOWEEKNUM(Control[[#This Row],[Fecha Requisición]])</f>
        <v>23</v>
      </c>
    </row>
    <row r="176" spans="1:27">
      <c r="A176" s="21" t="s">
        <v>208</v>
      </c>
      <c r="B176" s="21" t="s">
        <v>209</v>
      </c>
      <c r="C176" s="21" t="s">
        <v>210</v>
      </c>
      <c r="D176" s="21"/>
      <c r="E176" s="21">
        <v>26</v>
      </c>
      <c r="F176" s="21" t="s">
        <v>211</v>
      </c>
      <c r="G176" s="21" t="s">
        <v>212</v>
      </c>
      <c r="H176" s="21" t="s">
        <v>212</v>
      </c>
      <c r="I176" s="21"/>
      <c r="J176" s="21"/>
      <c r="K176" s="5"/>
      <c r="L176" s="5" t="s">
        <v>31</v>
      </c>
      <c r="M176" s="21"/>
      <c r="N176" s="21" t="s">
        <v>213</v>
      </c>
      <c r="O176" s="21" t="s">
        <v>101</v>
      </c>
      <c r="P176" s="21" t="s">
        <v>124</v>
      </c>
      <c r="Q176" s="21" t="s">
        <v>36</v>
      </c>
      <c r="R176" s="21"/>
      <c r="S176" s="21" t="s">
        <v>641</v>
      </c>
      <c r="V176" s="21" t="s">
        <v>641</v>
      </c>
      <c r="W17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76" s="9">
        <f>+DATE(YEAR(Control[[#This Row],[Fecha Requisición]]),MONTH(Control[[#This Row],[Fecha Requisición]]),1)</f>
        <v>46174</v>
      </c>
      <c r="Y176" s="14" t="str">
        <f>+IF(Control[[#This Row],[Fecha de entrega]]="","",NETWORKDAYS(Control[[#This Row],[Fecha Requisición]],Control[[#This Row],[Fecha de entrega]]))</f>
        <v/>
      </c>
      <c r="Z176" s="21"/>
      <c r="AA176" s="13">
        <f>+_xlfn.ISOWEEKNUM(Control[[#This Row],[Fecha Requisición]])</f>
        <v>25</v>
      </c>
    </row>
    <row r="177" spans="1:27">
      <c r="A177" s="21" t="s">
        <v>214</v>
      </c>
      <c r="B177" s="21" t="s">
        <v>215</v>
      </c>
      <c r="C177" s="21" t="s">
        <v>216</v>
      </c>
      <c r="D177" s="21"/>
      <c r="E177" s="21">
        <v>27</v>
      </c>
      <c r="F177" s="21" t="s">
        <v>217</v>
      </c>
      <c r="G177" s="21" t="s">
        <v>218</v>
      </c>
      <c r="H177" s="21" t="s">
        <v>218</v>
      </c>
      <c r="I177" s="21"/>
      <c r="J177" s="21"/>
      <c r="K177" s="5"/>
      <c r="L177" s="5" t="s">
        <v>31</v>
      </c>
      <c r="M177" s="21"/>
      <c r="N177" s="21" t="s">
        <v>219</v>
      </c>
      <c r="O177" s="21" t="s">
        <v>101</v>
      </c>
      <c r="P177" s="21" t="s">
        <v>124</v>
      </c>
      <c r="Q177" s="21" t="s">
        <v>36</v>
      </c>
      <c r="R177" s="21"/>
      <c r="S177" s="21" t="s">
        <v>641</v>
      </c>
      <c r="V177" s="21" t="s">
        <v>641</v>
      </c>
      <c r="W17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77" s="9">
        <f>+DATE(YEAR(Control[[#This Row],[Fecha Requisición]]),MONTH(Control[[#This Row],[Fecha Requisición]]),1)</f>
        <v>46174</v>
      </c>
      <c r="Y177" s="14" t="str">
        <f>+IF(Control[[#This Row],[Fecha de entrega]]="","",NETWORKDAYS(Control[[#This Row],[Fecha Requisición]],Control[[#This Row],[Fecha de entrega]]))</f>
        <v/>
      </c>
      <c r="Z177" s="21"/>
      <c r="AA177" s="13">
        <f>+_xlfn.ISOWEEKNUM(Control[[#This Row],[Fecha Requisición]])</f>
        <v>24</v>
      </c>
    </row>
    <row r="178" spans="1:27">
      <c r="A178" s="21" t="s">
        <v>220</v>
      </c>
      <c r="B178" s="21" t="s">
        <v>221</v>
      </c>
      <c r="C178" s="21" t="s">
        <v>222</v>
      </c>
      <c r="D178" s="21"/>
      <c r="E178" s="21">
        <v>28</v>
      </c>
      <c r="F178" s="21" t="s">
        <v>223</v>
      </c>
      <c r="G178" s="21" t="s">
        <v>218</v>
      </c>
      <c r="H178" s="21" t="s">
        <v>218</v>
      </c>
      <c r="I178" s="21"/>
      <c r="J178" s="21"/>
      <c r="K178" s="5"/>
      <c r="L178" s="5" t="s">
        <v>31</v>
      </c>
      <c r="M178" s="21"/>
      <c r="N178" s="21" t="s">
        <v>158</v>
      </c>
      <c r="O178" s="21" t="s">
        <v>57</v>
      </c>
      <c r="P178" s="21" t="s">
        <v>124</v>
      </c>
      <c r="Q178" s="21" t="s">
        <v>36</v>
      </c>
      <c r="R178" s="21"/>
      <c r="S178" s="21" t="s">
        <v>641</v>
      </c>
      <c r="V178" s="21" t="s">
        <v>641</v>
      </c>
      <c r="W17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78" s="9">
        <f>+DATE(YEAR(Control[[#This Row],[Fecha Requisición]]),MONTH(Control[[#This Row],[Fecha Requisición]]),1)</f>
        <v>46174</v>
      </c>
      <c r="Y178" s="14" t="str">
        <f>+IF(Control[[#This Row],[Fecha de entrega]]="","",NETWORKDAYS(Control[[#This Row],[Fecha Requisición]],Control[[#This Row],[Fecha de entrega]]))</f>
        <v/>
      </c>
      <c r="Z178" s="21"/>
      <c r="AA178" s="13">
        <f>+_xlfn.ISOWEEKNUM(Control[[#This Row],[Fecha Requisición]])</f>
        <v>24</v>
      </c>
    </row>
    <row r="179" spans="1:27">
      <c r="A179" s="21" t="s">
        <v>224</v>
      </c>
      <c r="B179" s="21" t="s">
        <v>225</v>
      </c>
      <c r="C179" s="21" t="s">
        <v>226</v>
      </c>
      <c r="D179" s="21"/>
      <c r="E179" s="21">
        <v>29</v>
      </c>
      <c r="F179" s="21" t="s">
        <v>227</v>
      </c>
      <c r="G179" s="21" t="s">
        <v>212</v>
      </c>
      <c r="H179" s="21" t="s">
        <v>212</v>
      </c>
      <c r="I179" s="21"/>
      <c r="J179" s="21"/>
      <c r="K179" s="5"/>
      <c r="L179" s="5" t="s">
        <v>31</v>
      </c>
      <c r="M179" s="21"/>
      <c r="N179" s="21" t="s">
        <v>219</v>
      </c>
      <c r="O179" s="21" t="s">
        <v>101</v>
      </c>
      <c r="P179" s="21" t="s">
        <v>124</v>
      </c>
      <c r="Q179" s="21" t="s">
        <v>36</v>
      </c>
      <c r="R179" s="21"/>
      <c r="S179" s="21" t="s">
        <v>641</v>
      </c>
      <c r="V179" s="21" t="s">
        <v>641</v>
      </c>
      <c r="W17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79" s="9">
        <f>+DATE(YEAR(Control[[#This Row],[Fecha Requisición]]),MONTH(Control[[#This Row],[Fecha Requisición]]),1)</f>
        <v>46174</v>
      </c>
      <c r="Y179" s="14" t="str">
        <f>+IF(Control[[#This Row],[Fecha de entrega]]="","",NETWORKDAYS(Control[[#This Row],[Fecha Requisición]],Control[[#This Row],[Fecha de entrega]]))</f>
        <v/>
      </c>
      <c r="Z179" s="21"/>
      <c r="AA179" s="13">
        <f>+_xlfn.ISOWEEKNUM(Control[[#This Row],[Fecha Requisición]])</f>
        <v>25</v>
      </c>
    </row>
    <row r="180" spans="1:27">
      <c r="A180" s="21" t="s">
        <v>379</v>
      </c>
      <c r="B180" s="21" t="s">
        <v>380</v>
      </c>
      <c r="C180" s="21" t="s">
        <v>602</v>
      </c>
      <c r="D180" s="21"/>
      <c r="E180" s="21">
        <v>47</v>
      </c>
      <c r="F180" s="21" t="s">
        <v>381</v>
      </c>
      <c r="G180" s="21" t="s">
        <v>382</v>
      </c>
      <c r="H180" s="21" t="s">
        <v>382</v>
      </c>
      <c r="I180" s="21"/>
      <c r="J180" s="21"/>
      <c r="K180" s="5"/>
      <c r="L180" s="5" t="s">
        <v>55</v>
      </c>
      <c r="M180" s="21"/>
      <c r="N180" s="21" t="s">
        <v>383</v>
      </c>
      <c r="O180" s="21" t="s">
        <v>384</v>
      </c>
      <c r="P180" s="21" t="s">
        <v>58</v>
      </c>
      <c r="Q180" s="21" t="s">
        <v>36</v>
      </c>
      <c r="R180" s="21"/>
      <c r="S180" s="21" t="s">
        <v>641</v>
      </c>
      <c r="V180" s="21" t="s">
        <v>641</v>
      </c>
      <c r="W18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80" s="9">
        <f>+DATE(YEAR(Control[[#This Row],[Fecha Requisición]]),MONTH(Control[[#This Row],[Fecha Requisición]]),1)</f>
        <v>46204</v>
      </c>
      <c r="Y180" s="14" t="str">
        <f>+IF(Control[[#This Row],[Fecha de entrega]]="","",NETWORKDAYS(Control[[#This Row],[Fecha Requisición]],Control[[#This Row],[Fecha de entrega]]))</f>
        <v/>
      </c>
      <c r="Z180" s="21"/>
      <c r="AA180" s="13">
        <f>+_xlfn.ISOWEEKNUM(Control[[#This Row],[Fecha Requisición]])</f>
        <v>28</v>
      </c>
    </row>
    <row r="181" spans="1:27">
      <c r="A181" s="21" t="s">
        <v>385</v>
      </c>
      <c r="B181" s="21" t="s">
        <v>386</v>
      </c>
      <c r="C181" s="21" t="s">
        <v>603</v>
      </c>
      <c r="D181" s="21"/>
      <c r="E181" s="21">
        <v>48</v>
      </c>
      <c r="F181" s="21" t="s">
        <v>387</v>
      </c>
      <c r="G181" s="21" t="s">
        <v>382</v>
      </c>
      <c r="H181" s="21" t="s">
        <v>382</v>
      </c>
      <c r="I181" s="21"/>
      <c r="J181" s="21"/>
      <c r="K181" s="5"/>
      <c r="L181" s="5"/>
      <c r="M181" s="21"/>
      <c r="N181" s="21" t="s">
        <v>388</v>
      </c>
      <c r="O181" s="21" t="s">
        <v>176</v>
      </c>
      <c r="P181" s="21" t="s">
        <v>58</v>
      </c>
      <c r="Q181" s="21" t="s">
        <v>94</v>
      </c>
      <c r="R181" s="21"/>
      <c r="S181" s="21" t="s">
        <v>641</v>
      </c>
      <c r="V181" s="21" t="s">
        <v>641</v>
      </c>
      <c r="W18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81" s="9">
        <f>+DATE(YEAR(Control[[#This Row],[Fecha Requisición]]),MONTH(Control[[#This Row],[Fecha Requisición]]),1)</f>
        <v>46204</v>
      </c>
      <c r="Y181" s="14" t="str">
        <f>+IF(Control[[#This Row],[Fecha de entrega]]="","",NETWORKDAYS(Control[[#This Row],[Fecha Requisición]],Control[[#This Row],[Fecha de entrega]]))</f>
        <v/>
      </c>
      <c r="Z181" s="21"/>
      <c r="AA181" s="13">
        <f>+_xlfn.ISOWEEKNUM(Control[[#This Row],[Fecha Requisición]])</f>
        <v>28</v>
      </c>
    </row>
    <row r="182" spans="1:27">
      <c r="A182" s="21" t="s">
        <v>634</v>
      </c>
      <c r="B182" s="21" t="s">
        <v>635</v>
      </c>
      <c r="C182" s="21" t="s">
        <v>673</v>
      </c>
      <c r="D182" s="21"/>
      <c r="E182" s="21">
        <v>71</v>
      </c>
      <c r="F182" s="21" t="s">
        <v>636</v>
      </c>
      <c r="G182" s="21" t="s">
        <v>637</v>
      </c>
      <c r="H182" s="21" t="s">
        <v>637</v>
      </c>
      <c r="I182" s="21"/>
      <c r="J182" s="21"/>
      <c r="K182" s="5"/>
      <c r="L182" s="5" t="s">
        <v>31</v>
      </c>
      <c r="M182" s="21"/>
      <c r="N182" s="21" t="s">
        <v>307</v>
      </c>
      <c r="O182" s="21" t="s">
        <v>86</v>
      </c>
      <c r="P182" s="21" t="s">
        <v>124</v>
      </c>
      <c r="Q182" s="21" t="s">
        <v>36</v>
      </c>
      <c r="R182" s="21"/>
      <c r="S182" s="21" t="s">
        <v>723</v>
      </c>
      <c r="V182" s="21" t="s">
        <v>641</v>
      </c>
      <c r="W18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82" s="9">
        <f>+DATE(YEAR(Control[[#This Row],[Fecha Requisición]]),MONTH(Control[[#This Row],[Fecha Requisición]]),1)</f>
        <v>46204</v>
      </c>
      <c r="Y182" s="14" t="str">
        <f>+IF(Control[[#This Row],[Fecha de entrega]]="","",NETWORKDAYS(Control[[#This Row],[Fecha Requisición]],Control[[#This Row],[Fecha de entrega]]))</f>
        <v/>
      </c>
      <c r="Z182" s="21"/>
      <c r="AA182" s="13">
        <f>+_xlfn.ISOWEEKNUM(Control[[#This Row],[Fecha Requisición]])</f>
        <v>30</v>
      </c>
    </row>
    <row r="183" spans="1:27">
      <c r="A183" s="21" t="s">
        <v>638</v>
      </c>
      <c r="B183" s="21" t="s">
        <v>639</v>
      </c>
      <c r="C183" s="21" t="s">
        <v>674</v>
      </c>
      <c r="D183" s="21"/>
      <c r="E183" s="21">
        <v>72</v>
      </c>
      <c r="F183" s="21" t="s">
        <v>640</v>
      </c>
      <c r="G183" s="21" t="s">
        <v>637</v>
      </c>
      <c r="H183" s="21" t="s">
        <v>637</v>
      </c>
      <c r="I183" s="21"/>
      <c r="J183" s="21"/>
      <c r="K183" s="5"/>
      <c r="L183" s="5" t="s">
        <v>31</v>
      </c>
      <c r="M183" s="21"/>
      <c r="N183" s="21" t="s">
        <v>307</v>
      </c>
      <c r="O183" s="21" t="s">
        <v>86</v>
      </c>
      <c r="P183" s="21" t="s">
        <v>124</v>
      </c>
      <c r="Q183" s="21" t="s">
        <v>36</v>
      </c>
      <c r="R183" s="21"/>
      <c r="S183" s="21" t="s">
        <v>641</v>
      </c>
      <c r="V183" s="21" t="s">
        <v>641</v>
      </c>
      <c r="W18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83" s="9">
        <f>+DATE(YEAR(Control[[#This Row],[Fecha Requisición]]),MONTH(Control[[#This Row],[Fecha Requisición]]),1)</f>
        <v>46204</v>
      </c>
      <c r="Y183" s="14" t="str">
        <f>+IF(Control[[#This Row],[Fecha de entrega]]="","",NETWORKDAYS(Control[[#This Row],[Fecha Requisición]],Control[[#This Row],[Fecha de entrega]]))</f>
        <v/>
      </c>
      <c r="Z183" s="21"/>
      <c r="AA183" s="13">
        <f>+_xlfn.ISOWEEKNUM(Control[[#This Row],[Fecha Requisición]])</f>
        <v>30</v>
      </c>
    </row>
    <row r="184" spans="1:27">
      <c r="A184" s="21" t="s">
        <v>754</v>
      </c>
      <c r="B184" s="21" t="s">
        <v>755</v>
      </c>
      <c r="C184" s="21" t="s">
        <v>756</v>
      </c>
      <c r="D184" s="21"/>
      <c r="E184" s="21">
        <v>79</v>
      </c>
      <c r="F184" s="21" t="s">
        <v>757</v>
      </c>
      <c r="G184" s="21" t="s">
        <v>747</v>
      </c>
      <c r="H184" s="21" t="s">
        <v>747</v>
      </c>
      <c r="I184" s="21"/>
      <c r="J184" s="21"/>
      <c r="K184" s="5"/>
      <c r="L184" s="5" t="s">
        <v>55</v>
      </c>
      <c r="M184" s="21"/>
      <c r="N184" s="21" t="s">
        <v>705</v>
      </c>
      <c r="O184" s="21" t="s">
        <v>101</v>
      </c>
      <c r="P184" s="21" t="s">
        <v>58</v>
      </c>
      <c r="Q184" s="21" t="s">
        <v>36</v>
      </c>
      <c r="R184" s="21"/>
      <c r="S184" s="21" t="s">
        <v>514</v>
      </c>
      <c r="U184" s="2">
        <v>46239</v>
      </c>
      <c r="V184" s="21" t="s">
        <v>817</v>
      </c>
      <c r="W184" s="13" t="s">
        <v>440</v>
      </c>
      <c r="X184" s="9">
        <f>+DATE(YEAR(Control[[#This Row],[Fecha Requisición]]),MONTH(Control[[#This Row],[Fecha Requisición]]),1)</f>
        <v>46204</v>
      </c>
      <c r="Y184" s="14">
        <f>+IF(Control[[#This Row],[Fecha de entrega]]="","",NETWORKDAYS(Control[[#This Row],[Fecha Requisición]],Control[[#This Row],[Fecha de entrega]]))</f>
        <v>5</v>
      </c>
      <c r="Z184" s="21"/>
      <c r="AA184" s="13">
        <f>+_xlfn.ISOWEEKNUM(Control[[#This Row],[Fecha Requisición]])</f>
        <v>31</v>
      </c>
    </row>
    <row r="185" spans="1:27">
      <c r="A185" s="21" t="s">
        <v>777</v>
      </c>
      <c r="B185" s="21" t="s">
        <v>778</v>
      </c>
      <c r="C185" s="21" t="s">
        <v>833</v>
      </c>
      <c r="D185" s="21"/>
      <c r="E185" s="21">
        <v>82</v>
      </c>
      <c r="F185" s="21" t="s">
        <v>779</v>
      </c>
      <c r="G185" s="21" t="s">
        <v>780</v>
      </c>
      <c r="H185" s="21" t="s">
        <v>780</v>
      </c>
      <c r="I185" s="21"/>
      <c r="J185" s="21"/>
      <c r="K185" s="5"/>
      <c r="L185" s="5"/>
      <c r="M185" s="21"/>
      <c r="N185" s="21"/>
      <c r="O185" s="21" t="s">
        <v>57</v>
      </c>
      <c r="P185" s="21" t="s">
        <v>35</v>
      </c>
      <c r="Q185" s="21" t="s">
        <v>94</v>
      </c>
      <c r="R185" s="21"/>
      <c r="S185" s="21" t="s">
        <v>514</v>
      </c>
      <c r="U185" s="2">
        <v>46239</v>
      </c>
      <c r="V185" s="21" t="s">
        <v>642</v>
      </c>
      <c r="W185" s="13" t="s">
        <v>440</v>
      </c>
      <c r="X185" s="9">
        <f>+DATE(YEAR(Control[[#This Row],[Fecha Requisición]]),MONTH(Control[[#This Row],[Fecha Requisición]]),1)</f>
        <v>46204</v>
      </c>
      <c r="Y185" s="14">
        <f>+IF(Control[[#This Row],[Fecha de entrega]]="","",NETWORKDAYS(Control[[#This Row],[Fecha Requisición]],Control[[#This Row],[Fecha de entrega]]))</f>
        <v>6</v>
      </c>
      <c r="Z185" s="21"/>
      <c r="AA185" s="13">
        <f>+_xlfn.ISOWEEKNUM(Control[[#This Row],[Fecha Requisición]])</f>
        <v>31</v>
      </c>
    </row>
    <row r="186" spans="1:27">
      <c r="A186" s="21" t="s">
        <v>804</v>
      </c>
      <c r="B186" s="21" t="s">
        <v>805</v>
      </c>
      <c r="C186" s="21"/>
      <c r="D186" s="21"/>
      <c r="E186" s="21">
        <v>90</v>
      </c>
      <c r="F186" s="21" t="s">
        <v>806</v>
      </c>
      <c r="G186" s="21" t="s">
        <v>807</v>
      </c>
      <c r="H186" s="21"/>
      <c r="I186" s="21"/>
      <c r="J186" s="21"/>
      <c r="K186" s="5"/>
      <c r="L186" s="5" t="s">
        <v>31</v>
      </c>
      <c r="M186" s="21"/>
      <c r="N186" s="21" t="s">
        <v>307</v>
      </c>
      <c r="O186" s="21" t="s">
        <v>57</v>
      </c>
      <c r="P186" s="21" t="s">
        <v>124</v>
      </c>
      <c r="Q186" s="21" t="s">
        <v>36</v>
      </c>
      <c r="R186" s="21"/>
      <c r="S186" s="21" t="s">
        <v>514</v>
      </c>
      <c r="U186" s="2">
        <v>46237</v>
      </c>
      <c r="V186" s="21" t="s">
        <v>819</v>
      </c>
      <c r="W18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86" s="9">
        <f>+DATE(YEAR(Control[[#This Row],[Fecha Requisición]]),MONTH(Control[[#This Row],[Fecha Requisición]]),1)</f>
        <v>46204</v>
      </c>
      <c r="Y186" s="14">
        <f>+IF(Control[[#This Row],[Fecha de entrega]]="","",NETWORKDAYS(Control[[#This Row],[Fecha Requisición]],Control[[#This Row],[Fecha de entrega]]))</f>
        <v>22</v>
      </c>
      <c r="Z186" s="21"/>
      <c r="AA186" s="13">
        <f>+_xlfn.ISOWEEKNUM(Control[[#This Row],[Fecha Requisición]])</f>
        <v>27</v>
      </c>
    </row>
    <row r="187" spans="1:27">
      <c r="A187" s="21" t="s">
        <v>808</v>
      </c>
      <c r="B187" s="21" t="s">
        <v>809</v>
      </c>
      <c r="C187" s="21"/>
      <c r="D187" s="21"/>
      <c r="E187" s="21">
        <v>91</v>
      </c>
      <c r="F187" s="21" t="s">
        <v>810</v>
      </c>
      <c r="G187" s="21" t="s">
        <v>807</v>
      </c>
      <c r="H187" s="21"/>
      <c r="I187" s="21"/>
      <c r="J187" s="21"/>
      <c r="K187" s="5"/>
      <c r="L187" s="5" t="s">
        <v>31</v>
      </c>
      <c r="M187" s="21"/>
      <c r="N187" s="21" t="s">
        <v>307</v>
      </c>
      <c r="O187" s="21" t="s">
        <v>57</v>
      </c>
      <c r="P187" s="21" t="s">
        <v>124</v>
      </c>
      <c r="Q187" s="21" t="s">
        <v>36</v>
      </c>
      <c r="R187" s="21"/>
      <c r="S187" s="21" t="s">
        <v>514</v>
      </c>
      <c r="U187" s="2">
        <v>46237</v>
      </c>
      <c r="V187" s="21" t="s">
        <v>819</v>
      </c>
      <c r="W18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87" s="9">
        <f>+DATE(YEAR(Control[[#This Row],[Fecha Requisición]]),MONTH(Control[[#This Row],[Fecha Requisición]]),1)</f>
        <v>46204</v>
      </c>
      <c r="Y187" s="14">
        <f>+IF(Control[[#This Row],[Fecha de entrega]]="","",NETWORKDAYS(Control[[#This Row],[Fecha Requisición]],Control[[#This Row],[Fecha de entrega]]))</f>
        <v>22</v>
      </c>
      <c r="Z187" s="21"/>
      <c r="AA187" s="13">
        <f>+_xlfn.ISOWEEKNUM(Control[[#This Row],[Fecha Requisición]])</f>
        <v>27</v>
      </c>
    </row>
    <row r="188" spans="1:27">
      <c r="A188" s="21" t="s">
        <v>814</v>
      </c>
      <c r="B188" s="21" t="s">
        <v>815</v>
      </c>
      <c r="C188" s="21" t="s">
        <v>841</v>
      </c>
      <c r="D188" s="21"/>
      <c r="E188" s="21">
        <v>93</v>
      </c>
      <c r="F188" s="21" t="s">
        <v>816</v>
      </c>
      <c r="G188" s="21" t="s">
        <v>771</v>
      </c>
      <c r="H188" s="21" t="s">
        <v>771</v>
      </c>
      <c r="I188" s="21"/>
      <c r="J188" s="21"/>
      <c r="K188" s="5"/>
      <c r="L188" s="5" t="s">
        <v>55</v>
      </c>
      <c r="M188" s="21"/>
      <c r="N188" s="21" t="s">
        <v>213</v>
      </c>
      <c r="O188" s="21" t="s">
        <v>197</v>
      </c>
      <c r="P188" s="21" t="s">
        <v>58</v>
      </c>
      <c r="Q188" s="21" t="s">
        <v>36</v>
      </c>
      <c r="R188" s="21"/>
      <c r="S188" s="21" t="s">
        <v>641</v>
      </c>
      <c r="V188" s="21" t="s">
        <v>641</v>
      </c>
      <c r="W18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88" s="9">
        <f>+DATE(YEAR(Control[[#This Row],[Fecha Requisición]]),MONTH(Control[[#This Row],[Fecha Requisición]]),1)</f>
        <v>46204</v>
      </c>
      <c r="Y188" s="14" t="str">
        <f>+IF(Control[[#This Row],[Fecha de entrega]]="","",NETWORKDAYS(Control[[#This Row],[Fecha Requisición]],Control[[#This Row],[Fecha de entrega]]))</f>
        <v/>
      </c>
      <c r="Z188" s="21"/>
      <c r="AA188" s="13">
        <f>+_xlfn.ISOWEEKNUM(Control[[#This Row],[Fecha Requisición]])</f>
        <v>31</v>
      </c>
    </row>
    <row r="189" spans="1:27">
      <c r="A189" s="21" t="s">
        <v>1033</v>
      </c>
      <c r="B189" s="21" t="s">
        <v>1034</v>
      </c>
      <c r="C189" s="21" t="s">
        <v>1035</v>
      </c>
      <c r="D189" s="21"/>
      <c r="E189" s="21">
        <v>120</v>
      </c>
      <c r="F189" s="21" t="s">
        <v>1036</v>
      </c>
      <c r="G189" s="21" t="s">
        <v>1037</v>
      </c>
      <c r="H189" s="21" t="s">
        <v>1037</v>
      </c>
      <c r="I189" s="21"/>
      <c r="J189" s="21"/>
      <c r="K189" s="5"/>
      <c r="L189" s="5" t="s">
        <v>31</v>
      </c>
      <c r="M189" s="21"/>
      <c r="N189" s="21" t="s">
        <v>909</v>
      </c>
      <c r="O189" s="21" t="s">
        <v>197</v>
      </c>
      <c r="P189" s="21" t="s">
        <v>273</v>
      </c>
      <c r="Q189" s="21" t="s">
        <v>59</v>
      </c>
      <c r="R189" s="21"/>
      <c r="S189" s="21" t="s">
        <v>641</v>
      </c>
      <c r="V189" s="21" t="s">
        <v>1141</v>
      </c>
      <c r="W18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89" s="9">
        <f>+DATE(YEAR(Control[[#This Row],[Fecha Requisición]]),MONTH(Control[[#This Row],[Fecha Requisición]]),1)</f>
        <v>46235</v>
      </c>
      <c r="Y189" s="14" t="str">
        <f>+IF(Control[[#This Row],[Fecha de entrega]]="","",NETWORKDAYS(Control[[#This Row],[Fecha Requisición]],Control[[#This Row],[Fecha de entrega]]))</f>
        <v/>
      </c>
      <c r="Z189" s="21"/>
      <c r="AA189" s="13">
        <f>+_xlfn.ISOWEEKNUM(Control[[#This Row],[Fecha Requisición]])</f>
        <v>34</v>
      </c>
    </row>
    <row r="190" spans="1:27">
      <c r="A190" s="21" t="s">
        <v>1051</v>
      </c>
      <c r="B190" s="21" t="s">
        <v>1052</v>
      </c>
      <c r="C190" s="21" t="s">
        <v>1053</v>
      </c>
      <c r="D190" s="21"/>
      <c r="E190" s="21">
        <v>123</v>
      </c>
      <c r="F190" s="21" t="s">
        <v>1054</v>
      </c>
      <c r="G190" s="21" t="s">
        <v>1050</v>
      </c>
      <c r="H190" s="21" t="s">
        <v>1050</v>
      </c>
      <c r="I190" s="21"/>
      <c r="J190" s="21"/>
      <c r="K190" s="5"/>
      <c r="L190" s="5" t="s">
        <v>55</v>
      </c>
      <c r="M190" s="21"/>
      <c r="N190" s="21" t="s">
        <v>93</v>
      </c>
      <c r="O190" s="21" t="s">
        <v>101</v>
      </c>
      <c r="P190" s="21" t="s">
        <v>58</v>
      </c>
      <c r="Q190" s="21" t="s">
        <v>94</v>
      </c>
      <c r="R190" s="21"/>
      <c r="S190" s="21" t="s">
        <v>641</v>
      </c>
      <c r="V190" s="21" t="s">
        <v>1085</v>
      </c>
      <c r="W19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90" s="9">
        <f>+DATE(YEAR(Control[[#This Row],[Fecha Requisición]]),MONTH(Control[[#This Row],[Fecha Requisición]]),1)</f>
        <v>46235</v>
      </c>
      <c r="Y190" s="14" t="str">
        <f>+IF(Control[[#This Row],[Fecha de entrega]]="","",NETWORKDAYS(Control[[#This Row],[Fecha Requisición]],Control[[#This Row],[Fecha de entrega]]))</f>
        <v/>
      </c>
      <c r="Z190" s="21"/>
      <c r="AA190" s="13">
        <f>+_xlfn.ISOWEEKNUM(Control[[#This Row],[Fecha Requisición]])</f>
        <v>35</v>
      </c>
    </row>
    <row r="191" spans="1:27">
      <c r="A191" s="21" t="s">
        <v>1055</v>
      </c>
      <c r="B191" s="21" t="s">
        <v>1056</v>
      </c>
      <c r="C191" s="21" t="s">
        <v>1057</v>
      </c>
      <c r="D191" s="21"/>
      <c r="E191" s="21">
        <v>124</v>
      </c>
      <c r="F191" s="21" t="s">
        <v>1058</v>
      </c>
      <c r="G191" s="21" t="s">
        <v>1050</v>
      </c>
      <c r="H191" s="21" t="s">
        <v>1050</v>
      </c>
      <c r="I191" s="21"/>
      <c r="J191" s="21"/>
      <c r="K191" s="5"/>
      <c r="L191" s="5"/>
      <c r="M191" s="21"/>
      <c r="N191" s="21"/>
      <c r="O191" s="21"/>
      <c r="P191" s="21"/>
      <c r="Q191" s="21"/>
      <c r="R191" s="21"/>
      <c r="S191" s="21" t="s">
        <v>514</v>
      </c>
      <c r="T191" s="2">
        <v>46262</v>
      </c>
      <c r="U191" s="2">
        <v>46267</v>
      </c>
      <c r="V191" s="21" t="s">
        <v>642</v>
      </c>
      <c r="W19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91" s="9">
        <f>+DATE(YEAR(Control[[#This Row],[Fecha Requisición]]),MONTH(Control[[#This Row],[Fecha Requisición]]),1)</f>
        <v>46235</v>
      </c>
      <c r="Y191" s="14">
        <f>+IF(Control[[#This Row],[Fecha de entrega]]="","",NETWORKDAYS(Control[[#This Row],[Fecha Requisición]],Control[[#This Row],[Fecha de entrega]]))</f>
        <v>8</v>
      </c>
      <c r="Z191" s="21"/>
      <c r="AA191" s="13">
        <f>+_xlfn.ISOWEEKNUM(Control[[#This Row],[Fecha Requisición]])</f>
        <v>35</v>
      </c>
    </row>
    <row r="192" spans="1:27">
      <c r="A192" s="21" t="s">
        <v>1071</v>
      </c>
      <c r="B192" s="21" t="s">
        <v>1072</v>
      </c>
      <c r="C192" s="21" t="s">
        <v>1073</v>
      </c>
      <c r="D192" s="21"/>
      <c r="E192" s="21">
        <v>127</v>
      </c>
      <c r="F192" s="21" t="s">
        <v>1074</v>
      </c>
      <c r="G192" s="21" t="s">
        <v>1075</v>
      </c>
      <c r="H192" s="21" t="s">
        <v>1075</v>
      </c>
      <c r="I192" s="21"/>
      <c r="J192" s="21"/>
      <c r="K192" s="5"/>
      <c r="L192" s="5" t="s">
        <v>31</v>
      </c>
      <c r="M192" s="21"/>
      <c r="N192" s="21" t="s">
        <v>975</v>
      </c>
      <c r="O192" s="21" t="s">
        <v>57</v>
      </c>
      <c r="P192" s="21" t="s">
        <v>124</v>
      </c>
      <c r="Q192" s="21" t="s">
        <v>36</v>
      </c>
      <c r="R192" s="21"/>
      <c r="S192" s="21" t="s">
        <v>641</v>
      </c>
      <c r="V192" s="21" t="s">
        <v>818</v>
      </c>
      <c r="W19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92" s="9">
        <f>+DATE(YEAR(Control[[#This Row],[Fecha Requisición]]),MONTH(Control[[#This Row],[Fecha Requisición]]),1)</f>
        <v>46235</v>
      </c>
      <c r="Y192" s="14" t="str">
        <f>+IF(Control[[#This Row],[Fecha de entrega]]="","",NETWORKDAYS(Control[[#This Row],[Fecha Requisición]],Control[[#This Row],[Fecha de entrega]]))</f>
        <v/>
      </c>
      <c r="Z192" s="21"/>
      <c r="AA192" s="13">
        <f>+_xlfn.ISOWEEKNUM(Control[[#This Row],[Fecha Requisición]])</f>
        <v>35</v>
      </c>
    </row>
    <row r="193" spans="1:27">
      <c r="A193" s="21" t="s">
        <v>1076</v>
      </c>
      <c r="B193" s="21" t="s">
        <v>1077</v>
      </c>
      <c r="C193" s="21" t="s">
        <v>1078</v>
      </c>
      <c r="D193" s="21"/>
      <c r="E193" s="21">
        <v>128</v>
      </c>
      <c r="F193" s="21" t="s">
        <v>1079</v>
      </c>
      <c r="G193" s="21" t="s">
        <v>1075</v>
      </c>
      <c r="H193" s="21" t="s">
        <v>1075</v>
      </c>
      <c r="I193" s="21"/>
      <c r="J193" s="21"/>
      <c r="K193" s="5"/>
      <c r="L193" s="5" t="s">
        <v>31</v>
      </c>
      <c r="M193" s="21"/>
      <c r="N193" s="21" t="s">
        <v>975</v>
      </c>
      <c r="O193" s="21" t="s">
        <v>101</v>
      </c>
      <c r="P193" s="21" t="s">
        <v>124</v>
      </c>
      <c r="Q193" s="21" t="s">
        <v>36</v>
      </c>
      <c r="R193" s="21"/>
      <c r="S193" s="21" t="s">
        <v>641</v>
      </c>
      <c r="V193" s="21" t="s">
        <v>818</v>
      </c>
      <c r="W19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93" s="9">
        <f>+DATE(YEAR(Control[[#This Row],[Fecha Requisición]]),MONTH(Control[[#This Row],[Fecha Requisición]]),1)</f>
        <v>46235</v>
      </c>
      <c r="Y193" s="14" t="str">
        <f>+IF(Control[[#This Row],[Fecha de entrega]]="","",NETWORKDAYS(Control[[#This Row],[Fecha Requisición]],Control[[#This Row],[Fecha de entrega]]))</f>
        <v/>
      </c>
      <c r="Z193" s="21"/>
      <c r="AA193" s="13">
        <f>+_xlfn.ISOWEEKNUM(Control[[#This Row],[Fecha Requisición]])</f>
        <v>35</v>
      </c>
    </row>
    <row r="194" spans="1:27">
      <c r="A194" s="21" t="s">
        <v>1080</v>
      </c>
      <c r="B194" s="21" t="s">
        <v>1081</v>
      </c>
      <c r="C194" s="21" t="s">
        <v>1082</v>
      </c>
      <c r="D194" s="21"/>
      <c r="E194" s="21">
        <v>129</v>
      </c>
      <c r="F194" s="21" t="s">
        <v>1083</v>
      </c>
      <c r="G194" s="21" t="s">
        <v>1075</v>
      </c>
      <c r="H194" s="21" t="s">
        <v>1075</v>
      </c>
      <c r="I194" s="21"/>
      <c r="J194" s="21"/>
      <c r="K194" s="5"/>
      <c r="L194" s="5" t="s">
        <v>31</v>
      </c>
      <c r="M194" s="21"/>
      <c r="N194" s="21" t="s">
        <v>975</v>
      </c>
      <c r="O194" s="21" t="s">
        <v>123</v>
      </c>
      <c r="P194" s="21" t="s">
        <v>124</v>
      </c>
      <c r="Q194" s="21" t="s">
        <v>36</v>
      </c>
      <c r="R194" s="21"/>
      <c r="S194" s="21" t="s">
        <v>641</v>
      </c>
      <c r="V194" s="21" t="s">
        <v>818</v>
      </c>
      <c r="W19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94" s="9">
        <f>+DATE(YEAR(Control[[#This Row],[Fecha Requisición]]),MONTH(Control[[#This Row],[Fecha Requisición]]),1)</f>
        <v>46235</v>
      </c>
      <c r="Y194" s="14" t="str">
        <f>+IF(Control[[#This Row],[Fecha de entrega]]="","",NETWORKDAYS(Control[[#This Row],[Fecha Requisición]],Control[[#This Row],[Fecha de entrega]]))</f>
        <v/>
      </c>
      <c r="Z194" s="21"/>
      <c r="AA194" s="13">
        <f>+_xlfn.ISOWEEKNUM(Control[[#This Row],[Fecha Requisición]])</f>
        <v>35</v>
      </c>
    </row>
    <row r="195" spans="1:27">
      <c r="A195" s="21" t="s">
        <v>1121</v>
      </c>
      <c r="B195" s="21" t="s">
        <v>1122</v>
      </c>
      <c r="C195" s="21" t="s">
        <v>1137</v>
      </c>
      <c r="D195" s="21"/>
      <c r="E195" s="21">
        <v>130</v>
      </c>
      <c r="F195" s="21" t="s">
        <v>1123</v>
      </c>
      <c r="G195" s="21" t="s">
        <v>1075</v>
      </c>
      <c r="H195" s="21" t="s">
        <v>1075</v>
      </c>
      <c r="I195" s="21"/>
      <c r="J195" s="21"/>
      <c r="K195" s="5"/>
      <c r="L195" s="5" t="s">
        <v>55</v>
      </c>
      <c r="M195" s="21"/>
      <c r="N195" s="21" t="s">
        <v>204</v>
      </c>
      <c r="O195" s="21" t="s">
        <v>101</v>
      </c>
      <c r="P195" s="21" t="s">
        <v>58</v>
      </c>
      <c r="Q195" s="21" t="s">
        <v>36</v>
      </c>
      <c r="R195" s="21"/>
      <c r="S195" s="21" t="s">
        <v>641</v>
      </c>
      <c r="V195" s="21" t="s">
        <v>818</v>
      </c>
      <c r="W19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95" s="9">
        <f>+DATE(YEAR(Control[[#This Row],[Fecha Requisición]]),MONTH(Control[[#This Row],[Fecha Requisición]]),1)</f>
        <v>46235</v>
      </c>
      <c r="Y195" s="14" t="str">
        <f>+IF(Control[[#This Row],[Fecha de entrega]]="","",NETWORKDAYS(Control[[#This Row],[Fecha Requisición]],Control[[#This Row],[Fecha de entrega]]))</f>
        <v/>
      </c>
      <c r="Z195" s="21"/>
      <c r="AA195" s="13">
        <f>+_xlfn.ISOWEEKNUM(Control[[#This Row],[Fecha Requisición]])</f>
        <v>35</v>
      </c>
    </row>
    <row r="196" spans="1:27">
      <c r="A196" s="21" t="s">
        <v>1124</v>
      </c>
      <c r="B196" s="21" t="s">
        <v>1125</v>
      </c>
      <c r="C196" s="21" t="s">
        <v>1138</v>
      </c>
      <c r="D196" s="21"/>
      <c r="E196" s="21">
        <v>131</v>
      </c>
      <c r="F196" s="21" t="s">
        <v>1126</v>
      </c>
      <c r="G196" s="21" t="s">
        <v>1075</v>
      </c>
      <c r="H196" s="21" t="s">
        <v>1075</v>
      </c>
      <c r="I196" s="21"/>
      <c r="J196" s="21"/>
      <c r="K196" s="5"/>
      <c r="L196" s="5" t="s">
        <v>55</v>
      </c>
      <c r="M196" s="21"/>
      <c r="N196" s="21" t="s">
        <v>204</v>
      </c>
      <c r="O196" s="21" t="s">
        <v>101</v>
      </c>
      <c r="P196" s="21" t="s">
        <v>58</v>
      </c>
      <c r="Q196" s="21" t="s">
        <v>36</v>
      </c>
      <c r="R196" s="21"/>
      <c r="S196" s="21" t="s">
        <v>641</v>
      </c>
      <c r="V196" s="21" t="s">
        <v>818</v>
      </c>
      <c r="W19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96" s="9">
        <f>+DATE(YEAR(Control[[#This Row],[Fecha Requisición]]),MONTH(Control[[#This Row],[Fecha Requisición]]),1)</f>
        <v>46235</v>
      </c>
      <c r="Y196" s="14" t="str">
        <f>+IF(Control[[#This Row],[Fecha de entrega]]="","",NETWORKDAYS(Control[[#This Row],[Fecha Requisición]],Control[[#This Row],[Fecha de entrega]]))</f>
        <v/>
      </c>
      <c r="Z196" s="21"/>
      <c r="AA196" s="13">
        <f>+_xlfn.ISOWEEKNUM(Control[[#This Row],[Fecha Requisición]])</f>
        <v>35</v>
      </c>
    </row>
    <row r="197" spans="1:27">
      <c r="A197" s="21" t="s">
        <v>1131</v>
      </c>
      <c r="B197" s="21" t="s">
        <v>1132</v>
      </c>
      <c r="C197" s="21" t="s">
        <v>1139</v>
      </c>
      <c r="D197" s="21"/>
      <c r="E197" s="21">
        <v>133</v>
      </c>
      <c r="F197" s="21" t="s">
        <v>1133</v>
      </c>
      <c r="G197" s="21" t="s">
        <v>1075</v>
      </c>
      <c r="H197" s="21" t="s">
        <v>1075</v>
      </c>
      <c r="I197" s="21"/>
      <c r="J197" s="21"/>
      <c r="K197" s="5"/>
      <c r="L197" s="5" t="s">
        <v>55</v>
      </c>
      <c r="M197" s="21"/>
      <c r="N197" s="21" t="s">
        <v>204</v>
      </c>
      <c r="O197" s="21" t="s">
        <v>57</v>
      </c>
      <c r="P197" s="21" t="s">
        <v>58</v>
      </c>
      <c r="Q197" s="21" t="s">
        <v>36</v>
      </c>
      <c r="R197" s="21"/>
      <c r="S197" s="21" t="s">
        <v>517</v>
      </c>
      <c r="V197" s="21" t="s">
        <v>1186</v>
      </c>
      <c r="W19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97" s="9">
        <f>+DATE(YEAR(Control[[#This Row],[Fecha Requisición]]),MONTH(Control[[#This Row],[Fecha Requisición]]),1)</f>
        <v>46235</v>
      </c>
      <c r="Y197" s="14" t="str">
        <f>+IF(Control[[#This Row],[Fecha de entrega]]="","",NETWORKDAYS(Control[[#This Row],[Fecha Requisición]],Control[[#This Row],[Fecha de entrega]]))</f>
        <v/>
      </c>
      <c r="Z197" s="21"/>
      <c r="AA197" s="13">
        <f>+_xlfn.ISOWEEKNUM(Control[[#This Row],[Fecha Requisición]])</f>
        <v>35</v>
      </c>
    </row>
    <row r="198" spans="1:27">
      <c r="A198" s="21" t="s">
        <v>1134</v>
      </c>
      <c r="B198" s="21" t="s">
        <v>1135</v>
      </c>
      <c r="C198" s="21" t="s">
        <v>1140</v>
      </c>
      <c r="D198" s="21"/>
      <c r="E198" s="21">
        <v>134</v>
      </c>
      <c r="F198" s="21" t="s">
        <v>1136</v>
      </c>
      <c r="G198" s="21" t="s">
        <v>1075</v>
      </c>
      <c r="H198" s="21" t="s">
        <v>1075</v>
      </c>
      <c r="I198" s="21"/>
      <c r="J198" s="21"/>
      <c r="K198" s="5"/>
      <c r="L198" s="5" t="s">
        <v>55</v>
      </c>
      <c r="M198" s="21"/>
      <c r="N198" s="21" t="s">
        <v>204</v>
      </c>
      <c r="O198" s="21" t="s">
        <v>101</v>
      </c>
      <c r="P198" s="21" t="s">
        <v>58</v>
      </c>
      <c r="Q198" s="21" t="s">
        <v>36</v>
      </c>
      <c r="R198" s="21"/>
      <c r="S198" s="21" t="s">
        <v>641</v>
      </c>
      <c r="V198" s="21" t="s">
        <v>641</v>
      </c>
      <c r="W19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98" s="9">
        <f>+DATE(YEAR(Control[[#This Row],[Fecha Requisición]]),MONTH(Control[[#This Row],[Fecha Requisición]]),1)</f>
        <v>46235</v>
      </c>
      <c r="Y198" s="14" t="str">
        <f>+IF(Control[[#This Row],[Fecha de entrega]]="","",NETWORKDAYS(Control[[#This Row],[Fecha Requisición]],Control[[#This Row],[Fecha de entrega]]))</f>
        <v/>
      </c>
      <c r="Z198" s="21"/>
      <c r="AA198" s="13">
        <f>+_xlfn.ISOWEEKNUM(Control[[#This Row],[Fecha Requisición]])</f>
        <v>35</v>
      </c>
    </row>
    <row r="199" spans="1:27">
      <c r="A199" s="21" t="s">
        <v>1179</v>
      </c>
      <c r="B199" s="21" t="s">
        <v>1180</v>
      </c>
      <c r="C199" s="21" t="s">
        <v>1181</v>
      </c>
      <c r="D199" s="21"/>
      <c r="E199" s="21">
        <v>136</v>
      </c>
      <c r="F199" s="21" t="s">
        <v>1182</v>
      </c>
      <c r="G199" s="21" t="s">
        <v>1169</v>
      </c>
      <c r="H199" s="21" t="s">
        <v>1169</v>
      </c>
      <c r="I199" s="21"/>
      <c r="J199" s="21"/>
      <c r="K199" s="5"/>
      <c r="L199" s="5" t="s">
        <v>31</v>
      </c>
      <c r="M199" s="21"/>
      <c r="N199" s="21" t="s">
        <v>975</v>
      </c>
      <c r="O199" s="21" t="s">
        <v>57</v>
      </c>
      <c r="P199" s="21" t="s">
        <v>124</v>
      </c>
      <c r="Q199" s="21" t="s">
        <v>36</v>
      </c>
      <c r="R199" s="21"/>
      <c r="S199" s="21" t="s">
        <v>641</v>
      </c>
      <c r="V199" s="21" t="s">
        <v>641</v>
      </c>
      <c r="W19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99" s="9">
        <f>+DATE(YEAR(Control[[#This Row],[Fecha Requisición]]),MONTH(Control[[#This Row],[Fecha Requisición]]),1)</f>
        <v>46235</v>
      </c>
      <c r="Y199" s="14" t="str">
        <f>+IF(Control[[#This Row],[Fecha de entrega]]="","",NETWORKDAYS(Control[[#This Row],[Fecha Requisición]],Control[[#This Row],[Fecha de entrega]]))</f>
        <v/>
      </c>
      <c r="Z199" s="21"/>
      <c r="AA199" s="13">
        <f>+_xlfn.ISOWEEKNUM(Control[[#This Row],[Fecha Requisición]])</f>
        <v>35</v>
      </c>
    </row>
    <row r="200" spans="1:27">
      <c r="A200" s="21" t="s">
        <v>1196</v>
      </c>
      <c r="B200" s="21" t="s">
        <v>1197</v>
      </c>
      <c r="C200" s="21" t="s">
        <v>1198</v>
      </c>
      <c r="D200" s="21"/>
      <c r="E200" s="21">
        <v>138</v>
      </c>
      <c r="F200" s="21" t="s">
        <v>1199</v>
      </c>
      <c r="G200" s="21" t="s">
        <v>1177</v>
      </c>
      <c r="H200" s="21" t="s">
        <v>1177</v>
      </c>
      <c r="I200" s="21"/>
      <c r="J200" s="21"/>
      <c r="K200" s="5"/>
      <c r="L200" s="5" t="s">
        <v>55</v>
      </c>
      <c r="M200" s="21"/>
      <c r="N200" s="21" t="s">
        <v>903</v>
      </c>
      <c r="O200" s="21" t="s">
        <v>384</v>
      </c>
      <c r="P200" s="21" t="s">
        <v>58</v>
      </c>
      <c r="Q200" s="21" t="s">
        <v>36</v>
      </c>
      <c r="R200" s="21"/>
      <c r="S200" s="21" t="s">
        <v>517</v>
      </c>
      <c r="V200" s="21" t="s">
        <v>1185</v>
      </c>
      <c r="W20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00" s="9">
        <f>+DATE(YEAR(Control[[#This Row],[Fecha Requisición]]),MONTH(Control[[#This Row],[Fecha Requisición]]),1)</f>
        <v>46235</v>
      </c>
      <c r="Y200" s="14" t="str">
        <f>+IF(Control[[#This Row],[Fecha de entrega]]="","",NETWORKDAYS(Control[[#This Row],[Fecha Requisición]],Control[[#This Row],[Fecha de entrega]]))</f>
        <v/>
      </c>
      <c r="Z200" s="21"/>
      <c r="AA200" s="13">
        <f>+_xlfn.ISOWEEKNUM(Control[[#This Row],[Fecha Requisición]])</f>
        <v>35</v>
      </c>
    </row>
    <row r="201" spans="1:27">
      <c r="A201" s="21" t="s">
        <v>1200</v>
      </c>
      <c r="B201" s="21" t="s">
        <v>1201</v>
      </c>
      <c r="C201" s="21" t="s">
        <v>1202</v>
      </c>
      <c r="D201" s="21"/>
      <c r="E201" s="21">
        <v>139</v>
      </c>
      <c r="F201" s="21" t="s">
        <v>1203</v>
      </c>
      <c r="G201" s="21" t="s">
        <v>1177</v>
      </c>
      <c r="H201" s="21" t="s">
        <v>1177</v>
      </c>
      <c r="I201" s="21"/>
      <c r="J201" s="21"/>
      <c r="K201" s="5"/>
      <c r="L201" s="5" t="s">
        <v>31</v>
      </c>
      <c r="M201" s="21"/>
      <c r="N201" s="21" t="s">
        <v>975</v>
      </c>
      <c r="O201" s="21" t="s">
        <v>101</v>
      </c>
      <c r="P201" s="21" t="s">
        <v>124</v>
      </c>
      <c r="Q201" s="21" t="s">
        <v>36</v>
      </c>
      <c r="R201" s="21"/>
      <c r="S201" s="21" t="s">
        <v>641</v>
      </c>
      <c r="V201" s="21" t="s">
        <v>641</v>
      </c>
      <c r="W20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201" s="9">
        <f>+DATE(YEAR(Control[[#This Row],[Fecha Requisición]]),MONTH(Control[[#This Row],[Fecha Requisición]]),1)</f>
        <v>46235</v>
      </c>
      <c r="Y201" s="14" t="str">
        <f>+IF(Control[[#This Row],[Fecha de entrega]]="","",NETWORKDAYS(Control[[#This Row],[Fecha Requisición]],Control[[#This Row],[Fecha de entrega]]))</f>
        <v/>
      </c>
      <c r="Z201" s="21"/>
      <c r="AA201" s="13">
        <f>+_xlfn.ISOWEEKNUM(Control[[#This Row],[Fecha Requisición]])</f>
        <v>35</v>
      </c>
    </row>
    <row r="202" spans="1:27">
      <c r="A202" s="21" t="s">
        <v>1209</v>
      </c>
      <c r="B202" s="21" t="s">
        <v>1210</v>
      </c>
      <c r="C202" s="21" t="s">
        <v>1211</v>
      </c>
      <c r="D202" s="21"/>
      <c r="E202" s="21">
        <v>142</v>
      </c>
      <c r="F202" s="21" t="s">
        <v>1212</v>
      </c>
      <c r="G202" s="21" t="s">
        <v>1213</v>
      </c>
      <c r="H202" s="21" t="s">
        <v>1213</v>
      </c>
      <c r="I202" s="21"/>
      <c r="J202" s="21"/>
      <c r="K202" s="5"/>
      <c r="L202" s="5" t="s">
        <v>55</v>
      </c>
      <c r="M202" s="21"/>
      <c r="N202" s="21" t="s">
        <v>705</v>
      </c>
      <c r="O202" s="21" t="s">
        <v>101</v>
      </c>
      <c r="P202" s="21" t="s">
        <v>58</v>
      </c>
      <c r="Q202" s="21" t="s">
        <v>36</v>
      </c>
      <c r="R202" s="21"/>
      <c r="S202" s="21" t="s">
        <v>517</v>
      </c>
      <c r="V202" s="21" t="s">
        <v>818</v>
      </c>
      <c r="W20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02" s="9">
        <f>+DATE(YEAR(Control[[#This Row],[Fecha Requisición]]),MONTH(Control[[#This Row],[Fecha Requisición]]),1)</f>
        <v>46266</v>
      </c>
      <c r="Y202" s="14" t="str">
        <f>+IF(Control[[#This Row],[Fecha de entrega]]="","",NETWORKDAYS(Control[[#This Row],[Fecha Requisición]],Control[[#This Row],[Fecha de entrega]]))</f>
        <v/>
      </c>
      <c r="Z202" s="21"/>
      <c r="AA202" s="13">
        <f>+_xlfn.ISOWEEKNUM(Control[[#This Row],[Fecha Requisición]])</f>
        <v>36</v>
      </c>
    </row>
    <row r="203" spans="1:27">
      <c r="A203" s="21" t="s">
        <v>1230</v>
      </c>
      <c r="B203" s="21" t="s">
        <v>1231</v>
      </c>
      <c r="C203" s="21" t="s">
        <v>1232</v>
      </c>
      <c r="D203" s="21"/>
      <c r="E203" s="21">
        <v>146</v>
      </c>
      <c r="F203" s="21" t="s">
        <v>1233</v>
      </c>
      <c r="G203" s="21" t="s">
        <v>1221</v>
      </c>
      <c r="H203" s="21" t="s">
        <v>1221</v>
      </c>
      <c r="I203" s="21"/>
      <c r="J203" s="21"/>
      <c r="K203" s="5"/>
      <c r="L203" s="5" t="s">
        <v>31</v>
      </c>
      <c r="M203" s="21"/>
      <c r="N203" s="21" t="s">
        <v>371</v>
      </c>
      <c r="O203" s="21" t="s">
        <v>176</v>
      </c>
      <c r="P203" s="21" t="s">
        <v>124</v>
      </c>
      <c r="Q203" s="21" t="s">
        <v>36</v>
      </c>
      <c r="R203" s="21"/>
      <c r="S203" s="21" t="s">
        <v>514</v>
      </c>
      <c r="V203" s="21" t="s">
        <v>1238</v>
      </c>
      <c r="W20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03" s="9">
        <f>+DATE(YEAR(Control[[#This Row],[Fecha Requisición]]),MONTH(Control[[#This Row],[Fecha Requisición]]),1)</f>
        <v>46266</v>
      </c>
      <c r="Y203" s="14" t="str">
        <f>+IF(Control[[#This Row],[Fecha de entrega]]="","",NETWORKDAYS(Control[[#This Row],[Fecha Requisición]],Control[[#This Row],[Fecha de entrega]]))</f>
        <v/>
      </c>
      <c r="Z203" s="21"/>
      <c r="AA203" s="13">
        <f>+_xlfn.ISOWEEKNUM(Control[[#This Row],[Fecha Requisición]])</f>
        <v>36</v>
      </c>
    </row>
    <row r="204" spans="1:27">
      <c r="A204" s="21" t="s">
        <v>1255</v>
      </c>
      <c r="B204" s="21" t="s">
        <v>1256</v>
      </c>
      <c r="C204" s="21" t="s">
        <v>1257</v>
      </c>
      <c r="D204" s="21"/>
      <c r="E204" s="21">
        <v>147</v>
      </c>
      <c r="F204" s="21" t="s">
        <v>1258</v>
      </c>
      <c r="G204" s="21" t="s">
        <v>1259</v>
      </c>
      <c r="H204" s="21" t="s">
        <v>1259</v>
      </c>
      <c r="I204" s="21"/>
      <c r="J204" s="21"/>
      <c r="K204" s="5"/>
      <c r="L204" s="5" t="s">
        <v>31</v>
      </c>
      <c r="M204" s="21"/>
      <c r="N204" s="21" t="s">
        <v>909</v>
      </c>
      <c r="O204" s="21" t="s">
        <v>34</v>
      </c>
      <c r="P204" s="21" t="s">
        <v>273</v>
      </c>
      <c r="Q204" s="21" t="s">
        <v>59</v>
      </c>
      <c r="R204" s="21"/>
      <c r="S204" s="21" t="s">
        <v>772</v>
      </c>
      <c r="V204" s="21" t="s">
        <v>818</v>
      </c>
      <c r="W20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04" s="9">
        <f>+DATE(YEAR(Control[[#This Row],[Fecha Requisición]]),MONTH(Control[[#This Row],[Fecha Requisición]]),1)</f>
        <v>46266</v>
      </c>
      <c r="Y204" s="14" t="str">
        <f>+IF(Control[[#This Row],[Fecha de entrega]]="","",NETWORKDAYS(Control[[#This Row],[Fecha Requisición]],Control[[#This Row],[Fecha de entrega]]))</f>
        <v/>
      </c>
      <c r="Z204" s="21"/>
      <c r="AA204" s="13">
        <f>+_xlfn.ISOWEEKNUM(Control[[#This Row],[Fecha Requisición]])</f>
        <v>36</v>
      </c>
    </row>
    <row r="205" spans="1:27">
      <c r="A205" s="21" t="s">
        <v>1260</v>
      </c>
      <c r="B205" s="21" t="s">
        <v>1261</v>
      </c>
      <c r="C205" s="21" t="s">
        <v>1262</v>
      </c>
      <c r="D205" s="21"/>
      <c r="E205" s="21">
        <v>148</v>
      </c>
      <c r="F205" s="21" t="s">
        <v>1263</v>
      </c>
      <c r="G205" s="21" t="s">
        <v>1259</v>
      </c>
      <c r="H205" s="21" t="s">
        <v>1259</v>
      </c>
      <c r="I205" s="21"/>
      <c r="J205" s="21"/>
      <c r="K205" s="5"/>
      <c r="L205" s="5" t="s">
        <v>31</v>
      </c>
      <c r="M205" s="21"/>
      <c r="N205" s="21" t="s">
        <v>1194</v>
      </c>
      <c r="O205" s="21" t="s">
        <v>57</v>
      </c>
      <c r="P205" s="21" t="s">
        <v>463</v>
      </c>
      <c r="Q205" s="21" t="s">
        <v>94</v>
      </c>
      <c r="R205" s="21"/>
      <c r="S205" s="21" t="s">
        <v>772</v>
      </c>
      <c r="V205" s="21" t="s">
        <v>818</v>
      </c>
      <c r="W20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05" s="9">
        <f>+DATE(YEAR(Control[[#This Row],[Fecha Requisición]]),MONTH(Control[[#This Row],[Fecha Requisición]]),1)</f>
        <v>46266</v>
      </c>
      <c r="Y205" s="14" t="str">
        <f>+IF(Control[[#This Row],[Fecha de entrega]]="","",NETWORKDAYS(Control[[#This Row],[Fecha Requisición]],Control[[#This Row],[Fecha de entrega]]))</f>
        <v/>
      </c>
      <c r="Z205" s="21"/>
      <c r="AA205" s="13">
        <f>+_xlfn.ISOWEEKNUM(Control[[#This Row],[Fecha Requisición]])</f>
        <v>36</v>
      </c>
    </row>
    <row r="206" spans="1:27">
      <c r="A206" s="21" t="s">
        <v>1264</v>
      </c>
      <c r="B206" s="21" t="s">
        <v>1265</v>
      </c>
      <c r="C206" s="21" t="s">
        <v>1266</v>
      </c>
      <c r="D206" s="21"/>
      <c r="E206" s="21">
        <v>149</v>
      </c>
      <c r="F206" s="21" t="s">
        <v>1267</v>
      </c>
      <c r="G206" s="21" t="s">
        <v>1259</v>
      </c>
      <c r="H206" s="21" t="s">
        <v>1259</v>
      </c>
      <c r="I206" s="21"/>
      <c r="J206" s="21"/>
      <c r="K206" s="5"/>
      <c r="L206" s="5" t="s">
        <v>31</v>
      </c>
      <c r="M206" s="21"/>
      <c r="N206" s="21" t="s">
        <v>765</v>
      </c>
      <c r="O206" s="21" t="s">
        <v>57</v>
      </c>
      <c r="P206" s="21" t="s">
        <v>35</v>
      </c>
      <c r="Q206" s="21" t="s">
        <v>94</v>
      </c>
      <c r="R206" s="21"/>
      <c r="S206" s="21" t="s">
        <v>517</v>
      </c>
      <c r="V206" s="21" t="s">
        <v>818</v>
      </c>
      <c r="W20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06" s="9">
        <f>+DATE(YEAR(Control[[#This Row],[Fecha Requisición]]),MONTH(Control[[#This Row],[Fecha Requisición]]),1)</f>
        <v>46266</v>
      </c>
      <c r="Y206" s="14" t="str">
        <f>+IF(Control[[#This Row],[Fecha de entrega]]="","",NETWORKDAYS(Control[[#This Row],[Fecha Requisición]],Control[[#This Row],[Fecha de entrega]]))</f>
        <v/>
      </c>
      <c r="Z206" s="21"/>
      <c r="AA206" s="13">
        <f>+_xlfn.ISOWEEKNUM(Control[[#This Row],[Fecha Requisición]])</f>
        <v>36</v>
      </c>
    </row>
    <row r="207" spans="1:27">
      <c r="A207" s="21" t="s">
        <v>1268</v>
      </c>
      <c r="B207" s="21" t="s">
        <v>1269</v>
      </c>
      <c r="C207" s="21" t="s">
        <v>1270</v>
      </c>
      <c r="D207" s="21"/>
      <c r="E207" s="21">
        <v>150</v>
      </c>
      <c r="F207" s="21" t="s">
        <v>1271</v>
      </c>
      <c r="G207" s="21" t="s">
        <v>1259</v>
      </c>
      <c r="H207" s="21" t="s">
        <v>1259</v>
      </c>
      <c r="I207" s="21"/>
      <c r="J207" s="21"/>
      <c r="K207" s="5"/>
      <c r="L207" s="5"/>
      <c r="M207" s="21"/>
      <c r="N207" s="21"/>
      <c r="O207" s="21"/>
      <c r="P207" s="21"/>
      <c r="Q207" s="21"/>
      <c r="R207" s="21"/>
      <c r="S207" s="21" t="s">
        <v>517</v>
      </c>
      <c r="V207" s="21" t="s">
        <v>818</v>
      </c>
      <c r="W20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07" s="9">
        <f>+DATE(YEAR(Control[[#This Row],[Fecha Requisición]]),MONTH(Control[[#This Row],[Fecha Requisición]]),1)</f>
        <v>46266</v>
      </c>
      <c r="Y207" s="14" t="str">
        <f>+IF(Control[[#This Row],[Fecha de entrega]]="","",NETWORKDAYS(Control[[#This Row],[Fecha Requisición]],Control[[#This Row],[Fecha de entrega]]))</f>
        <v/>
      </c>
      <c r="Z207" s="21"/>
      <c r="AA207" s="13">
        <f>+_xlfn.ISOWEEKNUM(Control[[#This Row],[Fecha Requisición]])</f>
        <v>36</v>
      </c>
    </row>
    <row r="208" spans="1:27">
      <c r="A208" s="21" t="s">
        <v>1273</v>
      </c>
      <c r="B208" s="21" t="s">
        <v>1274</v>
      </c>
      <c r="C208" s="21" t="s">
        <v>1275</v>
      </c>
      <c r="D208" s="21"/>
      <c r="E208" s="21">
        <v>152</v>
      </c>
      <c r="F208" s="21" t="s">
        <v>1276</v>
      </c>
      <c r="G208" s="21" t="s">
        <v>1277</v>
      </c>
      <c r="H208" s="21" t="s">
        <v>1277</v>
      </c>
      <c r="I208" s="21"/>
      <c r="J208" s="21"/>
      <c r="K208" s="5"/>
      <c r="L208" s="5" t="s">
        <v>55</v>
      </c>
      <c r="M208" s="21"/>
      <c r="N208" s="21" t="s">
        <v>705</v>
      </c>
      <c r="O208" s="21" t="s">
        <v>57</v>
      </c>
      <c r="P208" s="21" t="s">
        <v>58</v>
      </c>
      <c r="Q208" s="21" t="s">
        <v>94</v>
      </c>
      <c r="R208" s="21"/>
      <c r="S208" s="21" t="s">
        <v>772</v>
      </c>
      <c r="V208" s="21" t="s">
        <v>818</v>
      </c>
      <c r="W20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08" s="9">
        <f>+DATE(YEAR(Control[[#This Row],[Fecha Requisición]]),MONTH(Control[[#This Row],[Fecha Requisición]]),1)</f>
        <v>46266</v>
      </c>
      <c r="Y208" s="14" t="str">
        <f>+IF(Control[[#This Row],[Fecha de entrega]]="","",NETWORKDAYS(Control[[#This Row],[Fecha Requisición]],Control[[#This Row],[Fecha de entrega]]))</f>
        <v/>
      </c>
      <c r="Z208" s="21"/>
      <c r="AA208" s="13">
        <f>+_xlfn.ISOWEEKNUM(Control[[#This Row],[Fecha Requisición]])</f>
        <v>37</v>
      </c>
    </row>
    <row r="209" spans="1:27">
      <c r="A209" s="21" t="s">
        <v>1278</v>
      </c>
      <c r="B209" s="21" t="s">
        <v>1279</v>
      </c>
      <c r="C209" s="21" t="s">
        <v>1280</v>
      </c>
      <c r="D209" s="21"/>
      <c r="E209" s="21">
        <v>153</v>
      </c>
      <c r="F209" s="21" t="s">
        <v>1281</v>
      </c>
      <c r="G209" s="21" t="s">
        <v>1277</v>
      </c>
      <c r="H209" s="21" t="s">
        <v>1277</v>
      </c>
      <c r="I209" s="21"/>
      <c r="J209" s="21"/>
      <c r="K209" s="5"/>
      <c r="L209" s="5" t="s">
        <v>31</v>
      </c>
      <c r="M209" s="21"/>
      <c r="N209" s="21" t="s">
        <v>705</v>
      </c>
      <c r="O209" s="21" t="s">
        <v>57</v>
      </c>
      <c r="P209" s="21" t="s">
        <v>58</v>
      </c>
      <c r="Q209" s="21" t="s">
        <v>94</v>
      </c>
      <c r="R209" s="21"/>
      <c r="S209" s="21" t="s">
        <v>772</v>
      </c>
      <c r="V209" s="21" t="s">
        <v>818</v>
      </c>
      <c r="W20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09" s="9">
        <f>+DATE(YEAR(Control[[#This Row],[Fecha Requisición]]),MONTH(Control[[#This Row],[Fecha Requisición]]),1)</f>
        <v>46266</v>
      </c>
      <c r="Y209" s="14" t="str">
        <f>+IF(Control[[#This Row],[Fecha de entrega]]="","",NETWORKDAYS(Control[[#This Row],[Fecha Requisición]],Control[[#This Row],[Fecha de entrega]]))</f>
        <v/>
      </c>
      <c r="Z209" s="21"/>
      <c r="AA209" s="13">
        <f>+_xlfn.ISOWEEKNUM(Control[[#This Row],[Fecha Requisición]])</f>
        <v>37</v>
      </c>
    </row>
    <row r="210" spans="1:27">
      <c r="A210" s="21" t="s">
        <v>1282</v>
      </c>
      <c r="B210" s="21" t="s">
        <v>1283</v>
      </c>
      <c r="C210" s="21" t="s">
        <v>1284</v>
      </c>
      <c r="D210" s="21"/>
      <c r="E210" s="21">
        <v>154</v>
      </c>
      <c r="F210" s="21" t="s">
        <v>1285</v>
      </c>
      <c r="G210" s="21" t="s">
        <v>1277</v>
      </c>
      <c r="H210" s="21" t="s">
        <v>1277</v>
      </c>
      <c r="I210" s="21"/>
      <c r="J210" s="21"/>
      <c r="K210" s="5"/>
      <c r="L210" s="5" t="s">
        <v>31</v>
      </c>
      <c r="M210" s="21"/>
      <c r="N210" s="21" t="s">
        <v>975</v>
      </c>
      <c r="O210" s="21" t="s">
        <v>101</v>
      </c>
      <c r="P210" s="21" t="s">
        <v>392</v>
      </c>
      <c r="Q210" s="21" t="s">
        <v>36</v>
      </c>
      <c r="R210" s="21"/>
      <c r="S210" s="21" t="s">
        <v>772</v>
      </c>
      <c r="V210" s="21" t="s">
        <v>1272</v>
      </c>
      <c r="W21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10" s="9">
        <f>+DATE(YEAR(Control[[#This Row],[Fecha Requisición]]),MONTH(Control[[#This Row],[Fecha Requisición]]),1)</f>
        <v>46266</v>
      </c>
      <c r="Y210" s="14" t="str">
        <f>+IF(Control[[#This Row],[Fecha de entrega]]="","",NETWORKDAYS(Control[[#This Row],[Fecha Requisición]],Control[[#This Row],[Fecha de entrega]]))</f>
        <v/>
      </c>
      <c r="Z210" s="21"/>
      <c r="AA210" s="13">
        <f>+_xlfn.ISOWEEKNUM(Control[[#This Row],[Fecha Requisición]])</f>
        <v>37</v>
      </c>
    </row>
    <row r="211" spans="1:27">
      <c r="A211" s="21" t="s">
        <v>1286</v>
      </c>
      <c r="B211" s="21" t="s">
        <v>1287</v>
      </c>
      <c r="C211" s="21" t="s">
        <v>1288</v>
      </c>
      <c r="D211" s="21"/>
      <c r="E211" s="21">
        <v>155</v>
      </c>
      <c r="F211" s="21" t="s">
        <v>1289</v>
      </c>
      <c r="G211" s="21" t="s">
        <v>1277</v>
      </c>
      <c r="H211" s="21" t="s">
        <v>1277</v>
      </c>
      <c r="I211" s="21"/>
      <c r="J211" s="21"/>
      <c r="K211" s="5"/>
      <c r="L211" s="5" t="s">
        <v>31</v>
      </c>
      <c r="M211" s="21"/>
      <c r="N211" s="21" t="s">
        <v>975</v>
      </c>
      <c r="O211" s="21" t="s">
        <v>101</v>
      </c>
      <c r="P211" s="21" t="s">
        <v>124</v>
      </c>
      <c r="Q211" s="21" t="s">
        <v>36</v>
      </c>
      <c r="R211" s="21"/>
      <c r="S211" s="21" t="s">
        <v>772</v>
      </c>
      <c r="V211" s="21" t="s">
        <v>1272</v>
      </c>
      <c r="W21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11" s="9">
        <f>+DATE(YEAR(Control[[#This Row],[Fecha Requisición]]),MONTH(Control[[#This Row],[Fecha Requisición]]),1)</f>
        <v>46266</v>
      </c>
      <c r="Y211" s="14" t="str">
        <f>+IF(Control[[#This Row],[Fecha de entrega]]="","",NETWORKDAYS(Control[[#This Row],[Fecha Requisición]],Control[[#This Row],[Fecha de entrega]]))</f>
        <v/>
      </c>
      <c r="Z211" s="21"/>
      <c r="AA211" s="13">
        <f>+_xlfn.ISOWEEKNUM(Control[[#This Row],[Fecha Requisición]])</f>
        <v>37</v>
      </c>
    </row>
    <row r="212" spans="1:27">
      <c r="A212" s="21" t="s">
        <v>1290</v>
      </c>
      <c r="B212" s="21" t="s">
        <v>1291</v>
      </c>
      <c r="C212" s="21" t="s">
        <v>1292</v>
      </c>
      <c r="D212" s="21"/>
      <c r="E212" s="21">
        <v>156</v>
      </c>
      <c r="F212" s="21" t="s">
        <v>1293</v>
      </c>
      <c r="G212" s="21" t="s">
        <v>1277</v>
      </c>
      <c r="H212" s="21" t="s">
        <v>1277</v>
      </c>
      <c r="I212" s="21"/>
      <c r="J212" s="21"/>
      <c r="K212" s="5"/>
      <c r="L212" s="5" t="s">
        <v>31</v>
      </c>
      <c r="M212" s="21"/>
      <c r="N212" s="21" t="s">
        <v>975</v>
      </c>
      <c r="O212" s="21" t="s">
        <v>57</v>
      </c>
      <c r="P212" s="21" t="s">
        <v>124</v>
      </c>
      <c r="Q212" s="21" t="s">
        <v>36</v>
      </c>
      <c r="R212" s="21"/>
      <c r="S212" s="21" t="s">
        <v>517</v>
      </c>
      <c r="V212" s="21" t="s">
        <v>1272</v>
      </c>
      <c r="W21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12" s="9">
        <f>+DATE(YEAR(Control[[#This Row],[Fecha Requisición]]),MONTH(Control[[#This Row],[Fecha Requisición]]),1)</f>
        <v>46266</v>
      </c>
      <c r="Y212" s="14" t="str">
        <f>+IF(Control[[#This Row],[Fecha de entrega]]="","",NETWORKDAYS(Control[[#This Row],[Fecha Requisición]],Control[[#This Row],[Fecha de entrega]]))</f>
        <v/>
      </c>
      <c r="Z212" s="21"/>
      <c r="AA212" s="13">
        <f>+_xlfn.ISOWEEKNUM(Control[[#This Row],[Fecha Requisición]])</f>
        <v>37</v>
      </c>
    </row>
    <row r="213" spans="1:27">
      <c r="A213" s="21" t="s">
        <v>1295</v>
      </c>
      <c r="B213" s="21" t="s">
        <v>1296</v>
      </c>
      <c r="C213" s="21" t="s">
        <v>1297</v>
      </c>
      <c r="D213" s="21"/>
      <c r="E213" s="21">
        <v>157</v>
      </c>
      <c r="F213" s="21" t="s">
        <v>1298</v>
      </c>
      <c r="G213" s="21" t="s">
        <v>1277</v>
      </c>
      <c r="H213" s="21" t="s">
        <v>1277</v>
      </c>
      <c r="I213" s="21"/>
      <c r="J213" s="21"/>
      <c r="K213" s="5"/>
      <c r="L213" s="5" t="s">
        <v>31</v>
      </c>
      <c r="M213" s="21"/>
      <c r="N213" s="21" t="s">
        <v>975</v>
      </c>
      <c r="O213" s="21" t="s">
        <v>57</v>
      </c>
      <c r="P213" s="21" t="s">
        <v>124</v>
      </c>
      <c r="Q213" s="21" t="s">
        <v>36</v>
      </c>
      <c r="R213" s="21"/>
      <c r="S213" s="21" t="s">
        <v>517</v>
      </c>
      <c r="V213" s="21" t="s">
        <v>772</v>
      </c>
      <c r="W21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13" s="9">
        <f>+DATE(YEAR(Control[[#This Row],[Fecha Requisición]]),MONTH(Control[[#This Row],[Fecha Requisición]]),1)</f>
        <v>46266</v>
      </c>
      <c r="Y213" s="14" t="str">
        <f>+IF(Control[[#This Row],[Fecha de entrega]]="","",NETWORKDAYS(Control[[#This Row],[Fecha Requisición]],Control[[#This Row],[Fecha de entrega]]))</f>
        <v/>
      </c>
      <c r="Z213" s="21"/>
      <c r="AA213" s="13">
        <f>+_xlfn.ISOWEEKNUM(Control[[#This Row],[Fecha Requisición]])</f>
        <v>37</v>
      </c>
    </row>
    <row r="214" spans="1:27">
      <c r="A214" s="21" t="s">
        <v>1299</v>
      </c>
      <c r="B214" s="21" t="s">
        <v>1300</v>
      </c>
      <c r="C214" s="21" t="s">
        <v>1301</v>
      </c>
      <c r="D214" s="21"/>
      <c r="E214" s="21">
        <v>158</v>
      </c>
      <c r="F214" s="21" t="s">
        <v>1302</v>
      </c>
      <c r="G214" s="21" t="s">
        <v>1277</v>
      </c>
      <c r="H214" s="21" t="s">
        <v>1277</v>
      </c>
      <c r="I214" s="21"/>
      <c r="J214" s="21"/>
      <c r="K214" s="5"/>
      <c r="L214" s="5" t="s">
        <v>55</v>
      </c>
      <c r="M214" s="21"/>
      <c r="N214" s="21" t="s">
        <v>204</v>
      </c>
      <c r="O214" s="21" t="s">
        <v>57</v>
      </c>
      <c r="P214" s="21" t="s">
        <v>58</v>
      </c>
      <c r="Q214" s="21" t="s">
        <v>36</v>
      </c>
      <c r="R214" s="21"/>
      <c r="S214" s="21" t="s">
        <v>517</v>
      </c>
      <c r="V214" s="21" t="s">
        <v>1272</v>
      </c>
      <c r="W21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14" s="9">
        <f>+DATE(YEAR(Control[[#This Row],[Fecha Requisición]]),MONTH(Control[[#This Row],[Fecha Requisición]]),1)</f>
        <v>46266</v>
      </c>
      <c r="Y214" s="14" t="str">
        <f>+IF(Control[[#This Row],[Fecha de entrega]]="","",NETWORKDAYS(Control[[#This Row],[Fecha Requisición]],Control[[#This Row],[Fecha de entrega]]))</f>
        <v/>
      </c>
      <c r="Z214" s="21"/>
      <c r="AA214" s="13">
        <f>+_xlfn.ISOWEEKNUM(Control[[#This Row],[Fecha Requisición]])</f>
        <v>37</v>
      </c>
    </row>
    <row r="215" spans="1:27">
      <c r="A215" s="21" t="s">
        <v>1303</v>
      </c>
      <c r="B215" s="21" t="s">
        <v>1304</v>
      </c>
      <c r="C215" s="21" t="s">
        <v>1305</v>
      </c>
      <c r="D215" s="21"/>
      <c r="E215" s="21">
        <v>159</v>
      </c>
      <c r="F215" s="21" t="s">
        <v>1306</v>
      </c>
      <c r="G215" s="21" t="s">
        <v>1277</v>
      </c>
      <c r="H215" s="21" t="s">
        <v>1277</v>
      </c>
      <c r="I215" s="21"/>
      <c r="J215" s="21"/>
      <c r="K215" s="5"/>
      <c r="L215" s="5" t="s">
        <v>55</v>
      </c>
      <c r="M215" s="21"/>
      <c r="N215" s="21" t="s">
        <v>1307</v>
      </c>
      <c r="O215" s="21" t="s">
        <v>101</v>
      </c>
      <c r="P215" s="21" t="s">
        <v>58</v>
      </c>
      <c r="Q215" s="21" t="s">
        <v>36</v>
      </c>
      <c r="R215" s="21"/>
      <c r="S215" s="21" t="s">
        <v>517</v>
      </c>
      <c r="V215" s="21" t="s">
        <v>1272</v>
      </c>
      <c r="W21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15" s="9">
        <f>+DATE(YEAR(Control[[#This Row],[Fecha Requisición]]),MONTH(Control[[#This Row],[Fecha Requisición]]),1)</f>
        <v>46266</v>
      </c>
      <c r="Y215" s="14" t="str">
        <f>+IF(Control[[#This Row],[Fecha de entrega]]="","",NETWORKDAYS(Control[[#This Row],[Fecha Requisición]],Control[[#This Row],[Fecha de entrega]]))</f>
        <v/>
      </c>
      <c r="Z215" s="21"/>
      <c r="AA215" s="13">
        <f>+_xlfn.ISOWEEKNUM(Control[[#This Row],[Fecha Requisición]])</f>
        <v>37</v>
      </c>
    </row>
    <row r="216" spans="1:27">
      <c r="A216" s="21" t="s">
        <v>1308</v>
      </c>
      <c r="B216" s="21" t="s">
        <v>1309</v>
      </c>
      <c r="C216" s="21" t="s">
        <v>1310</v>
      </c>
      <c r="D216" s="21"/>
      <c r="E216" s="21">
        <v>160</v>
      </c>
      <c r="F216" s="21" t="s">
        <v>1311</v>
      </c>
      <c r="G216" s="21" t="s">
        <v>1277</v>
      </c>
      <c r="H216" s="21" t="s">
        <v>1277</v>
      </c>
      <c r="I216" s="21"/>
      <c r="J216" s="21"/>
      <c r="K216" s="5"/>
      <c r="L216" s="5" t="s">
        <v>31</v>
      </c>
      <c r="M216" s="21"/>
      <c r="N216" s="21" t="s">
        <v>167</v>
      </c>
      <c r="O216" s="21" t="s">
        <v>197</v>
      </c>
      <c r="P216" s="21" t="s">
        <v>58</v>
      </c>
      <c r="Q216" s="21" t="s">
        <v>36</v>
      </c>
      <c r="R216" s="21"/>
      <c r="S216" s="21" t="s">
        <v>517</v>
      </c>
      <c r="V216" s="21" t="s">
        <v>1272</v>
      </c>
      <c r="W21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16" s="9">
        <f>+DATE(YEAR(Control[[#This Row],[Fecha Requisición]]),MONTH(Control[[#This Row],[Fecha Requisición]]),1)</f>
        <v>46266</v>
      </c>
      <c r="Y216" s="14" t="str">
        <f>+IF(Control[[#This Row],[Fecha de entrega]]="","",NETWORKDAYS(Control[[#This Row],[Fecha Requisición]],Control[[#This Row],[Fecha de entrega]]))</f>
        <v/>
      </c>
      <c r="Z216" s="21"/>
      <c r="AA216" s="13">
        <f>+_xlfn.ISOWEEKNUM(Control[[#This Row],[Fecha Requisición]])</f>
        <v>37</v>
      </c>
    </row>
    <row r="217" spans="1:27">
      <c r="A217" s="21" t="s">
        <v>1312</v>
      </c>
      <c r="B217" s="21" t="s">
        <v>1313</v>
      </c>
      <c r="C217" s="21" t="s">
        <v>1313</v>
      </c>
      <c r="D217" s="21"/>
      <c r="E217" s="21">
        <v>161</v>
      </c>
      <c r="F217" s="21" t="s">
        <v>1314</v>
      </c>
      <c r="G217" s="21" t="s">
        <v>1277</v>
      </c>
      <c r="H217" s="21" t="s">
        <v>1277</v>
      </c>
      <c r="I217" s="21"/>
      <c r="J217" s="21"/>
      <c r="K217" s="5"/>
      <c r="L217" s="5"/>
      <c r="M217" s="21"/>
      <c r="N217" s="21"/>
      <c r="O217" s="21"/>
      <c r="P217" s="21"/>
      <c r="Q217" s="21"/>
      <c r="R217" s="21"/>
      <c r="S217" s="21" t="s">
        <v>517</v>
      </c>
      <c r="V217" s="21" t="s">
        <v>1272</v>
      </c>
      <c r="W21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17" s="9">
        <f>+DATE(YEAR(Control[[#This Row],[Fecha Requisición]]),MONTH(Control[[#This Row],[Fecha Requisición]]),1)</f>
        <v>46266</v>
      </c>
      <c r="Y217" s="14" t="str">
        <f>+IF(Control[[#This Row],[Fecha de entrega]]="","",NETWORKDAYS(Control[[#This Row],[Fecha Requisición]],Control[[#This Row],[Fecha de entrega]]))</f>
        <v/>
      </c>
      <c r="Z217" s="21"/>
      <c r="AA217" s="13">
        <f>+_xlfn.ISOWEEKNUM(Control[[#This Row],[Fecha Requisición]])</f>
        <v>37</v>
      </c>
    </row>
    <row r="218" spans="1:27">
      <c r="A218" s="21" t="s">
        <v>1315</v>
      </c>
      <c r="B218" s="21" t="s">
        <v>1316</v>
      </c>
      <c r="C218" s="21" t="s">
        <v>1317</v>
      </c>
      <c r="D218" s="21"/>
      <c r="E218" s="21">
        <v>162</v>
      </c>
      <c r="F218" s="21" t="s">
        <v>1318</v>
      </c>
      <c r="G218" s="21" t="s">
        <v>1277</v>
      </c>
      <c r="H218" s="21" t="s">
        <v>1277</v>
      </c>
      <c r="I218" s="21"/>
      <c r="J218" s="21"/>
      <c r="K218" s="5"/>
      <c r="L218" s="5" t="s">
        <v>55</v>
      </c>
      <c r="M218" s="21"/>
      <c r="N218" s="21" t="s">
        <v>383</v>
      </c>
      <c r="O218" s="21" t="s">
        <v>384</v>
      </c>
      <c r="P218" s="21" t="s">
        <v>58</v>
      </c>
      <c r="Q218" s="21" t="s">
        <v>36</v>
      </c>
      <c r="R218" s="21"/>
      <c r="S218" s="21" t="s">
        <v>517</v>
      </c>
      <c r="V218" s="21" t="s">
        <v>1272</v>
      </c>
      <c r="W21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18" s="9">
        <f>+DATE(YEAR(Control[[#This Row],[Fecha Requisición]]),MONTH(Control[[#This Row],[Fecha Requisición]]),1)</f>
        <v>46266</v>
      </c>
      <c r="Y218" s="14" t="str">
        <f>+IF(Control[[#This Row],[Fecha de entrega]]="","",NETWORKDAYS(Control[[#This Row],[Fecha Requisición]],Control[[#This Row],[Fecha de entrega]]))</f>
        <v/>
      </c>
      <c r="Z218" s="21"/>
      <c r="AA218" s="13">
        <f>+_xlfn.ISOWEEKNUM(Control[[#This Row],[Fecha Requisición]])</f>
        <v>37</v>
      </c>
    </row>
    <row r="219" spans="1:27">
      <c r="A219" s="21" t="s">
        <v>1319</v>
      </c>
      <c r="B219" s="21" t="s">
        <v>1320</v>
      </c>
      <c r="C219" s="21" t="s">
        <v>1321</v>
      </c>
      <c r="D219" s="21"/>
      <c r="E219" s="21">
        <v>163</v>
      </c>
      <c r="F219" s="21" t="s">
        <v>1322</v>
      </c>
      <c r="G219" s="21" t="s">
        <v>1277</v>
      </c>
      <c r="H219" s="21" t="s">
        <v>1277</v>
      </c>
      <c r="I219" s="21"/>
      <c r="J219" s="21"/>
      <c r="K219" s="5"/>
      <c r="L219" s="5" t="s">
        <v>55</v>
      </c>
      <c r="M219" s="21"/>
      <c r="N219" s="21" t="s">
        <v>383</v>
      </c>
      <c r="O219" s="21" t="s">
        <v>384</v>
      </c>
      <c r="P219" s="21" t="s">
        <v>58</v>
      </c>
      <c r="Q219" s="21" t="s">
        <v>36</v>
      </c>
      <c r="R219" s="21"/>
      <c r="S219" s="21" t="s">
        <v>772</v>
      </c>
      <c r="V219" s="21" t="s">
        <v>1272</v>
      </c>
      <c r="W21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19" s="9">
        <f>+DATE(YEAR(Control[[#This Row],[Fecha Requisición]]),MONTH(Control[[#This Row],[Fecha Requisición]]),1)</f>
        <v>46266</v>
      </c>
      <c r="Y219" s="14" t="str">
        <f>+IF(Control[[#This Row],[Fecha de entrega]]="","",NETWORKDAYS(Control[[#This Row],[Fecha Requisición]],Control[[#This Row],[Fecha de entrega]]))</f>
        <v/>
      </c>
      <c r="Z219" s="21"/>
      <c r="AA219" s="13">
        <f>+_xlfn.ISOWEEKNUM(Control[[#This Row],[Fecha Requisición]])</f>
        <v>37</v>
      </c>
    </row>
    <row r="220" spans="1:27">
      <c r="A220" s="21" t="s">
        <v>1323</v>
      </c>
      <c r="B220" s="21" t="s">
        <v>1324</v>
      </c>
      <c r="C220" s="21" t="s">
        <v>1325</v>
      </c>
      <c r="D220" s="21"/>
      <c r="E220" s="21">
        <v>164</v>
      </c>
      <c r="F220" s="21" t="s">
        <v>1326</v>
      </c>
      <c r="G220" s="21" t="s">
        <v>1277</v>
      </c>
      <c r="H220" s="21" t="s">
        <v>1277</v>
      </c>
      <c r="I220" s="21"/>
      <c r="J220" s="21"/>
      <c r="K220" s="5"/>
      <c r="L220" s="5" t="s">
        <v>31</v>
      </c>
      <c r="M220" s="21"/>
      <c r="N220" s="21" t="s">
        <v>219</v>
      </c>
      <c r="O220" s="21" t="s">
        <v>384</v>
      </c>
      <c r="P220" s="21"/>
      <c r="Q220" s="21" t="s">
        <v>94</v>
      </c>
      <c r="R220" s="21"/>
      <c r="S220" s="21" t="s">
        <v>517</v>
      </c>
      <c r="V220" s="21" t="s">
        <v>1294</v>
      </c>
      <c r="W22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220" s="9">
        <f>+DATE(YEAR(Control[[#This Row],[Fecha Requisición]]),MONTH(Control[[#This Row],[Fecha Requisición]]),1)</f>
        <v>46266</v>
      </c>
      <c r="Y220" s="14" t="str">
        <f>+IF(Control[[#This Row],[Fecha de entrega]]="","",NETWORKDAYS(Control[[#This Row],[Fecha Requisición]],Control[[#This Row],[Fecha de entrega]]))</f>
        <v/>
      </c>
      <c r="Z220" s="21"/>
      <c r="AA220" s="13">
        <f>+_xlfn.ISOWEEKNUM(Control[[#This Row],[Fecha Requisición]])</f>
        <v>37</v>
      </c>
    </row>
    <row r="221" spans="1:27">
      <c r="Z221" s="2"/>
    </row>
    <row r="222" spans="1:27">
      <c r="Z222" s="2"/>
    </row>
    <row r="223" spans="1:27">
      <c r="Z223" s="2"/>
    </row>
    <row r="228" spans="3:4">
      <c r="C228" s="29">
        <f>604800/64</f>
        <v>9450</v>
      </c>
    </row>
    <row r="236" spans="3:4">
      <c r="C236" s="21"/>
      <c r="D236" s="21"/>
    </row>
  </sheetData>
  <pageMargins left="0.7" right="0.7" top="0.75" bottom="0.75" header="0.3" footer="0.3"/>
  <pageSetup paperSize="9" scale="4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B111C-B4BF-4A99-B3B3-703F0BB56265}">
  <sheetPr>
    <tabColor rgb="FF92D050"/>
  </sheetPr>
  <dimension ref="A1:H165"/>
  <sheetViews>
    <sheetView topLeftCell="A125" zoomScale="90" zoomScaleNormal="90" workbookViewId="0">
      <selection activeCell="A163" sqref="A163"/>
    </sheetView>
  </sheetViews>
  <sheetFormatPr baseColWidth="10" defaultRowHeight="15"/>
  <cols>
    <col min="2" max="2" width="12.5703125" bestFit="1" customWidth="1"/>
    <col min="6" max="6" width="43.28515625" customWidth="1"/>
  </cols>
  <sheetData>
    <row r="1" spans="1:7">
      <c r="A1" s="18" t="s">
        <v>509</v>
      </c>
      <c r="B1" s="18" t="s">
        <v>17</v>
      </c>
      <c r="C1" s="18" t="s">
        <v>510</v>
      </c>
      <c r="D1" s="18" t="s">
        <v>511</v>
      </c>
      <c r="E1" s="18" t="s">
        <v>512</v>
      </c>
      <c r="F1" s="18" t="s">
        <v>513</v>
      </c>
      <c r="G1" s="17" t="s">
        <v>447</v>
      </c>
    </row>
    <row r="2" spans="1:7">
      <c r="A2" s="22">
        <v>1</v>
      </c>
      <c r="B2" s="21" t="s">
        <v>514</v>
      </c>
      <c r="C2" s="25" t="s">
        <v>515</v>
      </c>
      <c r="D2" s="22"/>
      <c r="E2" s="23">
        <v>46177</v>
      </c>
      <c r="F2" s="21" t="s">
        <v>642</v>
      </c>
      <c r="G2" s="19"/>
    </row>
    <row r="3" spans="1:7">
      <c r="A3" s="22">
        <v>2</v>
      </c>
      <c r="B3" s="21" t="s">
        <v>514</v>
      </c>
      <c r="C3" s="25" t="s">
        <v>516</v>
      </c>
      <c r="D3" s="22"/>
      <c r="E3" s="23">
        <v>46177</v>
      </c>
      <c r="F3" s="21" t="s">
        <v>642</v>
      </c>
      <c r="G3" s="19"/>
    </row>
    <row r="4" spans="1:7">
      <c r="A4" s="22">
        <v>3</v>
      </c>
      <c r="B4" s="21" t="s">
        <v>514</v>
      </c>
      <c r="C4" s="25" t="s">
        <v>516</v>
      </c>
      <c r="D4" s="22"/>
      <c r="E4" s="23">
        <v>46171</v>
      </c>
      <c r="F4" s="21" t="s">
        <v>642</v>
      </c>
      <c r="G4" s="19"/>
    </row>
    <row r="5" spans="1:7">
      <c r="A5" s="22">
        <v>4</v>
      </c>
      <c r="B5" s="21" t="s">
        <v>514</v>
      </c>
      <c r="C5" s="25" t="s">
        <v>515</v>
      </c>
      <c r="D5" s="22"/>
      <c r="E5" s="23">
        <v>46177</v>
      </c>
      <c r="F5" s="21" t="s">
        <v>642</v>
      </c>
      <c r="G5" s="19"/>
    </row>
    <row r="6" spans="1:7">
      <c r="A6" s="22">
        <v>5</v>
      </c>
      <c r="B6" s="21" t="s">
        <v>514</v>
      </c>
      <c r="C6" s="25" t="s">
        <v>516</v>
      </c>
      <c r="D6" s="22"/>
      <c r="E6" s="23">
        <v>46171</v>
      </c>
      <c r="F6" s="21" t="s">
        <v>642</v>
      </c>
      <c r="G6" s="19"/>
    </row>
    <row r="7" spans="1:7">
      <c r="A7" s="22">
        <v>6</v>
      </c>
      <c r="B7" s="21" t="s">
        <v>514</v>
      </c>
      <c r="C7" s="25" t="s">
        <v>516</v>
      </c>
      <c r="D7" s="23">
        <v>46170</v>
      </c>
      <c r="E7" s="23">
        <v>46175</v>
      </c>
      <c r="F7" s="21" t="s">
        <v>642</v>
      </c>
      <c r="G7" s="19"/>
    </row>
    <row r="8" spans="1:7">
      <c r="A8" s="22">
        <v>7</v>
      </c>
      <c r="B8" s="21" t="s">
        <v>514</v>
      </c>
      <c r="C8" s="25" t="s">
        <v>516</v>
      </c>
      <c r="D8" s="23">
        <v>46171</v>
      </c>
      <c r="E8" s="23">
        <v>46175</v>
      </c>
      <c r="F8" s="21" t="s">
        <v>642</v>
      </c>
      <c r="G8" s="19"/>
    </row>
    <row r="9" spans="1:7">
      <c r="A9" s="22">
        <v>8</v>
      </c>
      <c r="B9" s="21" t="s">
        <v>514</v>
      </c>
      <c r="C9" s="25" t="s">
        <v>516</v>
      </c>
      <c r="D9" s="22"/>
      <c r="E9" s="23">
        <v>46179</v>
      </c>
      <c r="F9" s="21" t="s">
        <v>642</v>
      </c>
      <c r="G9" s="19"/>
    </row>
    <row r="10" spans="1:7">
      <c r="A10" s="22">
        <v>9</v>
      </c>
      <c r="B10" s="21" t="s">
        <v>514</v>
      </c>
      <c r="C10" s="25" t="s">
        <v>516</v>
      </c>
      <c r="D10" s="22"/>
      <c r="E10" s="23">
        <v>46179</v>
      </c>
      <c r="F10" s="21" t="s">
        <v>642</v>
      </c>
      <c r="G10" s="19"/>
    </row>
    <row r="11" spans="1:7">
      <c r="A11" s="22">
        <v>10</v>
      </c>
      <c r="B11" s="21" t="s">
        <v>514</v>
      </c>
      <c r="C11" s="25" t="s">
        <v>515</v>
      </c>
      <c r="D11" s="23">
        <v>46170</v>
      </c>
      <c r="E11" s="23">
        <v>46181</v>
      </c>
      <c r="F11" s="21" t="s">
        <v>642</v>
      </c>
      <c r="G11" s="19"/>
    </row>
    <row r="12" spans="1:7">
      <c r="A12" s="22">
        <v>11</v>
      </c>
      <c r="B12" s="21" t="s">
        <v>514</v>
      </c>
      <c r="C12" s="25" t="s">
        <v>515</v>
      </c>
      <c r="D12" s="23">
        <v>46170</v>
      </c>
      <c r="E12" s="23">
        <v>46170</v>
      </c>
      <c r="F12" s="21" t="s">
        <v>642</v>
      </c>
      <c r="G12" s="19"/>
    </row>
    <row r="13" spans="1:7">
      <c r="A13" s="22">
        <v>12</v>
      </c>
      <c r="B13" s="21" t="s">
        <v>514</v>
      </c>
      <c r="C13" s="25" t="s">
        <v>515</v>
      </c>
      <c r="D13" s="23">
        <v>46170</v>
      </c>
      <c r="E13" s="23">
        <v>46170</v>
      </c>
      <c r="F13" s="21" t="s">
        <v>642</v>
      </c>
      <c r="G13" s="19"/>
    </row>
    <row r="14" spans="1:7">
      <c r="A14" s="22">
        <v>13</v>
      </c>
      <c r="B14" s="21" t="s">
        <v>514</v>
      </c>
      <c r="C14" s="25" t="s">
        <v>515</v>
      </c>
      <c r="D14" s="23">
        <v>46170</v>
      </c>
      <c r="E14" s="23">
        <v>46171</v>
      </c>
      <c r="F14" s="21" t="s">
        <v>642</v>
      </c>
      <c r="G14" s="19"/>
    </row>
    <row r="15" spans="1:7">
      <c r="A15" s="22">
        <v>14</v>
      </c>
      <c r="B15" s="21" t="s">
        <v>514</v>
      </c>
      <c r="C15" s="25" t="s">
        <v>515</v>
      </c>
      <c r="D15" s="22"/>
      <c r="E15" s="23">
        <v>46176</v>
      </c>
      <c r="F15" s="21" t="s">
        <v>642</v>
      </c>
      <c r="G15" s="19"/>
    </row>
    <row r="16" spans="1:7">
      <c r="A16" s="22">
        <v>15</v>
      </c>
      <c r="B16" s="21" t="s">
        <v>514</v>
      </c>
      <c r="C16" s="25" t="s">
        <v>515</v>
      </c>
      <c r="D16" s="22"/>
      <c r="E16" s="23">
        <v>46188</v>
      </c>
      <c r="F16" s="21" t="s">
        <v>642</v>
      </c>
      <c r="G16" s="19"/>
    </row>
    <row r="17" spans="1:8">
      <c r="A17" s="22">
        <v>16</v>
      </c>
      <c r="B17" s="21" t="s">
        <v>514</v>
      </c>
      <c r="C17" s="25" t="s">
        <v>515</v>
      </c>
      <c r="D17" s="23">
        <v>46175</v>
      </c>
      <c r="E17" s="23">
        <v>46181</v>
      </c>
      <c r="F17" s="21" t="s">
        <v>642</v>
      </c>
      <c r="G17" s="19"/>
    </row>
    <row r="18" spans="1:8">
      <c r="A18" s="22">
        <v>17</v>
      </c>
      <c r="B18" s="21" t="s">
        <v>514</v>
      </c>
      <c r="C18" s="25" t="s">
        <v>515</v>
      </c>
      <c r="D18" s="22"/>
      <c r="E18" s="23">
        <v>46189</v>
      </c>
      <c r="F18" s="21" t="s">
        <v>642</v>
      </c>
      <c r="G18" s="19"/>
    </row>
    <row r="19" spans="1:8">
      <c r="A19" s="26">
        <v>18</v>
      </c>
      <c r="B19" s="24" t="s">
        <v>641</v>
      </c>
      <c r="C19" s="27" t="s">
        <v>515</v>
      </c>
      <c r="D19" s="26" t="s">
        <v>641</v>
      </c>
      <c r="E19" s="26" t="s">
        <v>641</v>
      </c>
      <c r="F19" s="24" t="s">
        <v>641</v>
      </c>
      <c r="G19" s="19"/>
    </row>
    <row r="20" spans="1:8">
      <c r="A20" s="22">
        <v>19</v>
      </c>
      <c r="B20" s="21" t="s">
        <v>514</v>
      </c>
      <c r="C20" s="25" t="s">
        <v>516</v>
      </c>
      <c r="D20" s="23">
        <v>46191</v>
      </c>
      <c r="E20" s="23">
        <v>46192</v>
      </c>
      <c r="F20" s="21" t="s">
        <v>642</v>
      </c>
      <c r="G20" s="19"/>
    </row>
    <row r="21" spans="1:8">
      <c r="A21" s="22">
        <v>20</v>
      </c>
      <c r="B21" s="21" t="s">
        <v>514</v>
      </c>
      <c r="C21" s="25" t="s">
        <v>515</v>
      </c>
      <c r="D21" s="22"/>
      <c r="E21" s="23">
        <v>46188</v>
      </c>
      <c r="F21" s="21" t="s">
        <v>642</v>
      </c>
      <c r="G21" s="19"/>
    </row>
    <row r="22" spans="1:8">
      <c r="A22" s="26">
        <v>21</v>
      </c>
      <c r="B22" s="24" t="s">
        <v>641</v>
      </c>
      <c r="C22" s="27" t="s">
        <v>515</v>
      </c>
      <c r="D22" s="26" t="s">
        <v>641</v>
      </c>
      <c r="E22" s="26" t="s">
        <v>723</v>
      </c>
      <c r="F22" s="24" t="s">
        <v>641</v>
      </c>
      <c r="G22" s="19"/>
    </row>
    <row r="23" spans="1:8">
      <c r="A23" s="22">
        <v>22</v>
      </c>
      <c r="B23" s="21" t="s">
        <v>514</v>
      </c>
      <c r="C23" s="25" t="s">
        <v>515</v>
      </c>
      <c r="D23" s="22"/>
      <c r="E23" s="23">
        <v>46190</v>
      </c>
      <c r="F23" s="21" t="s">
        <v>719</v>
      </c>
      <c r="G23" s="19"/>
    </row>
    <row r="24" spans="1:8">
      <c r="A24" s="22">
        <v>23</v>
      </c>
      <c r="B24" s="21" t="s">
        <v>514</v>
      </c>
      <c r="C24" s="25" t="s">
        <v>515</v>
      </c>
      <c r="D24" s="23">
        <v>46198</v>
      </c>
      <c r="E24" s="23">
        <v>46204</v>
      </c>
      <c r="F24" s="21" t="s">
        <v>642</v>
      </c>
      <c r="G24" s="19"/>
    </row>
    <row r="25" spans="1:8">
      <c r="A25" s="22">
        <v>24</v>
      </c>
      <c r="B25" s="21" t="s">
        <v>514</v>
      </c>
      <c r="C25" s="25" t="s">
        <v>515</v>
      </c>
      <c r="D25" s="22"/>
      <c r="E25" s="23">
        <v>46207</v>
      </c>
      <c r="F25" s="21" t="s">
        <v>642</v>
      </c>
      <c r="G25" s="19"/>
      <c r="H25">
        <v>2</v>
      </c>
    </row>
    <row r="26" spans="1:8">
      <c r="A26" s="22">
        <v>25</v>
      </c>
      <c r="B26" s="21" t="s">
        <v>514</v>
      </c>
      <c r="C26" s="25" t="s">
        <v>515</v>
      </c>
      <c r="D26" s="22"/>
      <c r="E26" s="23">
        <v>46199</v>
      </c>
      <c r="F26" s="21" t="s">
        <v>642</v>
      </c>
      <c r="G26" s="19"/>
    </row>
    <row r="27" spans="1:8">
      <c r="A27" s="26">
        <v>26</v>
      </c>
      <c r="B27" s="24" t="s">
        <v>641</v>
      </c>
      <c r="C27" s="27" t="s">
        <v>641</v>
      </c>
      <c r="D27" s="28" t="s">
        <v>641</v>
      </c>
      <c r="E27" s="27" t="s">
        <v>641</v>
      </c>
      <c r="F27" s="24" t="s">
        <v>641</v>
      </c>
      <c r="G27" s="19"/>
    </row>
    <row r="28" spans="1:8">
      <c r="A28" s="26">
        <v>27</v>
      </c>
      <c r="B28" s="24" t="s">
        <v>641</v>
      </c>
      <c r="C28" s="27" t="s">
        <v>641</v>
      </c>
      <c r="D28" s="28" t="s">
        <v>641</v>
      </c>
      <c r="E28" s="27" t="s">
        <v>641</v>
      </c>
      <c r="F28" s="24" t="s">
        <v>641</v>
      </c>
      <c r="G28" s="19"/>
    </row>
    <row r="29" spans="1:8">
      <c r="A29" s="26">
        <v>28</v>
      </c>
      <c r="B29" s="24" t="s">
        <v>641</v>
      </c>
      <c r="C29" s="27" t="s">
        <v>641</v>
      </c>
      <c r="D29" s="28" t="s">
        <v>641</v>
      </c>
      <c r="E29" s="27" t="s">
        <v>641</v>
      </c>
      <c r="F29" s="24" t="s">
        <v>641</v>
      </c>
      <c r="G29" s="19"/>
    </row>
    <row r="30" spans="1:8">
      <c r="A30" s="26">
        <v>29</v>
      </c>
      <c r="B30" s="24" t="s">
        <v>641</v>
      </c>
      <c r="C30" s="27" t="s">
        <v>515</v>
      </c>
      <c r="D30" s="27" t="s">
        <v>641</v>
      </c>
      <c r="E30" s="27" t="s">
        <v>641</v>
      </c>
      <c r="F30" s="24" t="s">
        <v>641</v>
      </c>
      <c r="G30" s="19"/>
    </row>
    <row r="31" spans="1:8">
      <c r="A31" s="22">
        <v>30</v>
      </c>
      <c r="B31" s="21" t="s">
        <v>514</v>
      </c>
      <c r="C31" s="25" t="s">
        <v>516</v>
      </c>
      <c r="D31" s="22"/>
      <c r="E31" s="23">
        <v>46203</v>
      </c>
      <c r="F31" s="21" t="s">
        <v>642</v>
      </c>
      <c r="G31" s="19"/>
    </row>
    <row r="32" spans="1:8">
      <c r="A32" s="22">
        <v>31</v>
      </c>
      <c r="B32" s="21" t="s">
        <v>514</v>
      </c>
      <c r="C32" s="25" t="s">
        <v>516</v>
      </c>
      <c r="D32" s="22"/>
      <c r="E32" s="23">
        <v>46206</v>
      </c>
      <c r="F32" s="21" t="s">
        <v>642</v>
      </c>
      <c r="G32" s="19"/>
    </row>
    <row r="33" spans="1:7">
      <c r="A33" s="22">
        <v>32</v>
      </c>
      <c r="B33" s="21" t="s">
        <v>514</v>
      </c>
      <c r="C33" s="25" t="s">
        <v>516</v>
      </c>
      <c r="D33" s="22"/>
      <c r="E33" s="23">
        <v>46191</v>
      </c>
      <c r="F33" s="21" t="s">
        <v>642</v>
      </c>
      <c r="G33" s="19"/>
    </row>
    <row r="34" spans="1:7">
      <c r="A34" s="22">
        <v>33</v>
      </c>
      <c r="B34" s="21" t="s">
        <v>514</v>
      </c>
      <c r="C34" s="25" t="s">
        <v>515</v>
      </c>
      <c r="D34" s="22"/>
      <c r="E34" s="23">
        <v>46198</v>
      </c>
      <c r="F34" s="21" t="s">
        <v>642</v>
      </c>
      <c r="G34" s="19"/>
    </row>
    <row r="35" spans="1:7">
      <c r="A35" s="22">
        <v>34</v>
      </c>
      <c r="B35" s="21" t="s">
        <v>514</v>
      </c>
      <c r="C35" s="25" t="s">
        <v>515</v>
      </c>
      <c r="D35" s="22"/>
      <c r="E35" s="23">
        <v>46209</v>
      </c>
      <c r="F35" s="21" t="s">
        <v>642</v>
      </c>
      <c r="G35" s="19"/>
    </row>
    <row r="36" spans="1:7">
      <c r="A36" s="22">
        <v>35</v>
      </c>
      <c r="B36" s="21" t="s">
        <v>514</v>
      </c>
      <c r="C36" s="25" t="s">
        <v>516</v>
      </c>
      <c r="D36" s="22"/>
      <c r="E36" s="23">
        <v>46211</v>
      </c>
      <c r="F36" s="21" t="s">
        <v>642</v>
      </c>
      <c r="G36" s="19"/>
    </row>
    <row r="37" spans="1:7">
      <c r="A37" s="22">
        <v>36</v>
      </c>
      <c r="B37" s="21" t="s">
        <v>514</v>
      </c>
      <c r="C37" s="25" t="s">
        <v>516</v>
      </c>
      <c r="D37" s="22"/>
      <c r="E37" s="23">
        <v>46211</v>
      </c>
      <c r="F37" s="21" t="s">
        <v>642</v>
      </c>
      <c r="G37" s="19"/>
    </row>
    <row r="38" spans="1:7">
      <c r="A38" s="22">
        <v>37</v>
      </c>
      <c r="B38" s="21" t="s">
        <v>514</v>
      </c>
      <c r="C38" s="25" t="s">
        <v>516</v>
      </c>
      <c r="D38" s="22"/>
      <c r="E38" s="23">
        <v>46209</v>
      </c>
      <c r="F38" s="21" t="s">
        <v>642</v>
      </c>
      <c r="G38" s="19"/>
    </row>
    <row r="39" spans="1:7">
      <c r="A39" s="22">
        <v>38</v>
      </c>
      <c r="B39" s="21" t="s">
        <v>514</v>
      </c>
      <c r="C39" s="25" t="s">
        <v>516</v>
      </c>
      <c r="D39" s="22"/>
      <c r="E39" s="23">
        <v>46209</v>
      </c>
      <c r="F39" s="21" t="s">
        <v>642</v>
      </c>
      <c r="G39" s="19"/>
    </row>
    <row r="40" spans="1:7">
      <c r="A40" s="22">
        <v>39</v>
      </c>
      <c r="B40" s="21" t="s">
        <v>514</v>
      </c>
      <c r="C40" s="25" t="s">
        <v>515</v>
      </c>
      <c r="D40" s="22" t="s">
        <v>518</v>
      </c>
      <c r="E40" s="23">
        <v>46211</v>
      </c>
      <c r="F40" s="21" t="s">
        <v>642</v>
      </c>
      <c r="G40" s="19"/>
    </row>
    <row r="41" spans="1:7">
      <c r="A41" s="22">
        <v>40</v>
      </c>
      <c r="B41" s="21" t="s">
        <v>514</v>
      </c>
      <c r="C41" s="25" t="s">
        <v>515</v>
      </c>
      <c r="D41" s="22" t="s">
        <v>518</v>
      </c>
      <c r="E41" s="23">
        <v>46211</v>
      </c>
      <c r="F41" s="21" t="s">
        <v>642</v>
      </c>
      <c r="G41" s="19"/>
    </row>
    <row r="42" spans="1:7">
      <c r="A42" s="22">
        <v>41</v>
      </c>
      <c r="B42" s="21" t="s">
        <v>514</v>
      </c>
      <c r="C42" s="25" t="s">
        <v>515</v>
      </c>
      <c r="D42" s="22"/>
      <c r="E42" s="23">
        <v>46217</v>
      </c>
      <c r="F42" s="21" t="s">
        <v>642</v>
      </c>
      <c r="G42" s="19"/>
    </row>
    <row r="43" spans="1:7">
      <c r="A43" s="22">
        <v>42</v>
      </c>
      <c r="B43" s="21" t="s">
        <v>514</v>
      </c>
      <c r="C43" s="25" t="s">
        <v>516</v>
      </c>
      <c r="D43" s="22" t="s">
        <v>517</v>
      </c>
      <c r="E43" s="23">
        <v>46240</v>
      </c>
      <c r="F43" s="21" t="s">
        <v>720</v>
      </c>
      <c r="G43" s="19"/>
    </row>
    <row r="44" spans="1:7">
      <c r="A44" s="22">
        <v>43</v>
      </c>
      <c r="B44" s="21" t="s">
        <v>514</v>
      </c>
      <c r="C44" s="25" t="s">
        <v>515</v>
      </c>
      <c r="D44" s="23">
        <v>46216</v>
      </c>
      <c r="E44" s="23">
        <v>46223</v>
      </c>
      <c r="F44" s="21" t="s">
        <v>642</v>
      </c>
      <c r="G44" s="19"/>
    </row>
    <row r="45" spans="1:7">
      <c r="A45" s="22">
        <v>44</v>
      </c>
      <c r="B45" s="21" t="s">
        <v>514</v>
      </c>
      <c r="C45" s="25" t="s">
        <v>515</v>
      </c>
      <c r="D45" s="22" t="s">
        <v>517</v>
      </c>
      <c r="E45" s="23">
        <v>46218</v>
      </c>
      <c r="F45" s="21" t="s">
        <v>721</v>
      </c>
      <c r="G45" s="19"/>
    </row>
    <row r="46" spans="1:7">
      <c r="A46" s="22">
        <v>45</v>
      </c>
      <c r="B46" s="21" t="s">
        <v>514</v>
      </c>
      <c r="C46" s="25" t="s">
        <v>515</v>
      </c>
      <c r="D46" s="22" t="s">
        <v>517</v>
      </c>
      <c r="E46" s="23">
        <v>46211</v>
      </c>
      <c r="F46" s="21" t="s">
        <v>642</v>
      </c>
      <c r="G46" s="19"/>
    </row>
    <row r="47" spans="1:7">
      <c r="A47" s="26">
        <v>46</v>
      </c>
      <c r="B47" s="21" t="s">
        <v>517</v>
      </c>
      <c r="C47" s="25" t="s">
        <v>516</v>
      </c>
      <c r="D47" s="22" t="s">
        <v>517</v>
      </c>
      <c r="E47" s="23">
        <v>46211</v>
      </c>
      <c r="F47" s="21" t="s">
        <v>722</v>
      </c>
      <c r="G47" s="19"/>
    </row>
    <row r="48" spans="1:7">
      <c r="A48" s="26">
        <v>47</v>
      </c>
      <c r="B48" s="24" t="s">
        <v>641</v>
      </c>
      <c r="C48" s="26" t="s">
        <v>641</v>
      </c>
      <c r="D48" s="26" t="s">
        <v>641</v>
      </c>
      <c r="E48" s="26" t="s">
        <v>641</v>
      </c>
      <c r="F48" s="24" t="s">
        <v>641</v>
      </c>
      <c r="G48" s="19"/>
    </row>
    <row r="49" spans="1:7">
      <c r="A49" s="26">
        <v>48</v>
      </c>
      <c r="B49" s="24" t="s">
        <v>641</v>
      </c>
      <c r="C49" s="27" t="s">
        <v>641</v>
      </c>
      <c r="D49" s="26" t="s">
        <v>641</v>
      </c>
      <c r="E49" s="26" t="s">
        <v>723</v>
      </c>
      <c r="F49" s="24" t="s">
        <v>641</v>
      </c>
      <c r="G49" s="19"/>
    </row>
    <row r="50" spans="1:7">
      <c r="A50" s="22">
        <v>49</v>
      </c>
      <c r="B50" s="21" t="s">
        <v>514</v>
      </c>
      <c r="C50" s="25" t="s">
        <v>515</v>
      </c>
      <c r="D50" s="22"/>
      <c r="E50" s="23">
        <v>46218</v>
      </c>
      <c r="F50" s="21" t="s">
        <v>642</v>
      </c>
      <c r="G50" s="19"/>
    </row>
    <row r="51" spans="1:7">
      <c r="A51" s="22">
        <v>50</v>
      </c>
      <c r="B51" s="21" t="s">
        <v>514</v>
      </c>
      <c r="C51" s="25" t="s">
        <v>516</v>
      </c>
      <c r="D51" s="23">
        <v>46213</v>
      </c>
      <c r="E51" s="23">
        <v>46217</v>
      </c>
      <c r="F51" s="21" t="s">
        <v>642</v>
      </c>
      <c r="G51" s="19"/>
    </row>
    <row r="52" spans="1:7">
      <c r="A52" s="22">
        <v>51</v>
      </c>
      <c r="B52" s="21" t="s">
        <v>514</v>
      </c>
      <c r="C52" s="25" t="s">
        <v>515</v>
      </c>
      <c r="D52" s="22"/>
      <c r="E52" s="23">
        <v>46213</v>
      </c>
      <c r="F52" s="21" t="s">
        <v>642</v>
      </c>
      <c r="G52" s="19"/>
    </row>
    <row r="53" spans="1:7">
      <c r="A53" s="22">
        <v>52</v>
      </c>
      <c r="B53" s="21" t="s">
        <v>514</v>
      </c>
      <c r="C53" s="25" t="s">
        <v>516</v>
      </c>
      <c r="D53" s="22"/>
      <c r="E53" s="23">
        <v>46218</v>
      </c>
      <c r="F53" s="21" t="s">
        <v>642</v>
      </c>
      <c r="G53" s="19"/>
    </row>
    <row r="54" spans="1:7">
      <c r="A54" s="22">
        <v>53</v>
      </c>
      <c r="B54" s="21" t="s">
        <v>514</v>
      </c>
      <c r="C54" s="25" t="s">
        <v>515</v>
      </c>
      <c r="D54" s="23">
        <v>46213</v>
      </c>
      <c r="E54" s="23">
        <v>46218</v>
      </c>
      <c r="F54" s="21" t="s">
        <v>642</v>
      </c>
      <c r="G54" s="19"/>
    </row>
    <row r="55" spans="1:7">
      <c r="A55" s="22">
        <v>54</v>
      </c>
      <c r="B55" s="21" t="s">
        <v>514</v>
      </c>
      <c r="C55" s="25" t="s">
        <v>515</v>
      </c>
      <c r="D55" s="22"/>
      <c r="E55" s="23">
        <v>46224</v>
      </c>
      <c r="F55" s="21" t="s">
        <v>642</v>
      </c>
      <c r="G55" s="19"/>
    </row>
    <row r="56" spans="1:7">
      <c r="A56" s="22">
        <v>55</v>
      </c>
      <c r="B56" s="21" t="s">
        <v>514</v>
      </c>
      <c r="C56" s="25" t="s">
        <v>515</v>
      </c>
      <c r="D56" s="23">
        <v>46231</v>
      </c>
      <c r="E56" s="23">
        <v>46207</v>
      </c>
      <c r="F56" s="21" t="s">
        <v>724</v>
      </c>
      <c r="G56" s="19"/>
    </row>
    <row r="57" spans="1:7">
      <c r="A57" s="22">
        <v>56</v>
      </c>
      <c r="B57" s="21" t="s">
        <v>514</v>
      </c>
      <c r="C57" s="25" t="s">
        <v>516</v>
      </c>
      <c r="D57" s="22"/>
      <c r="E57" s="23">
        <v>46217</v>
      </c>
      <c r="F57" s="21" t="s">
        <v>642</v>
      </c>
      <c r="G57" s="19"/>
    </row>
    <row r="58" spans="1:7">
      <c r="A58" s="22">
        <v>57</v>
      </c>
      <c r="B58" s="21" t="s">
        <v>514</v>
      </c>
      <c r="C58" s="25" t="s">
        <v>515</v>
      </c>
      <c r="D58" s="23">
        <v>46225</v>
      </c>
      <c r="E58" s="23">
        <v>46244</v>
      </c>
      <c r="F58" s="21" t="s">
        <v>725</v>
      </c>
      <c r="G58" s="19"/>
    </row>
    <row r="59" spans="1:7">
      <c r="A59" s="22">
        <v>58</v>
      </c>
      <c r="B59" s="21" t="s">
        <v>514</v>
      </c>
      <c r="C59" s="25" t="s">
        <v>515</v>
      </c>
      <c r="D59" s="23">
        <v>46213</v>
      </c>
      <c r="E59" s="23">
        <v>46226</v>
      </c>
      <c r="F59" s="21" t="s">
        <v>642</v>
      </c>
      <c r="G59" s="19"/>
    </row>
    <row r="60" spans="1:7">
      <c r="A60" s="22">
        <v>59</v>
      </c>
      <c r="B60" s="21" t="s">
        <v>514</v>
      </c>
      <c r="C60" s="25" t="s">
        <v>516</v>
      </c>
      <c r="D60" s="23">
        <v>46220</v>
      </c>
      <c r="E60" s="23">
        <v>46225</v>
      </c>
      <c r="F60" s="21" t="s">
        <v>642</v>
      </c>
      <c r="G60" s="19"/>
    </row>
    <row r="61" spans="1:7">
      <c r="A61" s="22">
        <v>60</v>
      </c>
      <c r="B61" s="21" t="s">
        <v>514</v>
      </c>
      <c r="C61" s="25" t="s">
        <v>516</v>
      </c>
      <c r="D61" s="23">
        <v>46227</v>
      </c>
      <c r="E61" s="23">
        <v>46231</v>
      </c>
      <c r="F61" s="21" t="s">
        <v>642</v>
      </c>
      <c r="G61" s="19"/>
    </row>
    <row r="62" spans="1:7">
      <c r="A62" s="22">
        <v>61</v>
      </c>
      <c r="B62" s="21" t="s">
        <v>514</v>
      </c>
      <c r="C62" s="25" t="s">
        <v>515</v>
      </c>
      <c r="D62" s="23">
        <v>46224</v>
      </c>
      <c r="E62" s="23">
        <v>46230</v>
      </c>
      <c r="F62" s="21" t="s">
        <v>642</v>
      </c>
      <c r="G62" s="19"/>
    </row>
    <row r="63" spans="1:7">
      <c r="A63" s="22">
        <v>62</v>
      </c>
      <c r="B63" s="21" t="s">
        <v>514</v>
      </c>
      <c r="C63" s="25" t="s">
        <v>516</v>
      </c>
      <c r="D63" s="22"/>
      <c r="E63" s="23">
        <v>46220</v>
      </c>
      <c r="F63" s="21" t="s">
        <v>642</v>
      </c>
      <c r="G63" s="19"/>
    </row>
    <row r="64" spans="1:7">
      <c r="A64" s="22">
        <v>63</v>
      </c>
      <c r="B64" s="21" t="s">
        <v>514</v>
      </c>
      <c r="C64" s="25" t="s">
        <v>516</v>
      </c>
      <c r="D64" s="23">
        <v>46227</v>
      </c>
      <c r="E64" s="23">
        <v>46232</v>
      </c>
      <c r="F64" s="21" t="s">
        <v>642</v>
      </c>
      <c r="G64" s="19"/>
    </row>
    <row r="65" spans="1:7">
      <c r="A65" s="22">
        <v>64</v>
      </c>
      <c r="B65" s="21" t="s">
        <v>514</v>
      </c>
      <c r="C65" s="25" t="s">
        <v>516</v>
      </c>
      <c r="D65" s="23">
        <v>46225</v>
      </c>
      <c r="E65" s="23">
        <v>46231</v>
      </c>
      <c r="F65" s="21" t="s">
        <v>642</v>
      </c>
      <c r="G65" s="19"/>
    </row>
    <row r="66" spans="1:7">
      <c r="A66" s="22">
        <v>65</v>
      </c>
      <c r="B66" s="21" t="s">
        <v>514</v>
      </c>
      <c r="C66" s="25" t="s">
        <v>515</v>
      </c>
      <c r="D66" s="23">
        <v>46224</v>
      </c>
      <c r="E66" s="23">
        <v>46230</v>
      </c>
      <c r="F66" s="21" t="s">
        <v>710</v>
      </c>
      <c r="G66" s="19"/>
    </row>
    <row r="67" spans="1:7">
      <c r="A67" s="22">
        <v>66</v>
      </c>
      <c r="B67" s="21" t="s">
        <v>514</v>
      </c>
      <c r="C67" s="25" t="s">
        <v>515</v>
      </c>
      <c r="D67" s="22"/>
      <c r="E67" s="23">
        <v>46224</v>
      </c>
      <c r="F67" s="21" t="s">
        <v>642</v>
      </c>
      <c r="G67" s="19"/>
    </row>
    <row r="68" spans="1:7">
      <c r="A68" s="22">
        <v>67</v>
      </c>
      <c r="B68" s="21" t="s">
        <v>514</v>
      </c>
      <c r="C68" s="25" t="s">
        <v>515</v>
      </c>
      <c r="D68" s="22"/>
      <c r="E68" s="23">
        <v>46224</v>
      </c>
      <c r="F68" s="21" t="s">
        <v>642</v>
      </c>
      <c r="G68" s="19"/>
    </row>
    <row r="69" spans="1:7">
      <c r="A69" s="22">
        <v>68</v>
      </c>
      <c r="B69" s="21" t="s">
        <v>514</v>
      </c>
      <c r="C69" s="25" t="s">
        <v>515</v>
      </c>
      <c r="D69" s="22"/>
      <c r="E69" s="23">
        <v>46224</v>
      </c>
      <c r="F69" s="21" t="s">
        <v>642</v>
      </c>
      <c r="G69" s="19"/>
    </row>
    <row r="70" spans="1:7">
      <c r="A70" s="22">
        <v>69</v>
      </c>
      <c r="B70" s="21" t="s">
        <v>514</v>
      </c>
      <c r="C70" s="25" t="s">
        <v>515</v>
      </c>
      <c r="D70" s="22"/>
      <c r="E70" s="23">
        <v>46231</v>
      </c>
      <c r="F70" s="21" t="s">
        <v>643</v>
      </c>
      <c r="G70" s="19"/>
    </row>
    <row r="71" spans="1:7">
      <c r="A71" s="22">
        <v>70</v>
      </c>
      <c r="B71" s="21" t="s">
        <v>514</v>
      </c>
      <c r="C71" s="25" t="s">
        <v>516</v>
      </c>
      <c r="D71" s="23">
        <v>46232</v>
      </c>
      <c r="E71" s="23">
        <v>46233</v>
      </c>
      <c r="F71" s="21" t="s">
        <v>642</v>
      </c>
      <c r="G71" s="19"/>
    </row>
    <row r="72" spans="1:7">
      <c r="A72" s="26">
        <v>71</v>
      </c>
      <c r="B72" s="24" t="s">
        <v>723</v>
      </c>
      <c r="C72" s="24" t="s">
        <v>723</v>
      </c>
      <c r="D72" s="24" t="s">
        <v>723</v>
      </c>
      <c r="E72" s="24" t="s">
        <v>723</v>
      </c>
      <c r="F72" s="24" t="s">
        <v>641</v>
      </c>
      <c r="G72" s="19"/>
    </row>
    <row r="73" spans="1:7">
      <c r="A73" s="26">
        <v>72</v>
      </c>
      <c r="B73" s="24" t="s">
        <v>641</v>
      </c>
      <c r="C73" s="24" t="s">
        <v>641</v>
      </c>
      <c r="D73" s="24" t="s">
        <v>641</v>
      </c>
      <c r="E73" s="24" t="s">
        <v>641</v>
      </c>
      <c r="F73" s="24" t="s">
        <v>641</v>
      </c>
      <c r="G73" s="19"/>
    </row>
    <row r="74" spans="1:7">
      <c r="A74" s="22">
        <v>73</v>
      </c>
      <c r="B74" s="21" t="s">
        <v>514</v>
      </c>
      <c r="C74" s="22" t="s">
        <v>516</v>
      </c>
      <c r="D74" s="23">
        <v>46232</v>
      </c>
      <c r="E74" s="23">
        <v>46232</v>
      </c>
      <c r="F74" s="21" t="s">
        <v>642</v>
      </c>
      <c r="G74" s="19"/>
    </row>
    <row r="75" spans="1:7">
      <c r="A75" s="22">
        <v>74</v>
      </c>
      <c r="B75" s="21" t="s">
        <v>514</v>
      </c>
      <c r="C75" s="22" t="s">
        <v>516</v>
      </c>
      <c r="D75" s="22"/>
      <c r="E75" s="23">
        <v>46237</v>
      </c>
      <c r="F75" s="21" t="s">
        <v>642</v>
      </c>
      <c r="G75" s="19"/>
    </row>
    <row r="76" spans="1:7">
      <c r="A76" s="22">
        <v>75</v>
      </c>
      <c r="B76" s="21" t="s">
        <v>514</v>
      </c>
      <c r="C76" s="22" t="s">
        <v>516</v>
      </c>
      <c r="D76" s="22" t="s">
        <v>772</v>
      </c>
      <c r="E76" s="23">
        <v>46232</v>
      </c>
      <c r="F76" s="21" t="s">
        <v>726</v>
      </c>
      <c r="G76" s="19"/>
    </row>
    <row r="77" spans="1:7">
      <c r="A77" s="22">
        <v>76</v>
      </c>
      <c r="B77" s="21" t="s">
        <v>514</v>
      </c>
      <c r="C77" s="22" t="s">
        <v>516</v>
      </c>
      <c r="D77" s="22"/>
      <c r="E77" s="23">
        <v>46239</v>
      </c>
      <c r="F77" s="21" t="s">
        <v>727</v>
      </c>
      <c r="G77" s="19"/>
    </row>
    <row r="78" spans="1:7">
      <c r="A78" s="22">
        <v>77</v>
      </c>
      <c r="B78" s="21" t="s">
        <v>514</v>
      </c>
      <c r="C78" s="22" t="s">
        <v>516</v>
      </c>
      <c r="D78" s="22" t="s">
        <v>518</v>
      </c>
      <c r="E78" s="23">
        <v>46233</v>
      </c>
      <c r="F78" s="21" t="s">
        <v>758</v>
      </c>
      <c r="G78" s="19"/>
    </row>
    <row r="79" spans="1:7">
      <c r="A79" s="22">
        <v>78</v>
      </c>
      <c r="B79" s="21" t="s">
        <v>514</v>
      </c>
      <c r="C79" s="22" t="s">
        <v>515</v>
      </c>
      <c r="D79" s="22" t="s">
        <v>518</v>
      </c>
      <c r="E79" s="23">
        <v>46233</v>
      </c>
      <c r="F79" s="21" t="s">
        <v>759</v>
      </c>
      <c r="G79" s="19"/>
    </row>
    <row r="80" spans="1:7">
      <c r="A80" s="22">
        <v>79</v>
      </c>
      <c r="B80" s="21" t="s">
        <v>514</v>
      </c>
      <c r="C80" s="22" t="s">
        <v>516</v>
      </c>
      <c r="D80" s="22" t="s">
        <v>518</v>
      </c>
      <c r="E80" s="23">
        <v>46239</v>
      </c>
      <c r="F80" s="21" t="s">
        <v>817</v>
      </c>
      <c r="G80" s="19"/>
    </row>
    <row r="81" spans="1:7">
      <c r="A81" s="22">
        <v>80</v>
      </c>
      <c r="B81" s="21" t="s">
        <v>514</v>
      </c>
      <c r="C81" s="22" t="s">
        <v>515</v>
      </c>
      <c r="D81" s="23">
        <v>46236</v>
      </c>
      <c r="E81" s="23">
        <v>46235</v>
      </c>
      <c r="F81" s="21" t="s">
        <v>642</v>
      </c>
      <c r="G81" s="19"/>
    </row>
    <row r="82" spans="1:7">
      <c r="A82" s="22">
        <v>81</v>
      </c>
      <c r="B82" s="21" t="s">
        <v>514</v>
      </c>
      <c r="C82" s="22" t="s">
        <v>515</v>
      </c>
      <c r="D82" s="22"/>
      <c r="E82" s="23">
        <v>46248</v>
      </c>
      <c r="F82" s="21" t="s">
        <v>642</v>
      </c>
      <c r="G82" s="19"/>
    </row>
    <row r="83" spans="1:7">
      <c r="A83" s="22">
        <v>82</v>
      </c>
      <c r="B83" s="21" t="s">
        <v>514</v>
      </c>
      <c r="C83" s="22" t="s">
        <v>515</v>
      </c>
      <c r="D83" s="22"/>
      <c r="E83" s="23">
        <v>46239</v>
      </c>
      <c r="F83" s="21" t="s">
        <v>642</v>
      </c>
      <c r="G83" s="19"/>
    </row>
    <row r="84" spans="1:7">
      <c r="A84" s="22">
        <v>83</v>
      </c>
      <c r="B84" s="21" t="s">
        <v>514</v>
      </c>
      <c r="C84" s="22" t="s">
        <v>515</v>
      </c>
      <c r="D84" s="22" t="s">
        <v>518</v>
      </c>
      <c r="E84" s="23">
        <v>46246</v>
      </c>
      <c r="F84" s="21" t="s">
        <v>952</v>
      </c>
      <c r="G84" s="19"/>
    </row>
    <row r="85" spans="1:7">
      <c r="A85" s="22">
        <v>84</v>
      </c>
      <c r="B85" s="21" t="s">
        <v>514</v>
      </c>
      <c r="C85" s="22" t="s">
        <v>515</v>
      </c>
      <c r="D85" s="22" t="s">
        <v>518</v>
      </c>
      <c r="E85" s="23">
        <v>46246</v>
      </c>
      <c r="F85" s="21" t="s">
        <v>952</v>
      </c>
      <c r="G85" s="19"/>
    </row>
    <row r="86" spans="1:7">
      <c r="A86" s="22">
        <v>85</v>
      </c>
      <c r="B86" s="21" t="s">
        <v>514</v>
      </c>
      <c r="C86" s="22" t="s">
        <v>515</v>
      </c>
      <c r="D86" s="22" t="s">
        <v>518</v>
      </c>
      <c r="E86" s="23">
        <v>46246</v>
      </c>
      <c r="F86" s="21" t="s">
        <v>952</v>
      </c>
      <c r="G86" s="19"/>
    </row>
    <row r="87" spans="1:7">
      <c r="A87" s="22">
        <v>86</v>
      </c>
      <c r="B87" s="21" t="s">
        <v>514</v>
      </c>
      <c r="C87" s="22" t="s">
        <v>515</v>
      </c>
      <c r="D87" s="22" t="s">
        <v>518</v>
      </c>
      <c r="E87" s="23">
        <v>46246</v>
      </c>
      <c r="F87" s="21" t="s">
        <v>952</v>
      </c>
      <c r="G87" s="19"/>
    </row>
    <row r="88" spans="1:7">
      <c r="A88" s="22">
        <v>87</v>
      </c>
      <c r="B88" s="21" t="s">
        <v>514</v>
      </c>
      <c r="C88" s="22" t="s">
        <v>515</v>
      </c>
      <c r="D88" s="22" t="s">
        <v>518</v>
      </c>
      <c r="E88" s="23" t="s">
        <v>1086</v>
      </c>
      <c r="F88" s="30" t="s">
        <v>1183</v>
      </c>
      <c r="G88" s="19"/>
    </row>
    <row r="89" spans="1:7">
      <c r="A89" s="22">
        <v>88</v>
      </c>
      <c r="B89" s="21" t="s">
        <v>514</v>
      </c>
      <c r="C89" s="22" t="s">
        <v>515</v>
      </c>
      <c r="D89" s="23">
        <v>46260</v>
      </c>
      <c r="E89" s="23">
        <v>46270</v>
      </c>
      <c r="F89" s="21" t="s">
        <v>642</v>
      </c>
      <c r="G89" s="19"/>
    </row>
    <row r="90" spans="1:7">
      <c r="A90" s="22">
        <v>89</v>
      </c>
      <c r="B90" s="21" t="s">
        <v>514</v>
      </c>
      <c r="C90" s="22" t="s">
        <v>516</v>
      </c>
      <c r="D90" s="23">
        <v>46237</v>
      </c>
      <c r="E90" s="23">
        <v>46238</v>
      </c>
      <c r="F90" s="21" t="s">
        <v>774</v>
      </c>
      <c r="G90" s="19"/>
    </row>
    <row r="91" spans="1:7">
      <c r="A91" s="22">
        <v>90</v>
      </c>
      <c r="B91" s="21" t="s">
        <v>514</v>
      </c>
      <c r="C91" s="22" t="s">
        <v>515</v>
      </c>
      <c r="D91" s="22" t="s">
        <v>518</v>
      </c>
      <c r="E91" s="23">
        <v>46237</v>
      </c>
      <c r="F91" s="21" t="s">
        <v>819</v>
      </c>
      <c r="G91" s="19"/>
    </row>
    <row r="92" spans="1:7">
      <c r="A92" s="22">
        <v>91</v>
      </c>
      <c r="B92" s="21" t="s">
        <v>514</v>
      </c>
      <c r="C92" s="22" t="s">
        <v>515</v>
      </c>
      <c r="D92" s="22" t="s">
        <v>518</v>
      </c>
      <c r="E92" s="23">
        <v>46237</v>
      </c>
      <c r="F92" s="21" t="s">
        <v>819</v>
      </c>
      <c r="G92" s="19"/>
    </row>
    <row r="93" spans="1:7">
      <c r="A93" s="22">
        <v>92</v>
      </c>
      <c r="B93" s="21" t="s">
        <v>514</v>
      </c>
      <c r="C93" s="22" t="s">
        <v>515</v>
      </c>
      <c r="D93" s="22" t="s">
        <v>518</v>
      </c>
      <c r="E93" s="23">
        <v>46246</v>
      </c>
      <c r="F93" s="21" t="s">
        <v>774</v>
      </c>
      <c r="G93" s="19"/>
    </row>
    <row r="94" spans="1:7">
      <c r="A94" s="22">
        <v>93</v>
      </c>
      <c r="B94" s="24" t="s">
        <v>641</v>
      </c>
      <c r="C94" s="24" t="s">
        <v>641</v>
      </c>
      <c r="D94" s="24" t="s">
        <v>641</v>
      </c>
      <c r="E94" s="24" t="s">
        <v>641</v>
      </c>
      <c r="F94" s="24" t="s">
        <v>641</v>
      </c>
      <c r="G94" s="19"/>
    </row>
    <row r="95" spans="1:7">
      <c r="A95" s="22">
        <v>94</v>
      </c>
      <c r="B95" s="21" t="s">
        <v>514</v>
      </c>
      <c r="C95" s="22" t="s">
        <v>515</v>
      </c>
      <c r="D95" s="22" t="s">
        <v>518</v>
      </c>
      <c r="E95" s="23">
        <v>46238</v>
      </c>
      <c r="F95" s="21" t="s">
        <v>773</v>
      </c>
      <c r="G95" s="19"/>
    </row>
    <row r="96" spans="1:7">
      <c r="A96" s="22">
        <v>95</v>
      </c>
      <c r="B96" s="21" t="s">
        <v>514</v>
      </c>
      <c r="C96" s="22" t="s">
        <v>516</v>
      </c>
      <c r="D96" s="23">
        <v>46241</v>
      </c>
      <c r="E96" s="23">
        <v>46247</v>
      </c>
      <c r="F96" s="21" t="s">
        <v>953</v>
      </c>
      <c r="G96" s="19"/>
    </row>
    <row r="97" spans="1:7">
      <c r="A97" s="22">
        <v>96</v>
      </c>
      <c r="B97" s="21" t="s">
        <v>514</v>
      </c>
      <c r="C97" s="22" t="s">
        <v>516</v>
      </c>
      <c r="D97" s="22" t="s">
        <v>518</v>
      </c>
      <c r="E97" s="23">
        <v>46238</v>
      </c>
      <c r="F97" s="21" t="s">
        <v>872</v>
      </c>
      <c r="G97" s="19"/>
    </row>
    <row r="98" spans="1:7">
      <c r="A98" s="22">
        <v>97</v>
      </c>
      <c r="B98" s="21" t="s">
        <v>514</v>
      </c>
      <c r="C98" s="22" t="s">
        <v>515</v>
      </c>
      <c r="D98" s="22" t="s">
        <v>518</v>
      </c>
      <c r="E98" s="22" t="s">
        <v>1030</v>
      </c>
      <c r="F98" s="30" t="s">
        <v>1031</v>
      </c>
      <c r="G98" s="19"/>
    </row>
    <row r="99" spans="1:7">
      <c r="A99" s="22">
        <v>98</v>
      </c>
      <c r="B99" s="21" t="s">
        <v>514</v>
      </c>
      <c r="C99" s="22" t="s">
        <v>515</v>
      </c>
      <c r="D99" s="23">
        <v>46248</v>
      </c>
      <c r="E99" s="23">
        <v>46252</v>
      </c>
      <c r="F99" s="21" t="s">
        <v>642</v>
      </c>
      <c r="G99" s="19"/>
    </row>
    <row r="100" spans="1:7">
      <c r="A100" s="22">
        <v>99</v>
      </c>
      <c r="B100" s="21" t="s">
        <v>514</v>
      </c>
      <c r="C100" s="22" t="s">
        <v>516</v>
      </c>
      <c r="D100" s="23">
        <v>46248</v>
      </c>
      <c r="E100" s="23">
        <v>46251</v>
      </c>
      <c r="F100" s="21" t="s">
        <v>1032</v>
      </c>
      <c r="G100" s="19"/>
    </row>
    <row r="101" spans="1:7">
      <c r="A101" s="22">
        <v>100</v>
      </c>
      <c r="B101" s="21" t="s">
        <v>514</v>
      </c>
      <c r="C101" s="22" t="s">
        <v>516</v>
      </c>
      <c r="D101" s="23">
        <v>46248</v>
      </c>
      <c r="E101" s="23">
        <v>46244</v>
      </c>
      <c r="F101" s="21" t="s">
        <v>642</v>
      </c>
      <c r="G101" s="19"/>
    </row>
    <row r="102" spans="1:7">
      <c r="A102" s="22">
        <v>101</v>
      </c>
      <c r="B102" s="21" t="s">
        <v>514</v>
      </c>
      <c r="C102" s="22" t="s">
        <v>515</v>
      </c>
      <c r="D102" s="22" t="s">
        <v>518</v>
      </c>
      <c r="E102" s="23">
        <v>46247</v>
      </c>
      <c r="F102" s="21" t="s">
        <v>642</v>
      </c>
      <c r="G102" s="19"/>
    </row>
    <row r="103" spans="1:7">
      <c r="A103" s="22">
        <v>102</v>
      </c>
      <c r="B103" s="21" t="s">
        <v>514</v>
      </c>
      <c r="C103" s="22" t="s">
        <v>515</v>
      </c>
      <c r="D103" s="23">
        <v>46248</v>
      </c>
      <c r="E103" s="23">
        <v>46248</v>
      </c>
      <c r="F103" s="21" t="s">
        <v>642</v>
      </c>
      <c r="G103" s="19"/>
    </row>
    <row r="104" spans="1:7">
      <c r="A104" s="22">
        <v>103</v>
      </c>
      <c r="B104" s="21" t="s">
        <v>641</v>
      </c>
      <c r="C104" s="22" t="s">
        <v>516</v>
      </c>
      <c r="D104" s="23">
        <v>46248</v>
      </c>
      <c r="E104" s="22" t="s">
        <v>1030</v>
      </c>
      <c r="F104" s="31" t="s">
        <v>1214</v>
      </c>
      <c r="G104" s="19"/>
    </row>
    <row r="105" spans="1:7">
      <c r="A105" s="22">
        <v>104</v>
      </c>
      <c r="B105" s="21" t="s">
        <v>514</v>
      </c>
      <c r="C105" s="22" t="s">
        <v>515</v>
      </c>
      <c r="D105" s="22" t="s">
        <v>518</v>
      </c>
      <c r="E105" s="23">
        <v>46247</v>
      </c>
      <c r="F105" s="21" t="s">
        <v>642</v>
      </c>
      <c r="G105" s="19"/>
    </row>
    <row r="106" spans="1:7">
      <c r="A106" s="22">
        <v>105</v>
      </c>
      <c r="B106" s="21" t="s">
        <v>514</v>
      </c>
      <c r="C106" s="22" t="s">
        <v>516</v>
      </c>
      <c r="D106" s="23">
        <v>46248</v>
      </c>
      <c r="E106" s="23">
        <v>46252</v>
      </c>
      <c r="F106" s="21" t="s">
        <v>642</v>
      </c>
      <c r="G106" s="19"/>
    </row>
    <row r="107" spans="1:7">
      <c r="A107" s="22">
        <v>106</v>
      </c>
      <c r="B107" s="21" t="s">
        <v>514</v>
      </c>
      <c r="C107" s="22" t="s">
        <v>515</v>
      </c>
      <c r="D107" s="22" t="s">
        <v>518</v>
      </c>
      <c r="E107" s="23">
        <v>46252</v>
      </c>
      <c r="F107" s="21" t="s">
        <v>642</v>
      </c>
      <c r="G107" s="19"/>
    </row>
    <row r="108" spans="1:7">
      <c r="A108" s="22">
        <v>107</v>
      </c>
      <c r="B108" s="21" t="s">
        <v>514</v>
      </c>
      <c r="C108" s="22" t="s">
        <v>516</v>
      </c>
      <c r="D108" s="22" t="s">
        <v>518</v>
      </c>
      <c r="E108" s="23">
        <v>46252</v>
      </c>
      <c r="F108" s="21" t="s">
        <v>642</v>
      </c>
      <c r="G108" s="19"/>
    </row>
    <row r="109" spans="1:7">
      <c r="A109" s="22">
        <v>108</v>
      </c>
      <c r="B109" s="24" t="s">
        <v>641</v>
      </c>
      <c r="C109" s="24" t="s">
        <v>641</v>
      </c>
      <c r="D109" s="24" t="s">
        <v>641</v>
      </c>
      <c r="E109" s="24" t="s">
        <v>641</v>
      </c>
      <c r="F109" s="24" t="s">
        <v>641</v>
      </c>
      <c r="G109" s="20"/>
    </row>
    <row r="110" spans="1:7">
      <c r="A110" s="22">
        <v>109</v>
      </c>
      <c r="B110" s="21" t="s">
        <v>514</v>
      </c>
      <c r="C110" s="22" t="s">
        <v>515</v>
      </c>
      <c r="D110" s="23">
        <v>46248</v>
      </c>
      <c r="E110" s="23">
        <v>46251</v>
      </c>
      <c r="F110" s="21" t="s">
        <v>642</v>
      </c>
      <c r="G110" s="19"/>
    </row>
    <row r="111" spans="1:7">
      <c r="A111" s="22">
        <v>110</v>
      </c>
      <c r="B111" s="21" t="s">
        <v>514</v>
      </c>
      <c r="C111" s="22" t="s">
        <v>516</v>
      </c>
      <c r="D111" s="22" t="s">
        <v>518</v>
      </c>
      <c r="E111" s="23">
        <v>46251</v>
      </c>
      <c r="F111" s="21" t="s">
        <v>1087</v>
      </c>
      <c r="G111" s="19"/>
    </row>
    <row r="112" spans="1:7">
      <c r="A112" s="22">
        <v>111</v>
      </c>
      <c r="B112" s="21" t="s">
        <v>514</v>
      </c>
      <c r="C112" s="22" t="s">
        <v>515</v>
      </c>
      <c r="D112" s="22" t="s">
        <v>518</v>
      </c>
      <c r="E112" s="23">
        <v>46251</v>
      </c>
      <c r="F112" s="21" t="s">
        <v>1087</v>
      </c>
      <c r="G112" s="19"/>
    </row>
    <row r="113" spans="1:7">
      <c r="A113" s="22">
        <v>112</v>
      </c>
      <c r="B113" s="21" t="s">
        <v>514</v>
      </c>
      <c r="C113" s="22" t="s">
        <v>515</v>
      </c>
      <c r="D113" s="22" t="s">
        <v>518</v>
      </c>
      <c r="E113" s="23">
        <v>46251</v>
      </c>
      <c r="F113" s="21" t="s">
        <v>1087</v>
      </c>
      <c r="G113" s="19"/>
    </row>
    <row r="114" spans="1:7">
      <c r="A114" s="22">
        <v>113</v>
      </c>
      <c r="B114" s="21" t="s">
        <v>514</v>
      </c>
      <c r="C114" s="22" t="s">
        <v>515</v>
      </c>
      <c r="D114" s="22" t="s">
        <v>518</v>
      </c>
      <c r="E114" s="23">
        <v>46251</v>
      </c>
      <c r="F114" s="21" t="s">
        <v>1087</v>
      </c>
      <c r="G114" s="19"/>
    </row>
    <row r="115" spans="1:7">
      <c r="A115" s="22">
        <v>114</v>
      </c>
      <c r="B115" s="21" t="s">
        <v>514</v>
      </c>
      <c r="C115" s="22" t="s">
        <v>515</v>
      </c>
      <c r="D115" s="22" t="s">
        <v>518</v>
      </c>
      <c r="E115" s="23">
        <v>46251</v>
      </c>
      <c r="F115" s="21" t="s">
        <v>1088</v>
      </c>
      <c r="G115" s="19"/>
    </row>
    <row r="116" spans="1:7">
      <c r="A116" s="22">
        <v>115</v>
      </c>
      <c r="B116" s="21" t="s">
        <v>514</v>
      </c>
      <c r="C116" s="22" t="s">
        <v>516</v>
      </c>
      <c r="D116" s="23">
        <v>46252</v>
      </c>
      <c r="E116" s="23">
        <v>46251</v>
      </c>
      <c r="F116" s="21" t="s">
        <v>642</v>
      </c>
      <c r="G116" s="19"/>
    </row>
    <row r="117" spans="1:7">
      <c r="A117" s="22">
        <v>116</v>
      </c>
      <c r="B117" s="21" t="s">
        <v>514</v>
      </c>
      <c r="C117" s="22" t="s">
        <v>515</v>
      </c>
      <c r="D117" s="22" t="s">
        <v>518</v>
      </c>
      <c r="E117" s="23">
        <v>46261</v>
      </c>
      <c r="F117" s="21" t="s">
        <v>642</v>
      </c>
      <c r="G117" s="19"/>
    </row>
    <row r="118" spans="1:7">
      <c r="A118" s="22">
        <v>117</v>
      </c>
      <c r="B118" s="21" t="s">
        <v>514</v>
      </c>
      <c r="C118" s="22" t="s">
        <v>516</v>
      </c>
      <c r="D118" s="23">
        <v>46254</v>
      </c>
      <c r="E118" s="23">
        <v>46259</v>
      </c>
      <c r="F118" s="21" t="s">
        <v>642</v>
      </c>
      <c r="G118" s="19"/>
    </row>
    <row r="119" spans="1:7">
      <c r="A119" s="22">
        <v>118</v>
      </c>
      <c r="B119" s="21" t="s">
        <v>514</v>
      </c>
      <c r="C119" s="22" t="s">
        <v>515</v>
      </c>
      <c r="D119" s="22" t="s">
        <v>518</v>
      </c>
      <c r="E119" s="23">
        <v>46261</v>
      </c>
      <c r="F119" s="21" t="s">
        <v>642</v>
      </c>
      <c r="G119" s="19"/>
    </row>
    <row r="120" spans="1:7">
      <c r="A120" s="22">
        <v>119</v>
      </c>
      <c r="B120" s="21" t="s">
        <v>514</v>
      </c>
      <c r="C120" s="22" t="s">
        <v>516</v>
      </c>
      <c r="D120" s="22" t="s">
        <v>518</v>
      </c>
      <c r="E120" s="23">
        <v>46261</v>
      </c>
      <c r="F120" s="21" t="s">
        <v>642</v>
      </c>
      <c r="G120" s="19"/>
    </row>
    <row r="121" spans="1:7">
      <c r="A121" s="22">
        <v>120</v>
      </c>
      <c r="B121" s="24" t="s">
        <v>641</v>
      </c>
      <c r="C121" s="26" t="s">
        <v>641</v>
      </c>
      <c r="D121" s="26"/>
      <c r="E121" s="26" t="s">
        <v>723</v>
      </c>
      <c r="F121" s="24" t="s">
        <v>1141</v>
      </c>
      <c r="G121" s="22"/>
    </row>
    <row r="122" spans="1:7">
      <c r="A122" s="22">
        <v>121</v>
      </c>
      <c r="B122" s="21" t="s">
        <v>514</v>
      </c>
      <c r="C122" s="22" t="s">
        <v>515</v>
      </c>
      <c r="D122" s="22" t="s">
        <v>518</v>
      </c>
      <c r="E122" s="23">
        <v>46255</v>
      </c>
      <c r="F122" s="21" t="s">
        <v>1084</v>
      </c>
      <c r="G122" s="22"/>
    </row>
    <row r="123" spans="1:7">
      <c r="A123" s="22">
        <v>122</v>
      </c>
      <c r="B123" s="21" t="s">
        <v>514</v>
      </c>
      <c r="C123" s="22" t="s">
        <v>516</v>
      </c>
      <c r="D123" s="23">
        <v>46262</v>
      </c>
      <c r="E123" s="23">
        <v>46262</v>
      </c>
      <c r="F123" s="21" t="s">
        <v>642</v>
      </c>
      <c r="G123" s="22"/>
    </row>
    <row r="124" spans="1:7">
      <c r="A124" s="22">
        <v>123</v>
      </c>
      <c r="B124" s="24" t="s">
        <v>641</v>
      </c>
      <c r="C124" s="26" t="s">
        <v>516</v>
      </c>
      <c r="D124" s="26" t="s">
        <v>723</v>
      </c>
      <c r="E124" s="26" t="s">
        <v>723</v>
      </c>
      <c r="F124" s="24" t="s">
        <v>1085</v>
      </c>
      <c r="G124" s="22"/>
    </row>
    <row r="125" spans="1:7">
      <c r="A125" s="22">
        <v>124</v>
      </c>
      <c r="B125" s="21" t="s">
        <v>514</v>
      </c>
      <c r="C125" s="22" t="s">
        <v>516</v>
      </c>
      <c r="D125" s="23">
        <v>46262</v>
      </c>
      <c r="E125" s="23">
        <v>46267</v>
      </c>
      <c r="F125" s="21" t="s">
        <v>642</v>
      </c>
      <c r="G125" s="22"/>
    </row>
    <row r="126" spans="1:7">
      <c r="A126" s="22">
        <v>125</v>
      </c>
      <c r="B126" s="21" t="s">
        <v>514</v>
      </c>
      <c r="C126" s="22" t="s">
        <v>515</v>
      </c>
      <c r="D126" s="23">
        <v>46261</v>
      </c>
      <c r="E126" s="23">
        <v>46262</v>
      </c>
      <c r="F126" s="21" t="s">
        <v>1142</v>
      </c>
      <c r="G126" s="22"/>
    </row>
    <row r="127" spans="1:7">
      <c r="A127" s="22">
        <v>126</v>
      </c>
      <c r="B127" s="21" t="s">
        <v>514</v>
      </c>
      <c r="C127" s="22" t="s">
        <v>515</v>
      </c>
      <c r="D127" s="23">
        <v>46261</v>
      </c>
      <c r="E127" s="23">
        <v>46267</v>
      </c>
      <c r="F127" s="21" t="s">
        <v>642</v>
      </c>
      <c r="G127" s="22"/>
    </row>
    <row r="128" spans="1:7">
      <c r="A128" s="22">
        <v>127</v>
      </c>
      <c r="B128" s="24" t="s">
        <v>641</v>
      </c>
      <c r="C128" s="26" t="s">
        <v>515</v>
      </c>
      <c r="D128" s="26" t="s">
        <v>723</v>
      </c>
      <c r="E128" s="26" t="s">
        <v>641</v>
      </c>
      <c r="F128" s="24" t="s">
        <v>818</v>
      </c>
      <c r="G128" s="22"/>
    </row>
    <row r="129" spans="1:7">
      <c r="A129" s="22">
        <v>128</v>
      </c>
      <c r="B129" s="24" t="s">
        <v>641</v>
      </c>
      <c r="C129" s="26" t="s">
        <v>515</v>
      </c>
      <c r="D129" s="26" t="s">
        <v>723</v>
      </c>
      <c r="E129" s="26" t="s">
        <v>641</v>
      </c>
      <c r="F129" s="24" t="s">
        <v>818</v>
      </c>
      <c r="G129" s="22"/>
    </row>
    <row r="130" spans="1:7">
      <c r="A130" s="22">
        <v>129</v>
      </c>
      <c r="B130" s="24" t="s">
        <v>641</v>
      </c>
      <c r="C130" s="26" t="s">
        <v>515</v>
      </c>
      <c r="D130" s="26" t="s">
        <v>723</v>
      </c>
      <c r="E130" s="26" t="s">
        <v>641</v>
      </c>
      <c r="F130" s="24" t="s">
        <v>818</v>
      </c>
      <c r="G130" s="22"/>
    </row>
    <row r="131" spans="1:7">
      <c r="A131" s="22">
        <v>130</v>
      </c>
      <c r="B131" s="24" t="s">
        <v>641</v>
      </c>
      <c r="C131" s="26" t="s">
        <v>516</v>
      </c>
      <c r="D131" s="26" t="s">
        <v>723</v>
      </c>
      <c r="E131" s="26" t="s">
        <v>641</v>
      </c>
      <c r="F131" s="24" t="s">
        <v>818</v>
      </c>
      <c r="G131" s="22"/>
    </row>
    <row r="132" spans="1:7">
      <c r="A132" s="22">
        <v>131</v>
      </c>
      <c r="B132" s="24" t="s">
        <v>641</v>
      </c>
      <c r="C132" s="26" t="s">
        <v>516</v>
      </c>
      <c r="D132" s="26" t="s">
        <v>723</v>
      </c>
      <c r="E132" s="26" t="s">
        <v>641</v>
      </c>
      <c r="F132" s="24" t="s">
        <v>818</v>
      </c>
      <c r="G132" s="22"/>
    </row>
    <row r="133" spans="1:7">
      <c r="A133" s="22">
        <v>132</v>
      </c>
      <c r="B133" s="21" t="s">
        <v>514</v>
      </c>
      <c r="C133" s="22" t="s">
        <v>516</v>
      </c>
      <c r="D133" s="22" t="s">
        <v>518</v>
      </c>
      <c r="E133" s="23">
        <v>46265</v>
      </c>
      <c r="F133" s="21" t="s">
        <v>1184</v>
      </c>
      <c r="G133" s="22"/>
    </row>
    <row r="134" spans="1:7">
      <c r="A134" s="32">
        <v>133</v>
      </c>
      <c r="B134" s="24" t="s">
        <v>517</v>
      </c>
      <c r="C134" s="26" t="s">
        <v>516</v>
      </c>
      <c r="D134" s="26" t="s">
        <v>641</v>
      </c>
      <c r="E134" s="26" t="s">
        <v>723</v>
      </c>
      <c r="F134" s="24" t="s">
        <v>1186</v>
      </c>
      <c r="G134" s="22"/>
    </row>
    <row r="135" spans="1:7">
      <c r="A135" s="32">
        <v>134</v>
      </c>
      <c r="B135" s="24" t="s">
        <v>641</v>
      </c>
      <c r="C135" s="26" t="s">
        <v>516</v>
      </c>
      <c r="D135" s="26" t="s">
        <v>723</v>
      </c>
      <c r="E135" s="26" t="s">
        <v>723</v>
      </c>
      <c r="F135" s="24" t="s">
        <v>641</v>
      </c>
      <c r="G135" s="22"/>
    </row>
    <row r="136" spans="1:7">
      <c r="A136" s="22">
        <v>135</v>
      </c>
      <c r="B136" s="21" t="s">
        <v>514</v>
      </c>
      <c r="C136" s="22" t="s">
        <v>516</v>
      </c>
      <c r="D136" s="22" t="s">
        <v>518</v>
      </c>
      <c r="E136" s="23">
        <v>46238</v>
      </c>
      <c r="F136" s="21" t="s">
        <v>642</v>
      </c>
      <c r="G136" s="22"/>
    </row>
    <row r="137" spans="1:7">
      <c r="A137" s="22">
        <v>136</v>
      </c>
      <c r="B137" s="24" t="s">
        <v>641</v>
      </c>
      <c r="C137" s="26" t="s">
        <v>515</v>
      </c>
      <c r="D137" s="26" t="s">
        <v>641</v>
      </c>
      <c r="E137" s="26" t="s">
        <v>641</v>
      </c>
      <c r="F137" s="24" t="s">
        <v>641</v>
      </c>
      <c r="G137" s="22"/>
    </row>
    <row r="138" spans="1:7">
      <c r="A138" s="22">
        <v>137</v>
      </c>
      <c r="B138" s="21" t="s">
        <v>514</v>
      </c>
      <c r="C138" s="22" t="s">
        <v>516</v>
      </c>
      <c r="D138" s="22" t="s">
        <v>518</v>
      </c>
      <c r="E138" s="23">
        <v>46265</v>
      </c>
      <c r="F138" s="21" t="s">
        <v>1143</v>
      </c>
      <c r="G138" s="22"/>
    </row>
    <row r="139" spans="1:7">
      <c r="A139" s="22">
        <v>138</v>
      </c>
      <c r="B139" s="21" t="s">
        <v>517</v>
      </c>
      <c r="C139" s="22" t="s">
        <v>516</v>
      </c>
      <c r="D139" s="22"/>
      <c r="E139" s="22" t="s">
        <v>517</v>
      </c>
      <c r="F139" s="21" t="s">
        <v>1185</v>
      </c>
      <c r="G139" s="22"/>
    </row>
    <row r="140" spans="1:7">
      <c r="A140" s="32">
        <v>139</v>
      </c>
      <c r="B140" s="24" t="s">
        <v>641</v>
      </c>
      <c r="C140" s="26" t="s">
        <v>515</v>
      </c>
      <c r="D140" s="26" t="s">
        <v>641</v>
      </c>
      <c r="E140" s="26" t="s">
        <v>641</v>
      </c>
      <c r="F140" s="24" t="s">
        <v>641</v>
      </c>
      <c r="G140" s="22"/>
    </row>
    <row r="141" spans="1:7">
      <c r="A141" s="22">
        <v>140</v>
      </c>
      <c r="B141" s="21" t="s">
        <v>514</v>
      </c>
      <c r="C141" s="22" t="s">
        <v>516</v>
      </c>
      <c r="D141" s="22" t="s">
        <v>772</v>
      </c>
      <c r="E141" s="22" t="s">
        <v>772</v>
      </c>
      <c r="F141" s="21" t="s">
        <v>1215</v>
      </c>
      <c r="G141" s="22"/>
    </row>
    <row r="142" spans="1:7">
      <c r="A142" s="22">
        <v>141</v>
      </c>
      <c r="B142" s="21" t="s">
        <v>514</v>
      </c>
      <c r="C142" s="22" t="s">
        <v>515</v>
      </c>
      <c r="D142" s="22" t="s">
        <v>518</v>
      </c>
      <c r="E142" s="23">
        <v>46267</v>
      </c>
      <c r="F142" s="21" t="s">
        <v>1216</v>
      </c>
      <c r="G142" s="22"/>
    </row>
    <row r="143" spans="1:7">
      <c r="A143" s="22">
        <v>142</v>
      </c>
      <c r="B143" s="21" t="s">
        <v>517</v>
      </c>
      <c r="C143" s="22" t="s">
        <v>516</v>
      </c>
      <c r="D143" s="22" t="s">
        <v>517</v>
      </c>
      <c r="E143" s="22" t="s">
        <v>517</v>
      </c>
      <c r="F143" s="21" t="s">
        <v>818</v>
      </c>
      <c r="G143" s="22"/>
    </row>
    <row r="144" spans="1:7">
      <c r="A144" s="22">
        <v>143</v>
      </c>
      <c r="B144" s="21" t="s">
        <v>1234</v>
      </c>
      <c r="C144" s="22" t="s">
        <v>515</v>
      </c>
      <c r="D144" s="22" t="s">
        <v>517</v>
      </c>
      <c r="E144" s="22" t="s">
        <v>517</v>
      </c>
      <c r="F144" s="30" t="s">
        <v>1235</v>
      </c>
      <c r="G144" s="22"/>
    </row>
    <row r="145" spans="1:7">
      <c r="A145" s="22">
        <v>144</v>
      </c>
      <c r="B145" s="21" t="s">
        <v>514</v>
      </c>
      <c r="C145" s="22" t="s">
        <v>515</v>
      </c>
      <c r="D145" s="22" t="s">
        <v>518</v>
      </c>
      <c r="E145" s="22" t="s">
        <v>517</v>
      </c>
      <c r="F145" s="21" t="s">
        <v>1236</v>
      </c>
      <c r="G145" s="22"/>
    </row>
    <row r="146" spans="1:7">
      <c r="A146" s="22">
        <v>145</v>
      </c>
      <c r="B146" s="21" t="s">
        <v>514</v>
      </c>
      <c r="C146" s="22" t="s">
        <v>515</v>
      </c>
      <c r="D146" s="22" t="s">
        <v>518</v>
      </c>
      <c r="E146" s="22" t="s">
        <v>517</v>
      </c>
      <c r="F146" s="21" t="s">
        <v>1237</v>
      </c>
      <c r="G146" s="22"/>
    </row>
    <row r="147" spans="1:7">
      <c r="A147" s="22">
        <v>146</v>
      </c>
      <c r="B147" s="21" t="s">
        <v>514</v>
      </c>
      <c r="C147" s="22" t="s">
        <v>515</v>
      </c>
      <c r="D147" s="22" t="s">
        <v>517</v>
      </c>
      <c r="E147" s="22" t="s">
        <v>517</v>
      </c>
      <c r="F147" s="21" t="s">
        <v>1238</v>
      </c>
      <c r="G147" s="22"/>
    </row>
    <row r="148" spans="1:7">
      <c r="A148" s="22">
        <v>147</v>
      </c>
      <c r="B148" s="21" t="s">
        <v>772</v>
      </c>
      <c r="C148" s="22" t="s">
        <v>515</v>
      </c>
      <c r="D148" s="22" t="s">
        <v>517</v>
      </c>
      <c r="E148" s="22" t="s">
        <v>517</v>
      </c>
      <c r="F148" s="21" t="s">
        <v>818</v>
      </c>
      <c r="G148" s="22"/>
    </row>
    <row r="149" spans="1:7">
      <c r="A149" s="22">
        <v>148</v>
      </c>
      <c r="B149" s="21" t="s">
        <v>772</v>
      </c>
      <c r="C149" s="22" t="s">
        <v>515</v>
      </c>
      <c r="D149" s="22" t="s">
        <v>772</v>
      </c>
      <c r="E149" s="22" t="s">
        <v>517</v>
      </c>
      <c r="F149" s="21" t="s">
        <v>818</v>
      </c>
      <c r="G149" s="22"/>
    </row>
    <row r="150" spans="1:7">
      <c r="A150" s="22">
        <v>149</v>
      </c>
      <c r="B150" s="21" t="s">
        <v>517</v>
      </c>
      <c r="C150" s="22" t="s">
        <v>515</v>
      </c>
      <c r="D150" s="22" t="s">
        <v>517</v>
      </c>
      <c r="E150" s="22" t="s">
        <v>517</v>
      </c>
      <c r="F150" s="21" t="s">
        <v>818</v>
      </c>
      <c r="G150" s="22"/>
    </row>
    <row r="151" spans="1:7">
      <c r="A151" s="22">
        <v>150</v>
      </c>
      <c r="B151" s="21" t="s">
        <v>517</v>
      </c>
      <c r="C151" s="22" t="s">
        <v>516</v>
      </c>
      <c r="D151" s="22" t="s">
        <v>517</v>
      </c>
      <c r="E151" s="22" t="s">
        <v>517</v>
      </c>
      <c r="F151" s="21" t="s">
        <v>818</v>
      </c>
      <c r="G151" s="22"/>
    </row>
    <row r="152" spans="1:7">
      <c r="A152" s="22">
        <v>151</v>
      </c>
      <c r="B152" s="17" t="s">
        <v>517</v>
      </c>
      <c r="C152" s="22" t="s">
        <v>516</v>
      </c>
      <c r="D152" s="22" t="s">
        <v>517</v>
      </c>
      <c r="E152" s="22" t="s">
        <v>517</v>
      </c>
      <c r="F152" s="17" t="s">
        <v>818</v>
      </c>
      <c r="G152" s="22"/>
    </row>
    <row r="153" spans="1:7">
      <c r="A153" s="22">
        <v>152</v>
      </c>
      <c r="B153" s="17" t="s">
        <v>772</v>
      </c>
      <c r="C153" s="22" t="s">
        <v>516</v>
      </c>
      <c r="D153" s="22" t="s">
        <v>517</v>
      </c>
      <c r="E153" s="22" t="s">
        <v>517</v>
      </c>
      <c r="F153" s="17" t="s">
        <v>818</v>
      </c>
      <c r="G153" s="22"/>
    </row>
    <row r="154" spans="1:7">
      <c r="A154" s="22">
        <v>153</v>
      </c>
      <c r="B154" s="17" t="s">
        <v>772</v>
      </c>
      <c r="C154" s="22" t="s">
        <v>515</v>
      </c>
      <c r="D154" s="22" t="s">
        <v>517</v>
      </c>
      <c r="E154" s="22" t="s">
        <v>772</v>
      </c>
      <c r="F154" s="17" t="s">
        <v>818</v>
      </c>
      <c r="G154" s="22"/>
    </row>
    <row r="155" spans="1:7">
      <c r="A155" s="22">
        <v>154</v>
      </c>
      <c r="B155" s="17" t="s">
        <v>772</v>
      </c>
      <c r="C155" s="22" t="s">
        <v>515</v>
      </c>
      <c r="D155" s="22" t="s">
        <v>772</v>
      </c>
      <c r="E155" s="22" t="s">
        <v>772</v>
      </c>
      <c r="F155" s="17" t="s">
        <v>1272</v>
      </c>
      <c r="G155" s="22"/>
    </row>
    <row r="156" spans="1:7">
      <c r="A156" s="22">
        <v>155</v>
      </c>
      <c r="B156" s="17" t="s">
        <v>772</v>
      </c>
      <c r="C156" s="22" t="s">
        <v>515</v>
      </c>
      <c r="D156" s="22" t="s">
        <v>772</v>
      </c>
      <c r="E156" s="22" t="s">
        <v>772</v>
      </c>
      <c r="F156" s="17" t="s">
        <v>1272</v>
      </c>
      <c r="G156" s="22"/>
    </row>
    <row r="157" spans="1:7">
      <c r="A157" s="22">
        <v>156</v>
      </c>
      <c r="B157" s="17" t="s">
        <v>517</v>
      </c>
      <c r="C157" s="22" t="s">
        <v>515</v>
      </c>
      <c r="D157" s="22" t="s">
        <v>517</v>
      </c>
      <c r="E157" s="22" t="s">
        <v>517</v>
      </c>
      <c r="F157" s="17" t="s">
        <v>1272</v>
      </c>
      <c r="G157" s="22"/>
    </row>
    <row r="158" spans="1:7">
      <c r="A158" s="22">
        <v>157</v>
      </c>
      <c r="B158" s="17" t="s">
        <v>517</v>
      </c>
      <c r="C158" s="22" t="s">
        <v>515</v>
      </c>
      <c r="D158" s="22" t="s">
        <v>517</v>
      </c>
      <c r="E158" s="22" t="s">
        <v>517</v>
      </c>
      <c r="F158" s="17" t="s">
        <v>772</v>
      </c>
      <c r="G158" s="22"/>
    </row>
    <row r="159" spans="1:7">
      <c r="A159" s="22">
        <v>158</v>
      </c>
      <c r="B159" s="17" t="s">
        <v>517</v>
      </c>
      <c r="C159" s="22" t="s">
        <v>516</v>
      </c>
      <c r="D159" s="22" t="s">
        <v>517</v>
      </c>
      <c r="E159" s="22" t="s">
        <v>517</v>
      </c>
      <c r="F159" s="17" t="s">
        <v>1272</v>
      </c>
      <c r="G159" s="22"/>
    </row>
    <row r="160" spans="1:7">
      <c r="A160" s="22">
        <v>159</v>
      </c>
      <c r="B160" s="17" t="s">
        <v>517</v>
      </c>
      <c r="C160" s="22" t="s">
        <v>516</v>
      </c>
      <c r="D160" s="22" t="s">
        <v>517</v>
      </c>
      <c r="E160" s="22" t="s">
        <v>517</v>
      </c>
      <c r="F160" s="17" t="s">
        <v>1272</v>
      </c>
      <c r="G160" s="22"/>
    </row>
    <row r="161" spans="1:7">
      <c r="A161" s="22">
        <v>160</v>
      </c>
      <c r="B161" s="17" t="s">
        <v>517</v>
      </c>
      <c r="C161" s="22" t="s">
        <v>515</v>
      </c>
      <c r="D161" s="22" t="s">
        <v>517</v>
      </c>
      <c r="E161" s="22" t="s">
        <v>517</v>
      </c>
      <c r="F161" s="17" t="s">
        <v>1272</v>
      </c>
      <c r="G161" s="22"/>
    </row>
    <row r="162" spans="1:7">
      <c r="A162" s="22">
        <v>161</v>
      </c>
      <c r="B162" s="17" t="s">
        <v>517</v>
      </c>
      <c r="C162" s="22" t="s">
        <v>515</v>
      </c>
      <c r="D162" s="22" t="s">
        <v>517</v>
      </c>
      <c r="E162" s="22" t="s">
        <v>517</v>
      </c>
      <c r="F162" s="17" t="s">
        <v>1272</v>
      </c>
      <c r="G162" s="22"/>
    </row>
    <row r="163" spans="1:7">
      <c r="A163" s="22">
        <v>162</v>
      </c>
      <c r="B163" s="17" t="s">
        <v>517</v>
      </c>
      <c r="C163" s="22" t="s">
        <v>516</v>
      </c>
      <c r="D163" s="22" t="s">
        <v>517</v>
      </c>
      <c r="E163" s="22" t="s">
        <v>517</v>
      </c>
      <c r="F163" s="17" t="s">
        <v>1272</v>
      </c>
      <c r="G163" s="22"/>
    </row>
    <row r="164" spans="1:7">
      <c r="A164" s="22">
        <v>163</v>
      </c>
      <c r="B164" s="17" t="s">
        <v>772</v>
      </c>
      <c r="C164" s="22" t="s">
        <v>516</v>
      </c>
      <c r="D164" s="22" t="s">
        <v>517</v>
      </c>
      <c r="E164" s="22" t="s">
        <v>517</v>
      </c>
      <c r="F164" s="17" t="s">
        <v>1272</v>
      </c>
      <c r="G164" s="22"/>
    </row>
    <row r="165" spans="1:7">
      <c r="A165" s="22">
        <v>164</v>
      </c>
      <c r="B165" s="17" t="s">
        <v>517</v>
      </c>
      <c r="C165" s="22" t="s">
        <v>515</v>
      </c>
      <c r="D165" s="22" t="s">
        <v>517</v>
      </c>
      <c r="E165" s="22" t="s">
        <v>517</v>
      </c>
      <c r="F165" s="17" t="s">
        <v>1294</v>
      </c>
      <c r="G165" s="22"/>
    </row>
  </sheetData>
  <conditionalFormatting sqref="B2:B165 C27:E29 C48:E48 C72:E73 C94:E94 C109:E109">
    <cfRule type="cellIs" dxfId="15" priority="1" operator="equal">
      <formula>"gestionado"</formula>
    </cfRule>
    <cfRule type="cellIs" dxfId="14" priority="2" operator="equal">
      <formula>"procesado"</formula>
    </cfRule>
    <cfRule type="cellIs" dxfId="13" priority="3" operator="equal">
      <formula>"pendiente"</formula>
    </cfRule>
    <cfRule type="cellIs" dxfId="12" priority="4" operator="equal">
      <formula>"pendiente 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3720F-B533-4AD2-8236-1269B9AA1601}">
  <sheetPr>
    <tabColor rgb="FF002060"/>
  </sheetPr>
  <dimension ref="A1:N23"/>
  <sheetViews>
    <sheetView workbookViewId="0">
      <selection activeCell="D29" sqref="D29"/>
    </sheetView>
  </sheetViews>
  <sheetFormatPr baseColWidth="10" defaultColWidth="11.42578125" defaultRowHeight="15"/>
  <cols>
    <col min="2" max="2" width="18.5703125" customWidth="1"/>
    <col min="3" max="3" width="15.42578125" customWidth="1"/>
    <col min="4" max="4" width="14.28515625" customWidth="1"/>
    <col min="5" max="5" width="66.28515625" bestFit="1" customWidth="1"/>
    <col min="6" max="6" width="20" bestFit="1" customWidth="1"/>
    <col min="7" max="7" width="16.7109375" customWidth="1"/>
    <col min="8" max="8" width="15.7109375" style="2" customWidth="1"/>
    <col min="9" max="9" width="18.28515625" style="2" customWidth="1"/>
    <col min="12" max="12" width="11.42578125" style="5"/>
    <col min="13" max="13" width="21.7109375" customWidth="1"/>
    <col min="14" max="14" width="12" customWidth="1"/>
  </cols>
  <sheetData>
    <row r="1" spans="1:14">
      <c r="A1" t="s">
        <v>0</v>
      </c>
      <c r="B1" t="s">
        <v>441</v>
      </c>
      <c r="C1" t="s">
        <v>1</v>
      </c>
      <c r="D1" t="s">
        <v>2</v>
      </c>
      <c r="E1" t="s">
        <v>442</v>
      </c>
      <c r="F1" t="s">
        <v>17</v>
      </c>
      <c r="G1" t="s">
        <v>15</v>
      </c>
      <c r="H1" s="2" t="s">
        <v>19</v>
      </c>
      <c r="I1" s="2" t="s">
        <v>20</v>
      </c>
      <c r="J1" t="s">
        <v>443</v>
      </c>
      <c r="K1" t="s">
        <v>444</v>
      </c>
      <c r="L1" s="5" t="s">
        <v>445</v>
      </c>
      <c r="M1" t="s">
        <v>446</v>
      </c>
      <c r="N1" t="s">
        <v>447</v>
      </c>
    </row>
    <row r="2" spans="1:14">
      <c r="A2" t="s">
        <v>24</v>
      </c>
      <c r="B2">
        <v>46162</v>
      </c>
      <c r="C2" t="s">
        <v>448</v>
      </c>
      <c r="D2" t="s">
        <v>449</v>
      </c>
      <c r="E2" t="s">
        <v>450</v>
      </c>
      <c r="F2" t="s">
        <v>440</v>
      </c>
      <c r="G2" t="s">
        <v>451</v>
      </c>
      <c r="I2" s="2">
        <v>46175</v>
      </c>
      <c r="J2" t="s">
        <v>452</v>
      </c>
      <c r="K2" t="s">
        <v>453</v>
      </c>
      <c r="L2" s="5">
        <v>408360</v>
      </c>
      <c r="M2" t="s">
        <v>454</v>
      </c>
      <c r="N2">
        <v>13</v>
      </c>
    </row>
    <row r="3" spans="1:14">
      <c r="A3" t="s">
        <v>24</v>
      </c>
      <c r="B3">
        <v>46162</v>
      </c>
      <c r="C3" t="s">
        <v>448</v>
      </c>
      <c r="D3" t="s">
        <v>449</v>
      </c>
      <c r="E3" t="s">
        <v>455</v>
      </c>
      <c r="F3" t="s">
        <v>440</v>
      </c>
      <c r="G3" t="s">
        <v>456</v>
      </c>
      <c r="H3" s="2">
        <v>46169</v>
      </c>
      <c r="I3" s="2">
        <v>46177</v>
      </c>
      <c r="J3" t="s">
        <v>452</v>
      </c>
      <c r="K3" t="s">
        <v>453</v>
      </c>
      <c r="L3" s="5">
        <v>68906</v>
      </c>
      <c r="M3" t="s">
        <v>454</v>
      </c>
      <c r="N3">
        <v>15</v>
      </c>
    </row>
    <row r="4" spans="1:14">
      <c r="A4" t="s">
        <v>24</v>
      </c>
      <c r="B4">
        <v>46162</v>
      </c>
      <c r="C4" t="s">
        <v>448</v>
      </c>
      <c r="D4" t="s">
        <v>449</v>
      </c>
      <c r="E4" t="s">
        <v>457</v>
      </c>
      <c r="F4" t="s">
        <v>440</v>
      </c>
      <c r="G4" t="s">
        <v>456</v>
      </c>
      <c r="H4" s="2">
        <v>46171</v>
      </c>
      <c r="I4" s="2">
        <v>46177</v>
      </c>
      <c r="J4" t="s">
        <v>452</v>
      </c>
      <c r="K4" t="s">
        <v>453</v>
      </c>
      <c r="L4" s="5">
        <v>16798</v>
      </c>
      <c r="M4" t="s">
        <v>454</v>
      </c>
      <c r="N4">
        <v>15</v>
      </c>
    </row>
    <row r="5" spans="1:14">
      <c r="A5" t="s">
        <v>24</v>
      </c>
      <c r="B5">
        <v>46162</v>
      </c>
      <c r="C5" t="s">
        <v>448</v>
      </c>
      <c r="D5" t="s">
        <v>449</v>
      </c>
      <c r="E5" t="s">
        <v>458</v>
      </c>
      <c r="F5" t="s">
        <v>440</v>
      </c>
      <c r="G5" t="s">
        <v>456</v>
      </c>
      <c r="H5" s="2">
        <v>46171</v>
      </c>
      <c r="I5" s="2">
        <v>46177</v>
      </c>
      <c r="J5" t="s">
        <v>452</v>
      </c>
      <c r="K5" t="s">
        <v>453</v>
      </c>
      <c r="L5" s="5">
        <v>16126</v>
      </c>
      <c r="M5" t="s">
        <v>454</v>
      </c>
      <c r="N5">
        <v>15</v>
      </c>
    </row>
    <row r="6" spans="1:14">
      <c r="A6" t="s">
        <v>48</v>
      </c>
      <c r="B6">
        <v>46161</v>
      </c>
      <c r="C6" t="s">
        <v>459</v>
      </c>
      <c r="D6" t="s">
        <v>460</v>
      </c>
      <c r="E6" t="s">
        <v>461</v>
      </c>
      <c r="F6" t="s">
        <v>440</v>
      </c>
      <c r="G6" t="s">
        <v>456</v>
      </c>
      <c r="H6" s="2">
        <v>46168</v>
      </c>
      <c r="I6" s="2">
        <v>46171</v>
      </c>
      <c r="J6" t="s">
        <v>462</v>
      </c>
      <c r="K6" t="s">
        <v>463</v>
      </c>
      <c r="L6" s="5">
        <v>191299</v>
      </c>
      <c r="M6" t="s">
        <v>464</v>
      </c>
      <c r="N6">
        <v>10</v>
      </c>
    </row>
    <row r="7" spans="1:14">
      <c r="A7" t="s">
        <v>61</v>
      </c>
      <c r="B7">
        <v>46164</v>
      </c>
      <c r="C7" t="s">
        <v>465</v>
      </c>
      <c r="D7" t="s">
        <v>466</v>
      </c>
      <c r="E7" t="s">
        <v>467</v>
      </c>
      <c r="F7" t="s">
        <v>440</v>
      </c>
      <c r="G7" t="s">
        <v>468</v>
      </c>
      <c r="I7" s="2">
        <v>46171</v>
      </c>
      <c r="J7" t="s">
        <v>462</v>
      </c>
      <c r="K7" t="s">
        <v>469</v>
      </c>
      <c r="L7" s="5">
        <v>55206</v>
      </c>
      <c r="M7" t="s">
        <v>464</v>
      </c>
      <c r="N7">
        <v>7</v>
      </c>
    </row>
    <row r="8" spans="1:14">
      <c r="A8" t="s">
        <v>69</v>
      </c>
      <c r="B8">
        <v>46164</v>
      </c>
      <c r="C8" t="s">
        <v>470</v>
      </c>
      <c r="D8" t="s">
        <v>471</v>
      </c>
      <c r="E8" t="s">
        <v>472</v>
      </c>
      <c r="F8" t="s">
        <v>440</v>
      </c>
      <c r="G8" t="s">
        <v>468</v>
      </c>
      <c r="I8" s="2">
        <v>46177</v>
      </c>
      <c r="J8" t="s">
        <v>452</v>
      </c>
      <c r="K8" t="s">
        <v>473</v>
      </c>
      <c r="L8" s="5">
        <v>306380</v>
      </c>
      <c r="M8" t="s">
        <v>454</v>
      </c>
      <c r="N8">
        <v>13</v>
      </c>
    </row>
    <row r="9" spans="1:14">
      <c r="A9" t="s">
        <v>69</v>
      </c>
      <c r="B9">
        <v>46164</v>
      </c>
      <c r="C9" t="s">
        <v>470</v>
      </c>
      <c r="D9" t="s">
        <v>471</v>
      </c>
      <c r="E9" t="s">
        <v>474</v>
      </c>
      <c r="F9" t="s">
        <v>440</v>
      </c>
      <c r="G9" t="s">
        <v>456</v>
      </c>
      <c r="H9" s="2">
        <v>46170</v>
      </c>
      <c r="I9" s="2">
        <v>46172</v>
      </c>
      <c r="J9" t="s">
        <v>452</v>
      </c>
      <c r="K9" t="s">
        <v>473</v>
      </c>
      <c r="L9" s="5">
        <v>39999</v>
      </c>
      <c r="M9" t="s">
        <v>454</v>
      </c>
      <c r="N9">
        <v>8</v>
      </c>
    </row>
    <row r="10" spans="1:14">
      <c r="A10" t="s">
        <v>79</v>
      </c>
      <c r="B10">
        <v>46167</v>
      </c>
      <c r="C10" t="s">
        <v>475</v>
      </c>
      <c r="D10" t="s">
        <v>476</v>
      </c>
      <c r="E10" t="s">
        <v>477</v>
      </c>
      <c r="F10" t="s">
        <v>440</v>
      </c>
      <c r="G10" t="s">
        <v>468</v>
      </c>
      <c r="I10" s="2">
        <v>46171</v>
      </c>
      <c r="J10" t="s">
        <v>478</v>
      </c>
      <c r="K10" t="s">
        <v>469</v>
      </c>
      <c r="L10" s="5">
        <v>191299</v>
      </c>
      <c r="M10" t="s">
        <v>464</v>
      </c>
      <c r="N10">
        <v>4</v>
      </c>
    </row>
    <row r="11" spans="1:14">
      <c r="A11" t="s">
        <v>88</v>
      </c>
      <c r="B11">
        <v>46167</v>
      </c>
      <c r="C11" t="s">
        <v>479</v>
      </c>
      <c r="D11" t="s">
        <v>480</v>
      </c>
      <c r="E11" t="s">
        <v>481</v>
      </c>
      <c r="F11" t="s">
        <v>440</v>
      </c>
      <c r="G11" t="s">
        <v>456</v>
      </c>
      <c r="H11" s="2">
        <v>46170</v>
      </c>
      <c r="I11" s="2">
        <v>46175</v>
      </c>
      <c r="J11" t="s">
        <v>462</v>
      </c>
      <c r="K11" t="s">
        <v>469</v>
      </c>
      <c r="L11" s="5">
        <v>25202</v>
      </c>
      <c r="M11" t="s">
        <v>464</v>
      </c>
      <c r="N11">
        <v>8</v>
      </c>
    </row>
    <row r="12" spans="1:14">
      <c r="A12" t="s">
        <v>96</v>
      </c>
      <c r="B12">
        <v>46167</v>
      </c>
      <c r="C12" t="s">
        <v>482</v>
      </c>
      <c r="D12" t="s">
        <v>482</v>
      </c>
      <c r="E12" t="s">
        <v>483</v>
      </c>
      <c r="F12" t="s">
        <v>440</v>
      </c>
      <c r="G12" t="s">
        <v>456</v>
      </c>
      <c r="H12" s="2">
        <v>46171</v>
      </c>
      <c r="I12" s="2">
        <v>46175</v>
      </c>
      <c r="J12" t="s">
        <v>484</v>
      </c>
      <c r="K12" t="s">
        <v>469</v>
      </c>
      <c r="L12" s="5">
        <v>25202</v>
      </c>
      <c r="M12" t="s">
        <v>464</v>
      </c>
      <c r="N12">
        <v>8</v>
      </c>
    </row>
    <row r="13" spans="1:14">
      <c r="A13" t="s">
        <v>103</v>
      </c>
      <c r="B13">
        <v>46167</v>
      </c>
      <c r="C13" t="s">
        <v>485</v>
      </c>
      <c r="D13" t="s">
        <v>486</v>
      </c>
      <c r="E13" t="s">
        <v>487</v>
      </c>
      <c r="F13" t="s">
        <v>440</v>
      </c>
      <c r="G13" t="s">
        <v>456</v>
      </c>
      <c r="I13" s="2">
        <v>46179</v>
      </c>
      <c r="J13" t="s">
        <v>484</v>
      </c>
      <c r="K13" t="s">
        <v>469</v>
      </c>
      <c r="L13" s="5">
        <v>71091</v>
      </c>
      <c r="M13" t="s">
        <v>464</v>
      </c>
      <c r="N13">
        <v>12</v>
      </c>
    </row>
    <row r="14" spans="1:14">
      <c r="A14" t="s">
        <v>110</v>
      </c>
      <c r="B14">
        <v>46167</v>
      </c>
      <c r="C14" t="s">
        <v>488</v>
      </c>
      <c r="D14" t="s">
        <v>488</v>
      </c>
      <c r="E14" t="s">
        <v>489</v>
      </c>
      <c r="F14" t="s">
        <v>440</v>
      </c>
      <c r="G14" t="s">
        <v>456</v>
      </c>
      <c r="I14" s="2">
        <v>46179</v>
      </c>
      <c r="J14" t="s">
        <v>462</v>
      </c>
      <c r="K14" t="s">
        <v>469</v>
      </c>
      <c r="L14" s="5">
        <v>710091</v>
      </c>
      <c r="M14" t="s">
        <v>464</v>
      </c>
      <c r="N14">
        <v>12</v>
      </c>
    </row>
    <row r="15" spans="1:14">
      <c r="A15" t="s">
        <v>116</v>
      </c>
      <c r="B15">
        <v>46161</v>
      </c>
      <c r="C15" t="s">
        <v>490</v>
      </c>
      <c r="D15" t="s">
        <v>491</v>
      </c>
      <c r="E15" t="s">
        <v>492</v>
      </c>
      <c r="F15" t="s">
        <v>440</v>
      </c>
      <c r="G15" t="s">
        <v>456</v>
      </c>
      <c r="H15" s="2">
        <v>46170</v>
      </c>
      <c r="J15" t="s">
        <v>493</v>
      </c>
      <c r="K15" t="s">
        <v>463</v>
      </c>
      <c r="L15" s="5">
        <v>61596</v>
      </c>
      <c r="M15" t="s">
        <v>454</v>
      </c>
      <c r="N15">
        <v>-46161</v>
      </c>
    </row>
    <row r="16" spans="1:14">
      <c r="A16" t="s">
        <v>116</v>
      </c>
      <c r="B16">
        <v>46161</v>
      </c>
      <c r="C16" t="s">
        <v>490</v>
      </c>
      <c r="D16" t="s">
        <v>491</v>
      </c>
      <c r="E16" t="s">
        <v>494</v>
      </c>
      <c r="F16" t="s">
        <v>440</v>
      </c>
      <c r="G16" t="s">
        <v>456</v>
      </c>
      <c r="H16" s="2">
        <v>46170</v>
      </c>
      <c r="J16" t="s">
        <v>493</v>
      </c>
      <c r="K16" t="s">
        <v>463</v>
      </c>
      <c r="L16" s="5">
        <v>47558</v>
      </c>
      <c r="M16" t="s">
        <v>454</v>
      </c>
      <c r="N16">
        <v>-46161</v>
      </c>
    </row>
    <row r="17" spans="1:14">
      <c r="A17" t="s">
        <v>116</v>
      </c>
      <c r="B17">
        <v>46161</v>
      </c>
      <c r="C17" t="s">
        <v>490</v>
      </c>
      <c r="D17" t="s">
        <v>491</v>
      </c>
      <c r="E17" t="s">
        <v>495</v>
      </c>
      <c r="F17" t="s">
        <v>440</v>
      </c>
      <c r="G17" t="s">
        <v>456</v>
      </c>
      <c r="H17" s="2">
        <v>46170</v>
      </c>
      <c r="J17" t="s">
        <v>493</v>
      </c>
      <c r="K17" t="s">
        <v>463</v>
      </c>
      <c r="L17" s="5">
        <v>460942</v>
      </c>
      <c r="M17" t="s">
        <v>454</v>
      </c>
      <c r="N17">
        <v>-46161</v>
      </c>
    </row>
    <row r="18" spans="1:14">
      <c r="A18" t="s">
        <v>130</v>
      </c>
      <c r="B18">
        <v>46161</v>
      </c>
      <c r="C18" t="s">
        <v>496</v>
      </c>
      <c r="D18" t="s">
        <v>497</v>
      </c>
      <c r="E18" t="s">
        <v>498</v>
      </c>
      <c r="F18" t="s">
        <v>440</v>
      </c>
      <c r="G18" t="s">
        <v>456</v>
      </c>
      <c r="H18" s="2">
        <v>46170</v>
      </c>
      <c r="J18" t="s">
        <v>462</v>
      </c>
      <c r="K18" t="s">
        <v>463</v>
      </c>
      <c r="L18" s="5">
        <v>21459</v>
      </c>
      <c r="M18" t="s">
        <v>454</v>
      </c>
      <c r="N18">
        <v>-46161</v>
      </c>
    </row>
    <row r="19" spans="1:14">
      <c r="A19" t="s">
        <v>130</v>
      </c>
      <c r="B19">
        <v>46161</v>
      </c>
      <c r="C19" t="s">
        <v>496</v>
      </c>
      <c r="D19" t="s">
        <v>497</v>
      </c>
      <c r="E19" t="s">
        <v>499</v>
      </c>
      <c r="F19" t="s">
        <v>440</v>
      </c>
      <c r="G19" t="s">
        <v>456</v>
      </c>
      <c r="H19" s="2">
        <v>46170</v>
      </c>
      <c r="J19" t="s">
        <v>462</v>
      </c>
      <c r="K19" t="s">
        <v>463</v>
      </c>
      <c r="L19" s="5">
        <v>47558</v>
      </c>
      <c r="M19" t="s">
        <v>454</v>
      </c>
      <c r="N19">
        <v>-46161</v>
      </c>
    </row>
    <row r="20" spans="1:14">
      <c r="A20" t="s">
        <v>140</v>
      </c>
      <c r="B20">
        <v>46161</v>
      </c>
      <c r="C20" t="s">
        <v>500</v>
      </c>
      <c r="D20" t="s">
        <v>501</v>
      </c>
      <c r="E20" t="s">
        <v>502</v>
      </c>
      <c r="F20" t="s">
        <v>440</v>
      </c>
      <c r="G20" t="s">
        <v>456</v>
      </c>
      <c r="H20" s="2">
        <v>46170</v>
      </c>
      <c r="J20" t="s">
        <v>484</v>
      </c>
      <c r="K20" t="s">
        <v>463</v>
      </c>
      <c r="L20" s="5">
        <v>39190</v>
      </c>
      <c r="M20" t="s">
        <v>454</v>
      </c>
      <c r="N20">
        <v>-46161</v>
      </c>
    </row>
    <row r="21" spans="1:14">
      <c r="A21" t="s">
        <v>140</v>
      </c>
      <c r="B21">
        <v>46161</v>
      </c>
      <c r="C21" t="s">
        <v>500</v>
      </c>
      <c r="D21" t="s">
        <v>501</v>
      </c>
      <c r="E21" t="s">
        <v>503</v>
      </c>
      <c r="F21" t="s">
        <v>440</v>
      </c>
      <c r="G21" t="s">
        <v>456</v>
      </c>
      <c r="H21" s="2">
        <v>46170</v>
      </c>
      <c r="J21" t="s">
        <v>484</v>
      </c>
      <c r="K21" t="s">
        <v>463</v>
      </c>
      <c r="L21" s="5">
        <v>47558</v>
      </c>
      <c r="M21" t="s">
        <v>454</v>
      </c>
      <c r="N21">
        <v>-46161</v>
      </c>
    </row>
    <row r="22" spans="1:14">
      <c r="A22" t="s">
        <v>140</v>
      </c>
      <c r="B22">
        <v>46161</v>
      </c>
      <c r="C22" t="s">
        <v>500</v>
      </c>
      <c r="D22" t="s">
        <v>501</v>
      </c>
      <c r="E22" t="s">
        <v>504</v>
      </c>
      <c r="F22" t="s">
        <v>440</v>
      </c>
      <c r="G22" t="s">
        <v>456</v>
      </c>
      <c r="H22" s="2">
        <v>46170</v>
      </c>
      <c r="J22" t="s">
        <v>484</v>
      </c>
      <c r="K22" t="s">
        <v>463</v>
      </c>
      <c r="L22" s="5">
        <v>460942</v>
      </c>
      <c r="M22" t="s">
        <v>454</v>
      </c>
      <c r="N22">
        <v>-46161</v>
      </c>
    </row>
    <row r="23" spans="1:14">
      <c r="A23" t="s">
        <v>152</v>
      </c>
      <c r="B23">
        <v>46161</v>
      </c>
      <c r="C23" t="s">
        <v>505</v>
      </c>
      <c r="D23" t="s">
        <v>506</v>
      </c>
      <c r="E23" t="s">
        <v>507</v>
      </c>
      <c r="F23" t="s">
        <v>440</v>
      </c>
      <c r="G23" t="s">
        <v>456</v>
      </c>
      <c r="H23" s="2">
        <v>46174</v>
      </c>
      <c r="J23" t="s">
        <v>462</v>
      </c>
      <c r="K23" t="s">
        <v>508</v>
      </c>
      <c r="L23" s="5">
        <v>130319</v>
      </c>
      <c r="M23" t="s">
        <v>454</v>
      </c>
      <c r="N23">
        <v>-46161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7A25AB8C-B181-4B47-B856-3CD3295936F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39EDA6E-0714-4838-A624-E3F2678E69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052C54B-39A7-4354-864B-1E97C343A4EB}">
  <ds:schemaRefs>
    <ds:schemaRef ds:uri="http://www.w3.org/XML/1998/namespace"/>
    <ds:schemaRef ds:uri="http://purl.org/dc/dcmitype/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schemas.microsoft.com/office/2006/documentManagement/types"/>
    <ds:schemaRef ds:uri="808578b4-528e-4ee2-8e62-a56b9401e0b1"/>
    <ds:schemaRef ds:uri="http://schemas.microsoft.com/office/2006/metadata/properties"/>
    <ds:schemaRef ds:uri="http://purl.org/dc/terms/"/>
  </ds:schemaRefs>
</ds:datastoreItem>
</file>

<file path=customXml/itemProps4.xml><?xml version="1.0" encoding="utf-8"?>
<ds:datastoreItem xmlns:ds="http://schemas.openxmlformats.org/officeDocument/2006/customXml" ds:itemID="{1DC58982-1F3A-498E-A4C2-117EFB6737A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 Control</vt:lpstr>
      <vt:lpstr>Estado solicitudes</vt:lpstr>
      <vt:lpstr>Anterior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</dc:creator>
  <cp:keywords/>
  <dc:description/>
  <cp:lastModifiedBy>Rodrigo Cayuleo EXT</cp:lastModifiedBy>
  <cp:revision/>
  <dcterms:created xsi:type="dcterms:W3CDTF">2015-06-05T18:19:34Z</dcterms:created>
  <dcterms:modified xsi:type="dcterms:W3CDTF">2026-09-09T12:54:16Z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