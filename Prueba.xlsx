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87168421-EB92-45CE-97BA-220EC0230976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<sst xmlns="http://schemas.openxmlformats.org/spreadsheetml/2006/main" count="2863" uniqueCount="879">
  <si>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</si>
  <si>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</si>
  <si>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</si>
  <si>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</si>
  <si>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</si>
  <si>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</si>
  <si>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</si>
  <si>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</si>
  <si>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</si>
  <si>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</si>
  <si>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</si>
  <si>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</si>
  <si>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</si>
  <si>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</si>
  <si>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</si>
  <si>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</si>
  <si>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</si>
  <si>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</si>
  <si>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</si>
  <si>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</si>
  <si>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</si>
  <si>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</si>
  <si>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</si>
  <si>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</si>
  <si>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</si>
  <si>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</si>
  <si>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</si>
  <si>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</si>
  <si>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</si>
  <si>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</si>
  <si>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</si>
  <si>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</si>
  <si>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</si>
  <si>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</si>
  <si>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</si>
  <si>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</si>
  <si>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</si>
  <si>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</si>
  <si>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</si>
  <si>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</si>
  <si>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</si>
  <si>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</si>
  <si>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</si>
  <si>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</si>
  <si>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</si>
  <si>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</si>
  <si>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</si>
  <si>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</si>
  <si>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</si>
  <si>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</si>
  <si>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</si>
  <si>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</si>
  <si>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</si>
  <si>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</si>
  <si>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</si>
  <si>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</si>
  <si>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</si>
  <si>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</si>
  <si>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</si>
  <si>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</si>
  <si>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</si>
  <si>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</si>
  <si>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</si>
  <si>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</si>
  <si>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</si>
  <si>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</si>
  <si>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</si>
  <si>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</si>
  <si>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</si>
  <si>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</si>
  <si>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</si>
  <si>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</si>
  <si>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</si>
  <si>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</si>
  <si>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</si>
  <si>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</si>
  <si>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</si>
  <si>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</si>
  <si>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</si>
  <si>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</si>
  <si>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</si>
  <si>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</si>
  <si>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</si>
  <si>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</si>
  <si>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</si>
  <si>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</si>
  <si>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</si>
  <si>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</si>
  <si>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</si>
  <si>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</si>
  <si>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</si>
  <si>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</si>
  <si>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</si>
  <si>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</si>
  <si>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</si>
  <si>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</si>
  <si>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</si>
  <si>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</si>
  <si>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</si>
  <si>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</si>
  <si>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</si>
  <si>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</si>
  <si>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</si>
  <si>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</si>
  <si>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</si>
  <si>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</si>
  <si>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</si>
  <si>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</si>
  <si>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</si>
  <si>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</si>
  <si>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</si>
  <si>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</si>
  <si>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</si>
  <si>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</si>
  <si>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</si>
  <si>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</si>
  <si>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</si>
  <si>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</si>
  <si>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</si>
  <si>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</si>
  <si>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</si>
  <si>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</si>
  <si>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</si>
  <si>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</si>
  <si>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</si>
  <si>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</si>
  <si>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</si>
  <si>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</si>
  <si>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</si>
  <si>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</si>
  <si>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</si>
  <si>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</si>
  <si>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</si>
  <si>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</si>
  <si>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</si>
  <si>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</si>
  <si>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</si>
  <si>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</si>
  <si>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</si>
  <si>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</si>
  <si>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</si>
  <si>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</si>
  <si>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</si>
  <si>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</si>
  <si>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</si>
  <si>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</si>
  <si>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</si>
  <si>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</si>
  <si>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</si>
  <si>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</si>
  <si>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</si>
  <si>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</si>
  <si>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</si>
  <si>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</si>
  <si>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</si>
  <si>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</si>
  <si>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</si>
  <si>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</si>
  <si>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</si>
  <si>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</si>
  <si>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</si>
  <si>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</si>
  <si>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</si>
  <si>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</si>
  <si>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</si>
  <si>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</si>
  <si>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</si>
  <si>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</si>
  <si>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</si>
  <si>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</si>
  <si>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</si>
  <si>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</si>
  <si>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</si>
  <si>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</si>
  <si>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</si>
  <si>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</si>
  <si>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</si>
  <si>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</si>
  <si>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</si>
  <si>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</si>
  <si>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</si>
  <si>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</si>
  <si>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</si>
  <si>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</si>
  <si>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</si>
  <si>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</si>
  <si>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</si>
  <si>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</si>
  <si>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</si>
  <si>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</si>
  <si>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</si>
  <si>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</si>
  <si>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</si>
  <si>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</si>
  <si>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</si>
  <si>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</si>
  <si>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</si>
  <si>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</si>
  <si>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</si>
  <si>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</si>
  <si>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</si>
  <si>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</si>
  <si>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</si>
  <si>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</si>
  <si>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</si>
  <si>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</si>
  <si>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</si>
  <si>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</si>
  <si>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</si>
  <si>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</si>
  <si>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</si>
  <si>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</si>
  <si>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</si>
  <si>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</si>
  <si>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</si>
  <si>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</si>
  <si>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</si>
  <si>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</si>
  <si>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</si>
  <si>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</si>
  <si>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</si>
  <si>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</si>
  <si>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</si>
  <si>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</si>
  <si>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</si>
  <si>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</si>
  <si>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</si>
  <si>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</si>
  <si>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</si>
  <si>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</si>
  <si>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</si>
  <si>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</si>
  <si>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</si>
  <si>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</si>
  <si>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</si>
  <si>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</si>
  <si>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</si>
  <si>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</si>
  <si>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</si>
  <si>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</si>
  <si>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</si>
  <si>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</si>
  <si>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</si>
  <si>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</si>
  <si>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</si>
  <si>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</si>
  <si>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</si>
  <si>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</si>
  <si>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</si>
  <si>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</si>
  <si>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</si>
  <si>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</si>
  <si>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</si>
  <si>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</si>
  <si>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</si>
  <si>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</si>
  <si>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</si>
  <si>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</si>
  <si>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</si>
  <si>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</si>
  <si>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</si>
  <si>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</si>
  <si>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</si>
  <si>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</si>
  <si>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</si>
  <si>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</si>
  <si>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</si>
  <si>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</si>
  <si>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</si>
  <si>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</si>
  <si>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</si>
  <si>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</si>
  <si>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</si>
  <si>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</si>
  <si>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</si>
  <si>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</si>
  <si>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</si>
  <si>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</si>
  <si>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</si>
  <si>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</si>
  <si>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</si>
  <si>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</si>
  <si>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</si>
  <si>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</si>
  <si>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</si>
  <si>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</si>
  <si>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</si>
  <si>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</si>
  <si>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</si>
  <si>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</si>
  <si>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</si>
  <si>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</si>
  <si>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</si>
  <si>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</si>
  <si>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</si>
  <si>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</si>
  <si>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</si>
  <si>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</si>
  <si>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</si>
  <si>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</si>
  <si>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</si>
  <si>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</si>
  <si>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</si>
  <si>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</si>
  <si>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</si>
  <si>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</si>
  <si>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</si>
  <si>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</si>
  <si>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</si>
  <si>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</si>
  <si>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</si>
  <si>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</si>
  <si>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</si>
  <si>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</si>
  <si>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</si>
  <si>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</si>
  <si>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</si>
  <si>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</si>
  <si>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</si>
  <si>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</si>
  <si>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</si>
  <si>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</si>
  <si>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</si>
  <si>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</si>
  <si>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</si>
  <si>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</si>
  <si>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</si>
  <si>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</si>
  <si>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</si>
  <si>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</si>
  <si>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</si>
  <si>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</si>
  <si>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</si>
  <si>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</si>
  <si>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</si>
  <si>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</si>
  <si>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</si>
  <si>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</si>
  <si>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</si>
  <si>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</si>
  <si>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</si>
  <si>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</si>
  <si>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</si>
  <si>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</si>
  <si>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</si>
  <si>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</si>
  <si>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</si>
  <si>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</si>
  <si>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</si>
  <si>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</si>
  <si>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</si>
  <si>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</si>
  <si>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</si>
  <si>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</si>
  <si>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</si>
  <si>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</si>
  <si>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</si>
  <si>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</si>
  <si>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</si>
  <si>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</si>
  <si>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</si>
  <si>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</si>
  <si>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</si>
  <si>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</si>
  <si>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</si>
  <si>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</si>
  <si>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</si>
  <si>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</si>
  <si>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</si>
  <si>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</si>
  <si>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</si>
  <si>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</si>
  <si>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</si>
  <si>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</si>
  <si>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</si>
  <si>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</si>
  <si>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</si>
  <si>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</si>
  <si>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</si>
  <si>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</si>
  <si>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</si>
  <si>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</si>
  <si>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</si>
  <si>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</si>
  <si>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</si>
  <si>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</si>
  <si>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</si>
  <si>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</si>
  <si>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</si>
  <si>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</si>
  <si>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</si>
  <si>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</si>
  <si>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</si>
  <si>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</si>
  <si>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</si>
  <si>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</si>
  <si>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</si>
  <si>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</si>
  <si>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</si>
  <si>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</si>
  <si>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</si>
  <si>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</si>
  <si>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</si>
  <si>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</si>
  <si>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</si>
  <si>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</si>
  <si>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</si>
  <si>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</si>
  <si>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</si>
  <si>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</si>
  <si>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</si>
  <si>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</si>
  <si>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</si>
  <si>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</si>
  <si>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</si>
  <si>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</si>
  <si>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</si>
  <si>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</si>
  <si>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</si>
  <si>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</si>
  <si>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</si>
  <si>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</si>
  <si>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</si>
  <si>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</si>
  <si>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</si>
  <si>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</si>
  <si>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</si>
  <si>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</si>
  <si>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</si>
  <si>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</si>
  <si>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</si>
  <si>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</si>
  <si>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</si>
  <si>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</si>
  <si>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</si>
  <si>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</si>
  <si>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</si>
  <si>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</si>
  <si>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</si>
  <si>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</si>
  <si>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</si>
  <si>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</si>
  <si>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</si>
  <si>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</si>
  <si>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</si>
  <si>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</si>
  <si>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</si>
  <si>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</si>
  <si>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</si>
  <si>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</si>
  <si>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</si>
  <si>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</si>
  <si>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</si>
  <si>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</si>
  <si>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</si>
  <si>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</si>
  <si>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</si>
  <si>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</si>
  <si>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</si>
  <si>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</si>
  <si>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</si>
  <si>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</si>
  <si>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</si>
  <si>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</si>
  <si>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</si>
  <si>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</si>
  <si>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</si>
  <si>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</si>
  <si>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</si>
  <si>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</si>
  <si>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</si>
  <si>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</si>
  <si>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</si>
  <si>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</si>
  <si>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</si>
  <si>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</si>
  <si>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</si>
  <si>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</si>
  <si>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</si>
  <si>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</si>
  <si>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</si>
  <si>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</si>
  <si>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</si>
  <si>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</si>
  <si>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</si>
  <si>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</si>
  <si>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</si>
  <si>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</si>
  <si>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</si>
  <si>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</si>
  <si>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</si>
  <si>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</si>
  <si>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</si>
  <si>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</si>
  <si>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</si>
  <si>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</si>
  <si>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</si>
  <si>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</si>
  <si>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</si>
  <si>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</si>
  <si>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</si>
  <si>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</si>
  <si>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</si>
  <si>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</si>
  <si>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</si>
  <si>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</si>
  <si>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</si>
  <si>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</si>
  <si>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</si>
  <si>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</si>
  <si>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</si>
  <si>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</si>
  <si>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</si>
  <si>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</si>
  <si>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</si>
  <si>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</si>
  <si>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</si>
  <si>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</si>
  <si>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</si>
  <si>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</si>
  <si>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</si>
  <si>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</si>
  <si>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</si>
  <si>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</si>
  <si>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</si>
  <si>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</si>
  <si>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</si>
  <si>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</si>
  <si>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</si>
  <si>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</si>
  <si>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</si>
  <si>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</si>
  <si>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</si>
  <si>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</si>
  <si>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</si>
  <si>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</si>
  <si>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</si>
  <si>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</si>
  <si>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</si>
  <si>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</si>
  <si>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</si>
  <si>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</si>
  <si>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</si>
  <si>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</si>
  <si>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</si>
  <si>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</si>
  <si>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</si>
  <si>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</si>
  <si>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</si>
  <si>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</si>
  <si>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</si>
  <si>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</si>
  <si>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</si>
  <si>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</si>
  <si>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</si>
  <si>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</si>
  <si>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</si>
  <si>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</si>
  <si>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</si>
  <si>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</si>
  <si>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</si>
  <si>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</si>
  <si>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</si>
  <si>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</si>
  <si>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</si>
  <si>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</si>
  <si>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</si>
  <si>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</si>
  <si>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</si>
  <si>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</si>
  <si>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</si>
  <si>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</si>
  <si>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</si>
  <si>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</si>
  <si>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</si>
  <si>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</si>
  <si>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</si>
  <si>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</si>
  <si>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</si>
  <si>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</si>
  <si>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</si>
  <si>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</si>
  <si>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</si>
  <si>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</si>
  <si>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</si>
  <si>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</si>
  <si>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</si>
  <si>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</si>
  <si>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</si>
  <si>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</si>
  <si>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</si>
  <si>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</si>
  <si>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</si>
  <si>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</si>
  <si>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</si>
  <si>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</si>
  <si>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</si>
  <si>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</si>
  <si>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</si>
  <si>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</si>
  <si>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</si>
  <si>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</si>
  <si>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</si>
  <si>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</si>
  <si>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</si>
  <si>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</si>
  <si>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</si>
  <si>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</si>
  <si>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</si>
  <si>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</si>
  <si>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</si>
  <si>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</si>
  <si>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</si>
  <si>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</si>
  <si>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</si>
  <si>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</si>
  <si>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</si>
  <si>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</si>
  <si>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</si>
  <si>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</si>
  <si>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</si>
  <si>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</si>
  <si>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</si>
  <si>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</si>
  <si>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</si>
  <si>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</si>
  <si>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</si>
  <si>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</si>
  <si>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</si>
  <si>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</si>
  <si>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</si>
  <si>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</si>
  <si>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</si>
  <si>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</si>
  <si>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</si>
  <si>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</si>
  <si>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</si>
  <si>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</si>
  <si>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</si>
  <si>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</si>
  <si>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</si>
  <si>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</si>
  <si>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</si>
  <si>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</si>
  <si>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</si>
  <si>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</si>
  <si>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</si>
  <si>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</si>
  <si>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</si>
  <si>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</si>
  <si>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</si>
  <si>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</si>
  <si>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</si>
  <si>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</si>
  <si>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</si>
  <si>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</si>
  <si>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</si>
  <si>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</si>
  <si>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</si>
  <si>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</si>
  <si>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</si>
  <si>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</si>
  <si>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</si>
  <si>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</si>
  <si>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</si>
  <si>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</si>
  <si>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</si>
  <si>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</si>
  <si>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</si>
  <si>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</si>
  <si>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</si>
  <si>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</si>
  <si>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</si>
  <si>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</si>
  <si>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</si>
  <si>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</si>
  <si>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</si>
  <si>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</si>
  <si>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</si>
  <si>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</si>
  <si>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</si>
  <si>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</si>
  <si>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</si>
  <si>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</si>
  <si>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</si>
  <si>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</si>
  <si>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</si>
  <si>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</si>
  <si>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</si>
  <si>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</si>
  <si>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</si>
  <si>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</si>
  <si>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</si>
  <si>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</si>
  <si>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</si>
  <si>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</si>
  <si>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</si>
  <si>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</si>
  <si>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</si>
  <si>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</si>
  <si>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</si>
  <si>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</si>
  <si>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</si>
  <si>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</si>
  <si>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</si>
  <si>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</si>
  <si>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</si>
  <si>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</si>
  <si>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</si>
  <si>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</si>
  <si>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</si>
  <si>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</si>
  <si>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</si>
  <si>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</si>
  <si>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</si>
  <si>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</si>
  <si>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</si>
  <si>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</si>
  <si>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</si>
  <si>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</si>
  <si>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</si>
  <si>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</si>
  <si>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</si>
  <si>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</si>
  <si>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</si>
  <si>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</si>
  <si>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</si>
  <si>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</si>
  <si>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</si>
  <si>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>ok, oc enviadas / pendiente a despchar proveedor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</si>
  <si>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</si>
  <si>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</si>
  <si>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</si>
  <si>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</si>
  <si>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</si>
  <si>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</si>
  <si>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</si>
  <si>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</si>
  <si>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</si>
  <si>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</si>
  <si>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</si>
  <si>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</si>
  <si>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</si>
  <si>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</si>
  <si>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</si>
  <si>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</si>
  <si>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</si>
  <si>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</si>
  <si>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</si>
  <si>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</si>
  <si>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</si>
  <si>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</si>
  <si>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</si>
  <si>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</si>
  <si>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</si>
  <si>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</si>
  <si>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</si>
  <si>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</si>
  <si>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</si>
  <si>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</si>
  <si>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</si>
  <si>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</si>
  <si>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</si>
  <si>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</si>
  <si>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</si>
  <si>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</si>
  <si>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</si>
  <si>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</si>
  <si>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</si>
  <si>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</si>
  <si>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</si>
  <si>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</si>
  <si>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</si>
  <si>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</si>
  <si>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</si>
  <si>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</si>
  <si>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</si>
  <si>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>buscar cotizacion mas economica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</si>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</sst>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40" tableType="queryTable" totalsRowShown="0" headerRowDxfId="22">
  <autoFilter ref="A1:AA140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96" totalsRowShown="0" headerRowDxfId="17" dataDxfId="16">
  <autoFilter ref="A1:F96" xr:uid="{0EB08CB5-F347-46F6-A2BB-419FEB016475}"/>
  <tableColumns count="6">
    <tableColumn id="1" xr3:uid="{EA8F1E43-6EF0-43E9-B71B-98D3C4584ACC}" name="N° solicitud" dataDxfId="15"/>
    <tableColumn id="2" xr3:uid="{9FA8BFE5-861C-4596-A02E-A670F1BDB608}" name="Estado" dataDxfId="14"/>
    <tableColumn id="3" xr3:uid="{E58581DB-8B04-4C13-8B4F-27FC5E1AE281}" name="Empresa" dataDxfId="13"/>
    <tableColumn id="6" xr3:uid="{DAADF8D0-34FE-479B-9430-88C5F34DBAE2}" name="fecha pago " dataDxfId="12"/>
    <tableColumn id="7" xr3:uid="{7D80F5CD-A672-43F9-903B-537A4B66EACC}" name="fecha entrega" dataDxfId="11"/>
    <tableColumn id="5" xr3:uid="{16163A18-549A-4B29-B76F-2E153A8FC4F4}" name="Comentario" dataDxfId="10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9"/>
    <tableColumn id="9" xr3:uid="{64335130-2EC5-44A7-9C4C-F057150832C4}" name="Fecha de entrega" dataDxfId="8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56"/>
  <sheetViews>
    <sheetView tabSelected="1" topLeftCell="A117" zoomScaleNormal="100" workbookViewId="0">
      <selection activeCell="C144" sqref="C144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644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644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644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644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644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644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644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644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644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644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644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644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644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644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644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644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644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644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644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644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644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644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644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644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644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644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644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734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644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644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644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644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644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722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644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644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644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644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644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644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644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644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736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644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736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644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737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46571</v>
      </c>
      <c r="V45" t="s">
        <v>644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274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644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644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644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644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644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644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644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644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644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644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644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644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646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644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647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644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647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644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680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681</v>
      </c>
      <c r="S61" t="s">
        <v>514</v>
      </c>
      <c r="V61" t="s">
        <v>723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644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644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644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644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673</v>
      </c>
      <c r="D66" t="s">
        <v>713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714</v>
      </c>
      <c r="S66" s="16" t="s">
        <v>514</v>
      </c>
      <c r="U66" s="2">
        <v>46218</v>
      </c>
      <c r="V66" s="16" t="s">
        <v>724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644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725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644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644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644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644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644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644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648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649</v>
      </c>
      <c r="S75" t="s">
        <v>514</v>
      </c>
      <c r="U75" s="2">
        <v>46224</v>
      </c>
      <c r="V75" t="s">
        <v>644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738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739</v>
      </c>
      <c r="S76" t="s">
        <v>514</v>
      </c>
      <c r="T76" s="2">
        <v>46231</v>
      </c>
      <c r="U76" s="2">
        <v>46207</v>
      </c>
      <c r="V76" t="s">
        <v>727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740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741</v>
      </c>
      <c r="S77" s="12" t="s">
        <v>514</v>
      </c>
      <c r="T77" s="2">
        <v>46231</v>
      </c>
      <c r="U77" s="2">
        <v>46207</v>
      </c>
      <c r="V77" s="12" t="s">
        <v>727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644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650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651</v>
      </c>
      <c r="S79" s="12" t="s">
        <v>514</v>
      </c>
      <c r="T79" s="2">
        <v>46225</v>
      </c>
      <c r="V79" s="12" t="s">
        <v>728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652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653</v>
      </c>
      <c r="S80" s="12" t="s">
        <v>514</v>
      </c>
      <c r="T80" s="2">
        <v>46225</v>
      </c>
      <c r="V80" s="12" t="s">
        <v>728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654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660</v>
      </c>
      <c r="N81" t="s">
        <v>421</v>
      </c>
      <c r="O81" t="s">
        <v>101</v>
      </c>
      <c r="P81" t="s">
        <v>124</v>
      </c>
      <c r="Q81" t="s">
        <v>36</v>
      </c>
      <c r="R81" t="s">
        <v>655</v>
      </c>
      <c r="S81" t="s">
        <v>514</v>
      </c>
      <c r="T81" s="2">
        <v>46225</v>
      </c>
      <c r="V81" t="s">
        <v>728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656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657</v>
      </c>
      <c r="N82" t="s">
        <v>421</v>
      </c>
      <c r="O82" t="s">
        <v>101</v>
      </c>
      <c r="P82" t="s">
        <v>124</v>
      </c>
      <c r="Q82" t="s">
        <v>36</v>
      </c>
      <c r="R82" t="s">
        <v>658</v>
      </c>
      <c r="S82" t="s">
        <v>514</v>
      </c>
      <c r="T82" s="2">
        <v>46225</v>
      </c>
      <c r="V82" t="s">
        <v>728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644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644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692</v>
      </c>
      <c r="B85" t="s">
        <v>693</v>
      </c>
      <c r="C85" t="s">
        <v>607</v>
      </c>
      <c r="D85" t="s">
        <v>682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683</v>
      </c>
      <c r="S85" t="s">
        <v>514</v>
      </c>
      <c r="T85" s="2">
        <v>46227</v>
      </c>
      <c r="U85" s="2">
        <v>46231</v>
      </c>
      <c r="V85" t="s">
        <v>644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644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644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644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644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684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685</v>
      </c>
      <c r="S90" t="s">
        <v>514</v>
      </c>
      <c r="U90" s="2">
        <v>46220</v>
      </c>
      <c r="V90" t="s">
        <v>644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686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687</v>
      </c>
      <c r="S91" t="s">
        <v>514</v>
      </c>
      <c r="T91" s="2">
        <v>46227</v>
      </c>
      <c r="U91" s="2">
        <v>46232</v>
      </c>
      <c r="V91" t="s">
        <v>644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688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689</v>
      </c>
      <c r="S92" t="s">
        <v>514</v>
      </c>
      <c r="T92" s="2">
        <v>46227</v>
      </c>
      <c r="U92" s="2">
        <v>46232</v>
      </c>
      <c r="V92" t="s">
        <v>644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644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745</v>
      </c>
      <c r="R94" t="s">
        <v>599</v>
      </c>
      <c r="S94" t="s">
        <v>514</v>
      </c>
      <c r="T94" s="2">
        <v>46225</v>
      </c>
      <c r="U94" s="2">
        <v>46231</v>
      </c>
      <c r="V94" t="s">
        <v>644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644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659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660</v>
      </c>
      <c r="N96" t="s">
        <v>613</v>
      </c>
      <c r="O96" t="s">
        <v>57</v>
      </c>
      <c r="P96" t="s">
        <v>124</v>
      </c>
      <c r="Q96" t="s">
        <v>36</v>
      </c>
      <c r="R96" t="s">
        <v>661</v>
      </c>
      <c r="S96" t="s">
        <v>514</v>
      </c>
      <c r="U96" s="2">
        <v>46230</v>
      </c>
      <c r="V96" t="s">
        <v>712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618</v>
      </c>
      <c r="B97" t="s">
        <v>619</v>
      </c>
      <c r="C97" t="s">
        <v>715</v>
      </c>
      <c r="D97" t="s">
        <v>662</v>
      </c>
      <c r="E97">
        <v>66</v>
      </c>
      <c r="F97" t="s">
        <v>620</v>
      </c>
      <c r="G97" t="s">
        <v>621</v>
      </c>
      <c r="H97" t="s">
        <v>621</v>
      </c>
      <c r="I97" t="s">
        <v>621</v>
      </c>
      <c r="J97" t="s">
        <v>30</v>
      </c>
      <c r="K97" s="5"/>
      <c r="L97" s="5" t="s">
        <v>31</v>
      </c>
      <c r="M97" t="s">
        <v>243</v>
      </c>
      <c r="N97" t="s">
        <v>622</v>
      </c>
      <c r="O97" t="s">
        <v>197</v>
      </c>
      <c r="P97" t="s">
        <v>124</v>
      </c>
      <c r="Q97" t="s">
        <v>36</v>
      </c>
      <c r="R97" t="s">
        <v>663</v>
      </c>
      <c r="S97" t="s">
        <v>514</v>
      </c>
      <c r="U97" s="2">
        <v>46224</v>
      </c>
      <c r="V97" t="s">
        <v>644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623</v>
      </c>
      <c r="B98" t="s">
        <v>624</v>
      </c>
      <c r="C98" t="s">
        <v>664</v>
      </c>
      <c r="D98" t="s">
        <v>665</v>
      </c>
      <c r="E98">
        <v>67</v>
      </c>
      <c r="F98" t="s">
        <v>625</v>
      </c>
      <c r="G98" t="s">
        <v>621</v>
      </c>
      <c r="H98" t="s">
        <v>621</v>
      </c>
      <c r="I98" t="s">
        <v>621</v>
      </c>
      <c r="J98" t="s">
        <v>30</v>
      </c>
      <c r="K98" s="5"/>
      <c r="L98" s="5" t="s">
        <v>31</v>
      </c>
      <c r="M98" t="s">
        <v>243</v>
      </c>
      <c r="N98" t="s">
        <v>622</v>
      </c>
      <c r="O98" t="s">
        <v>57</v>
      </c>
      <c r="P98" t="s">
        <v>124</v>
      </c>
      <c r="Q98" t="s">
        <v>36</v>
      </c>
      <c r="R98" t="s">
        <v>666</v>
      </c>
      <c r="S98" t="s">
        <v>514</v>
      </c>
      <c r="U98" s="2">
        <v>46224</v>
      </c>
      <c r="V98" t="s">
        <v>644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626</v>
      </c>
      <c r="B99" t="s">
        <v>627</v>
      </c>
      <c r="C99" t="s">
        <v>667</v>
      </c>
      <c r="D99" t="s">
        <v>668</v>
      </c>
      <c r="E99">
        <v>68</v>
      </c>
      <c r="F99" t="s">
        <v>628</v>
      </c>
      <c r="G99" t="s">
        <v>629</v>
      </c>
      <c r="H99" t="s">
        <v>629</v>
      </c>
      <c r="I99" t="s">
        <v>629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669</v>
      </c>
      <c r="S99" t="s">
        <v>514</v>
      </c>
      <c r="U99" s="2">
        <v>46224</v>
      </c>
      <c r="V99" t="s">
        <v>644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630</v>
      </c>
      <c r="B100" t="s">
        <v>631</v>
      </c>
      <c r="C100" t="s">
        <v>670</v>
      </c>
      <c r="D100" t="s">
        <v>671</v>
      </c>
      <c r="E100">
        <v>69</v>
      </c>
      <c r="F100" t="s">
        <v>632</v>
      </c>
      <c r="G100" t="s">
        <v>621</v>
      </c>
      <c r="H100" t="s">
        <v>621</v>
      </c>
      <c r="I100" t="s">
        <v>621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672</v>
      </c>
      <c r="S100" t="s">
        <v>514</v>
      </c>
      <c r="U100" s="2">
        <v>46231</v>
      </c>
      <c r="V100" t="s">
        <v>645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633</v>
      </c>
      <c r="B101" t="s">
        <v>634</v>
      </c>
      <c r="C101" t="s">
        <v>674</v>
      </c>
      <c r="D101" t="s">
        <v>690</v>
      </c>
      <c r="E101">
        <v>70</v>
      </c>
      <c r="F101" t="s">
        <v>635</v>
      </c>
      <c r="G101" t="s">
        <v>629</v>
      </c>
      <c r="H101" t="s">
        <v>629</v>
      </c>
      <c r="I101" t="s">
        <v>629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691</v>
      </c>
      <c r="S101" t="s">
        <v>514</v>
      </c>
      <c r="T101" s="2">
        <v>46232</v>
      </c>
      <c r="U101" s="2">
        <v>46233</v>
      </c>
      <c r="V101" t="s">
        <v>644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677</v>
      </c>
      <c r="B102" t="s">
        <v>719</v>
      </c>
      <c r="C102" t="s">
        <v>678</v>
      </c>
      <c r="D102" t="s">
        <v>742</v>
      </c>
      <c r="E102">
        <v>73</v>
      </c>
      <c r="F102" t="s">
        <v>679</v>
      </c>
      <c r="G102" t="s">
        <v>629</v>
      </c>
      <c r="H102" t="s">
        <v>629</v>
      </c>
      <c r="I102" t="s">
        <v>629</v>
      </c>
      <c r="J102" t="s">
        <v>39</v>
      </c>
      <c r="K102" s="5">
        <v>160000</v>
      </c>
      <c r="L102" s="5" t="s">
        <v>55</v>
      </c>
      <c r="M102" t="s">
        <v>743</v>
      </c>
      <c r="N102" t="s">
        <v>67</v>
      </c>
      <c r="O102" t="s">
        <v>176</v>
      </c>
      <c r="P102" t="s">
        <v>58</v>
      </c>
      <c r="Q102" t="s">
        <v>59</v>
      </c>
      <c r="R102" t="s">
        <v>744</v>
      </c>
      <c r="S102" t="s">
        <v>514</v>
      </c>
      <c r="T102" s="2">
        <v>46232</v>
      </c>
      <c r="U102" s="2">
        <v>46232</v>
      </c>
      <c r="V102" t="s">
        <v>644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703</v>
      </c>
      <c r="B103" t="s">
        <v>704</v>
      </c>
      <c r="C103" t="s">
        <v>720</v>
      </c>
      <c r="D103" t="s">
        <v>732</v>
      </c>
      <c r="E103">
        <v>74</v>
      </c>
      <c r="F103" t="s">
        <v>705</v>
      </c>
      <c r="G103" t="s">
        <v>706</v>
      </c>
      <c r="H103" t="s">
        <v>706</v>
      </c>
      <c r="I103" t="s">
        <v>706</v>
      </c>
      <c r="J103" t="s">
        <v>30</v>
      </c>
      <c r="K103" s="5">
        <v>64736</v>
      </c>
      <c r="L103" s="5" t="s">
        <v>55</v>
      </c>
      <c r="M103" t="s">
        <v>32</v>
      </c>
      <c r="N103" t="s">
        <v>707</v>
      </c>
      <c r="O103" t="s">
        <v>101</v>
      </c>
      <c r="P103" t="s">
        <v>58</v>
      </c>
      <c r="R103" t="s">
        <v>733</v>
      </c>
      <c r="S103" t="s">
        <v>514</v>
      </c>
      <c r="U103" s="2">
        <v>46237</v>
      </c>
      <c r="V103" t="s">
        <v>729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694</v>
      </c>
      <c r="B104" t="s">
        <v>695</v>
      </c>
      <c r="C104" t="s">
        <v>696</v>
      </c>
      <c r="D104" t="s">
        <v>697</v>
      </c>
      <c r="E104">
        <v>75</v>
      </c>
      <c r="F104" t="s">
        <v>698</v>
      </c>
      <c r="G104" t="s">
        <v>699</v>
      </c>
      <c r="H104" t="s">
        <v>699</v>
      </c>
      <c r="I104" t="s">
        <v>699</v>
      </c>
      <c r="J104" t="s">
        <v>39</v>
      </c>
      <c r="K104" s="5">
        <v>112990</v>
      </c>
      <c r="L104" s="5" t="s">
        <v>55</v>
      </c>
      <c r="M104" t="s">
        <v>700</v>
      </c>
      <c r="N104" t="s">
        <v>701</v>
      </c>
      <c r="O104" t="s">
        <v>57</v>
      </c>
      <c r="P104" t="s">
        <v>58</v>
      </c>
      <c r="Q104" t="s">
        <v>94</v>
      </c>
      <c r="R104" t="s">
        <v>702</v>
      </c>
      <c r="S104" t="s">
        <v>514</v>
      </c>
      <c r="U104" s="2">
        <v>46232</v>
      </c>
      <c r="V104" t="s">
        <v>730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708</v>
      </c>
      <c r="B105" t="s">
        <v>709</v>
      </c>
      <c r="C105" t="s">
        <v>710</v>
      </c>
      <c r="D105" t="s">
        <v>716</v>
      </c>
      <c r="E105">
        <v>76</v>
      </c>
      <c r="F105" t="s">
        <v>711</v>
      </c>
      <c r="G105" t="s">
        <v>699</v>
      </c>
      <c r="H105" t="s">
        <v>699</v>
      </c>
      <c r="I105" t="s">
        <v>699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717</v>
      </c>
      <c r="S105" t="s">
        <v>514</v>
      </c>
      <c r="U105" s="2">
        <v>46239</v>
      </c>
      <c r="V105" t="s">
        <v>731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746</v>
      </c>
      <c r="B106" t="s">
        <v>747</v>
      </c>
      <c r="C106" t="s">
        <v>748</v>
      </c>
      <c r="D106" t="s">
        <v>749</v>
      </c>
      <c r="E106">
        <v>77</v>
      </c>
      <c r="F106" t="s">
        <v>750</v>
      </c>
      <c r="G106" t="s">
        <v>751</v>
      </c>
      <c r="H106" t="s">
        <v>751</v>
      </c>
      <c r="I106" t="s">
        <v>751</v>
      </c>
      <c r="J106" t="s">
        <v>30</v>
      </c>
      <c r="K106" s="5">
        <v>48995</v>
      </c>
      <c r="L106" s="5" t="s">
        <v>55</v>
      </c>
      <c r="M106" t="s">
        <v>752</v>
      </c>
      <c r="N106" t="s">
        <v>707</v>
      </c>
      <c r="O106" t="s">
        <v>57</v>
      </c>
      <c r="P106" t="s">
        <v>58</v>
      </c>
      <c r="Q106" t="s">
        <v>59</v>
      </c>
      <c r="R106" t="s">
        <v>753</v>
      </c>
      <c r="S106" t="s">
        <v>514</v>
      </c>
      <c r="V106" t="s">
        <v>762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754</v>
      </c>
      <c r="B107" t="s">
        <v>755</v>
      </c>
      <c r="C107" t="s">
        <v>756</v>
      </c>
      <c r="D107" t="s">
        <v>781</v>
      </c>
      <c r="E107">
        <v>78</v>
      </c>
      <c r="F107" t="s">
        <v>757</v>
      </c>
      <c r="G107" t="s">
        <v>751</v>
      </c>
      <c r="H107" t="s">
        <v>751</v>
      </c>
      <c r="I107" t="s">
        <v>751</v>
      </c>
      <c r="J107" t="s">
        <v>30</v>
      </c>
      <c r="K107" s="5"/>
      <c r="L107" s="5" t="s">
        <v>55</v>
      </c>
      <c r="M107" t="s">
        <v>752</v>
      </c>
      <c r="N107" t="s">
        <v>707</v>
      </c>
      <c r="O107" t="s">
        <v>57</v>
      </c>
      <c r="P107" t="s">
        <v>58</v>
      </c>
      <c r="Q107" t="s">
        <v>59</v>
      </c>
      <c r="R107" t="s">
        <v>782</v>
      </c>
      <c r="S107" t="s">
        <v>514</v>
      </c>
      <c r="V107" t="s">
        <v>763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764</v>
      </c>
      <c r="B108" t="s">
        <v>765</v>
      </c>
      <c r="C108" t="s">
        <v>766</v>
      </c>
      <c r="D108" t="s">
        <v>767</v>
      </c>
      <c r="E108">
        <v>80</v>
      </c>
      <c r="F108" t="s">
        <v>768</v>
      </c>
      <c r="G108" t="s">
        <v>751</v>
      </c>
      <c r="H108" t="s">
        <v>751</v>
      </c>
      <c r="I108" t="s">
        <v>751</v>
      </c>
      <c r="J108" t="s">
        <v>39</v>
      </c>
      <c r="K108" s="5"/>
      <c r="L108" s="5" t="s">
        <v>31</v>
      </c>
      <c r="M108" t="s">
        <v>74</v>
      </c>
      <c r="N108" t="s">
        <v>769</v>
      </c>
      <c r="O108" t="s">
        <v>57</v>
      </c>
      <c r="P108" t="s">
        <v>35</v>
      </c>
      <c r="Q108" t="s">
        <v>36</v>
      </c>
      <c r="R108" t="s">
        <v>770</v>
      </c>
      <c r="S108" t="s">
        <v>514</v>
      </c>
      <c r="U108" s="2">
        <v>46235</v>
      </c>
      <c r="V108" t="s">
        <v>644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807</v>
      </c>
      <c r="B109" t="s">
        <v>808</v>
      </c>
      <c r="C109" t="s">
        <v>827</v>
      </c>
      <c r="D109" t="s">
        <v>828</v>
      </c>
      <c r="E109">
        <v>89</v>
      </c>
      <c r="F109" t="s">
        <v>809</v>
      </c>
      <c r="G109" t="s">
        <v>790</v>
      </c>
      <c r="H109" t="s">
        <v>790</v>
      </c>
      <c r="I109" t="s">
        <v>790</v>
      </c>
      <c r="J109" t="s">
        <v>39</v>
      </c>
      <c r="K109" s="5">
        <v>299800</v>
      </c>
      <c r="L109" s="5" t="s">
        <v>55</v>
      </c>
      <c r="M109" t="s">
        <v>829</v>
      </c>
      <c r="N109" t="s">
        <v>383</v>
      </c>
      <c r="O109" t="s">
        <v>384</v>
      </c>
      <c r="P109" t="s">
        <v>58</v>
      </c>
      <c r="Q109" t="s">
        <v>36</v>
      </c>
      <c r="R109" t="s">
        <v>830</v>
      </c>
      <c r="S109" t="s">
        <v>514</v>
      </c>
      <c r="T109" s="2">
        <v>46237</v>
      </c>
      <c r="U109" s="2">
        <v>46238</v>
      </c>
      <c r="V109" t="s">
        <v>780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46235</v>
      </c>
      <c r="Y109" s="15">
        <f>+IF(Control[[#This Row],[Fecha de entrega]]="","",NETWORKDAYS(Control[[#This Row],[Fecha Requisición]],Control[[#This Row],[Fecha de entrega]]))</f>
        <v>2</v>
      </c>
      <c r="AA109" s="14">
        <f>+_xlfn.ISOWEEKNUM(Control[[#This Row],[Fecha Requisición]])</f>
        <v>32</v>
      </c>
    </row>
    <row r="110" spans="1:27">
      <c r="A110" t="s">
        <v>817</v>
      </c>
      <c r="B110" t="s">
        <v>818</v>
      </c>
      <c r="C110" t="s">
        <v>847</v>
      </c>
      <c r="D110" t="s">
        <v>852</v>
      </c>
      <c r="E110">
        <v>92</v>
      </c>
      <c r="F110" t="s">
        <v>819</v>
      </c>
      <c r="G110" t="s">
        <v>790</v>
      </c>
      <c r="H110" t="s">
        <v>790</v>
      </c>
      <c r="I110" t="s">
        <v>790</v>
      </c>
      <c r="J110" t="s">
        <v>39</v>
      </c>
      <c r="K110" s="5"/>
      <c r="L110" s="5" t="s">
        <v>31</v>
      </c>
      <c r="M110" t="s">
        <v>121</v>
      </c>
      <c r="N110" t="s">
        <v>769</v>
      </c>
      <c r="O110" t="s">
        <v>57</v>
      </c>
      <c r="P110" t="s">
        <v>35</v>
      </c>
      <c r="Q110" t="s">
        <v>94</v>
      </c>
      <c r="R110" t="s">
        <v>853</v>
      </c>
      <c r="S110" t="s">
        <v>517</v>
      </c>
      <c r="V110" t="s">
        <v>825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46235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32</v>
      </c>
    </row>
    <row r="111" spans="1:27">
      <c r="A111" t="s">
        <v>817</v>
      </c>
      <c r="B111" t="s">
        <v>818</v>
      </c>
      <c r="C111" t="s">
        <v>847</v>
      </c>
      <c r="D111" t="s">
        <v>854</v>
      </c>
      <c r="E111">
        <v>92</v>
      </c>
      <c r="F111" t="s">
        <v>819</v>
      </c>
      <c r="G111" t="s">
        <v>790</v>
      </c>
      <c r="H111" t="s">
        <v>790</v>
      </c>
      <c r="I111" t="s">
        <v>790</v>
      </c>
      <c r="J111" t="s">
        <v>30</v>
      </c>
      <c r="K111" s="5"/>
      <c r="L111" s="5" t="s">
        <v>31</v>
      </c>
      <c r="M111" t="s">
        <v>243</v>
      </c>
      <c r="N111" t="s">
        <v>769</v>
      </c>
      <c r="O111" t="s">
        <v>57</v>
      </c>
      <c r="P111" t="s">
        <v>35</v>
      </c>
      <c r="Q111" t="s">
        <v>94</v>
      </c>
      <c r="R111" t="s">
        <v>855</v>
      </c>
      <c r="S111" t="s">
        <v>517</v>
      </c>
      <c r="V111" t="s">
        <v>825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1" s="9">
        <f>+DATE(YEAR(Control[[#This Row],[Fecha Requisición]]),MONTH(Control[[#This Row],[Fecha Requisición]]),1)</f>
        <v>46235</v>
      </c>
      <c r="Y111" s="15" t="str">
        <f>+IF(Control[[#This Row],[Fecha de entrega]]="","",NETWORKDAYS(Control[[#This Row],[Fecha Requisición]],Control[[#This Row],[Fecha de entrega]]))</f>
        <v/>
      </c>
      <c r="AA111" s="14">
        <f>+_xlfn.ISOWEEKNUM(Control[[#This Row],[Fecha Requisición]])</f>
        <v>32</v>
      </c>
    </row>
    <row r="112" spans="1:27">
      <c r="A112" t="s">
        <v>831</v>
      </c>
      <c r="B112" t="s">
        <v>832</v>
      </c>
      <c r="C112" t="s">
        <v>833</v>
      </c>
      <c r="D112" t="s">
        <v>834</v>
      </c>
      <c r="E112">
        <v>94</v>
      </c>
      <c r="F112" t="s">
        <v>835</v>
      </c>
      <c r="G112" t="s">
        <v>836</v>
      </c>
      <c r="H112" t="s">
        <v>836</v>
      </c>
      <c r="I112" t="s">
        <v>836</v>
      </c>
      <c r="J112" t="s">
        <v>39</v>
      </c>
      <c r="K112" s="5"/>
      <c r="L112" s="5" t="s">
        <v>31</v>
      </c>
      <c r="M112" t="s">
        <v>837</v>
      </c>
      <c r="N112" t="s">
        <v>838</v>
      </c>
      <c r="O112" t="s">
        <v>57</v>
      </c>
      <c r="P112" t="s">
        <v>35</v>
      </c>
      <c r="Q112" t="s">
        <v>59</v>
      </c>
      <c r="R112" t="s">
        <v>839</v>
      </c>
      <c r="S112" t="s">
        <v>514</v>
      </c>
      <c r="V112" t="s">
        <v>778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46569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30</v>
      </c>
    </row>
    <row r="113" spans="1:27">
      <c r="A113" t="s">
        <v>857</v>
      </c>
      <c r="B113" t="s">
        <v>858</v>
      </c>
      <c r="C113" t="s">
        <v>859</v>
      </c>
      <c r="D113" t="s">
        <v>860</v>
      </c>
      <c r="E113">
        <v>96</v>
      </c>
      <c r="F113" t="s">
        <v>861</v>
      </c>
      <c r="G113" t="s">
        <v>862</v>
      </c>
      <c r="H113" t="s">
        <v>862</v>
      </c>
      <c r="I113" t="s">
        <v>862</v>
      </c>
      <c r="J113" t="s">
        <v>30</v>
      </c>
      <c r="K113" s="5">
        <v>129472</v>
      </c>
      <c r="L113" s="5" t="s">
        <v>55</v>
      </c>
      <c r="M113" t="s">
        <v>32</v>
      </c>
      <c r="N113" t="s">
        <v>204</v>
      </c>
      <c r="O113" t="s">
        <v>57</v>
      </c>
      <c r="P113" t="s">
        <v>58</v>
      </c>
      <c r="Q113" t="s">
        <v>36</v>
      </c>
      <c r="R113" t="s">
        <v>863</v>
      </c>
      <c r="V113"/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3" s="9">
        <f>+DATE(YEAR(Control[[#This Row],[Fecha Requisición]]),MONTH(Control[[#This Row],[Fecha Requisición]]),1)</f>
        <v>46235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32</v>
      </c>
    </row>
    <row r="114" spans="1:27">
      <c r="A114" t="s">
        <v>199</v>
      </c>
      <c r="B114" t="s">
        <v>200</v>
      </c>
      <c r="C114" t="s">
        <v>201</v>
      </c>
      <c r="E114">
        <v>18</v>
      </c>
      <c r="F114" t="s">
        <v>202</v>
      </c>
      <c r="G114" t="s">
        <v>203</v>
      </c>
      <c r="H114" t="s">
        <v>203</v>
      </c>
      <c r="K114" s="5"/>
      <c r="L114" s="5" t="s">
        <v>55</v>
      </c>
      <c r="N114" t="s">
        <v>204</v>
      </c>
      <c r="O114" t="s">
        <v>86</v>
      </c>
      <c r="P114" t="s">
        <v>58</v>
      </c>
      <c r="Q114" t="s">
        <v>36</v>
      </c>
      <c r="S114" t="s">
        <v>643</v>
      </c>
      <c r="V114" t="s">
        <v>643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4" s="9">
        <f>+DATE(YEAR(Control[[#This Row],[Fecha Requisición]]),MONTH(Control[[#This Row],[Fecha Requisición]]),1)</f>
        <v>46174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23</v>
      </c>
    </row>
    <row r="115" spans="1:27">
      <c r="A115" t="s">
        <v>205</v>
      </c>
      <c r="B115" t="s">
        <v>206</v>
      </c>
      <c r="C115" t="s">
        <v>718</v>
      </c>
      <c r="E115">
        <v>21</v>
      </c>
      <c r="F115" t="s">
        <v>207</v>
      </c>
      <c r="G115" t="s">
        <v>195</v>
      </c>
      <c r="H115" t="s">
        <v>195</v>
      </c>
      <c r="K115" s="5"/>
      <c r="L115" s="5" t="s">
        <v>31</v>
      </c>
      <c r="N115" t="s">
        <v>167</v>
      </c>
      <c r="O115" t="s">
        <v>86</v>
      </c>
      <c r="P115" t="s">
        <v>35</v>
      </c>
      <c r="Q115" t="s">
        <v>36</v>
      </c>
      <c r="S115" t="s">
        <v>643</v>
      </c>
      <c r="V115" t="s">
        <v>643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5" s="9">
        <f>+DATE(YEAR(Control[[#This Row],[Fecha Requisición]]),MONTH(Control[[#This Row],[Fecha Requisición]]),1)</f>
        <v>46174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23</v>
      </c>
    </row>
    <row r="116" spans="1:27">
      <c r="A116" s="16" t="s">
        <v>208</v>
      </c>
      <c r="B116" s="16" t="s">
        <v>209</v>
      </c>
      <c r="C116" s="16" t="s">
        <v>210</v>
      </c>
      <c r="D116" s="16"/>
      <c r="E116" s="16">
        <v>26</v>
      </c>
      <c r="F116" s="16" t="s">
        <v>211</v>
      </c>
      <c r="G116" s="16" t="s">
        <v>212</v>
      </c>
      <c r="H116" s="16" t="s">
        <v>212</v>
      </c>
      <c r="I116" s="16"/>
      <c r="J116" s="16"/>
      <c r="K116" s="5"/>
      <c r="L116" s="5" t="s">
        <v>31</v>
      </c>
      <c r="M116" s="16"/>
      <c r="N116" s="16" t="s">
        <v>213</v>
      </c>
      <c r="O116" s="16" t="s">
        <v>101</v>
      </c>
      <c r="P116" s="16" t="s">
        <v>124</v>
      </c>
      <c r="Q116" s="16" t="s">
        <v>36</v>
      </c>
      <c r="R116" s="16"/>
      <c r="S116" s="16" t="s">
        <v>643</v>
      </c>
      <c r="V116" s="16" t="s">
        <v>643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6" s="9">
        <f>+DATE(YEAR(Control[[#This Row],[Fecha Requisición]]),MONTH(Control[[#This Row],[Fecha Requisición]]),1)</f>
        <v>46174</v>
      </c>
      <c r="Y116" s="15" t="str">
        <f>+IF(Control[[#This Row],[Fecha de entrega]]="","",NETWORKDAYS(Control[[#This Row],[Fecha Requisición]],Control[[#This Row],[Fecha de entrega]]))</f>
        <v/>
      </c>
      <c r="Z116" s="16"/>
      <c r="AA116" s="14">
        <f>+_xlfn.ISOWEEKNUM(Control[[#This Row],[Fecha Requisición]])</f>
        <v>25</v>
      </c>
    </row>
    <row r="117" spans="1:27">
      <c r="A117" s="16" t="s">
        <v>214</v>
      </c>
      <c r="B117" s="16" t="s">
        <v>215</v>
      </c>
      <c r="C117" s="16" t="s">
        <v>216</v>
      </c>
      <c r="D117" s="16"/>
      <c r="E117" s="16">
        <v>27</v>
      </c>
      <c r="F117" s="16" t="s">
        <v>217</v>
      </c>
      <c r="G117" s="16" t="s">
        <v>218</v>
      </c>
      <c r="H117" s="16" t="s">
        <v>218</v>
      </c>
      <c r="I117" s="16"/>
      <c r="J117" s="16"/>
      <c r="K117" s="5"/>
      <c r="L117" s="5" t="s">
        <v>31</v>
      </c>
      <c r="M117" s="16"/>
      <c r="N117" s="16" t="s">
        <v>219</v>
      </c>
      <c r="O117" s="16" t="s">
        <v>101</v>
      </c>
      <c r="P117" s="16" t="s">
        <v>124</v>
      </c>
      <c r="Q117" s="16" t="s">
        <v>36</v>
      </c>
      <c r="R117" s="16"/>
      <c r="S117" s="16" t="s">
        <v>643</v>
      </c>
      <c r="V117" s="16" t="s">
        <v>643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7" s="9">
        <f>+DATE(YEAR(Control[[#This Row],[Fecha Requisición]]),MONTH(Control[[#This Row],[Fecha Requisición]]),1)</f>
        <v>46174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24</v>
      </c>
    </row>
    <row r="118" spans="1:27">
      <c r="A118" s="16" t="s">
        <v>220</v>
      </c>
      <c r="B118" s="16" t="s">
        <v>221</v>
      </c>
      <c r="C118" s="16" t="s">
        <v>222</v>
      </c>
      <c r="D118" s="16"/>
      <c r="E118" s="16">
        <v>28</v>
      </c>
      <c r="F118" s="16" t="s">
        <v>223</v>
      </c>
      <c r="G118" s="16" t="s">
        <v>218</v>
      </c>
      <c r="H118" s="16" t="s">
        <v>218</v>
      </c>
      <c r="I118" s="16"/>
      <c r="J118" s="16"/>
      <c r="K118" s="5"/>
      <c r="L118" s="5" t="s">
        <v>31</v>
      </c>
      <c r="M118" s="16"/>
      <c r="N118" s="16" t="s">
        <v>158</v>
      </c>
      <c r="O118" s="16" t="s">
        <v>57</v>
      </c>
      <c r="P118" s="16" t="s">
        <v>124</v>
      </c>
      <c r="Q118" s="16" t="s">
        <v>36</v>
      </c>
      <c r="R118" s="16"/>
      <c r="S118" s="16" t="s">
        <v>643</v>
      </c>
      <c r="V118" s="16" t="s">
        <v>643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8" s="9">
        <f>+DATE(YEAR(Control[[#This Row],[Fecha Requisición]]),MONTH(Control[[#This Row],[Fecha Requisición]]),1)</f>
        <v>46174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24</v>
      </c>
    </row>
    <row r="119" spans="1:27">
      <c r="A119" s="16" t="s">
        <v>224</v>
      </c>
      <c r="B119" s="16" t="s">
        <v>225</v>
      </c>
      <c r="C119" s="16" t="s">
        <v>226</v>
      </c>
      <c r="D119" s="16"/>
      <c r="E119" s="16">
        <v>29</v>
      </c>
      <c r="F119" s="16" t="s">
        <v>227</v>
      </c>
      <c r="G119" s="16" t="s">
        <v>212</v>
      </c>
      <c r="H119" s="16" t="s">
        <v>212</v>
      </c>
      <c r="I119" s="16"/>
      <c r="J119" s="16"/>
      <c r="K119" s="5"/>
      <c r="L119" s="5" t="s">
        <v>31</v>
      </c>
      <c r="M119" s="16"/>
      <c r="N119" s="16" t="s">
        <v>219</v>
      </c>
      <c r="O119" s="16" t="s">
        <v>101</v>
      </c>
      <c r="P119" s="16" t="s">
        <v>124</v>
      </c>
      <c r="Q119" s="16" t="s">
        <v>36</v>
      </c>
      <c r="R119" s="16"/>
      <c r="S119" s="16" t="s">
        <v>643</v>
      </c>
      <c r="V119" s="16" t="s">
        <v>726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9" s="9">
        <f>+DATE(YEAR(Control[[#This Row],[Fecha Requisición]]),MONTH(Control[[#This Row],[Fecha Requisición]]),1)</f>
        <v>46174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25</v>
      </c>
    </row>
    <row r="120" spans="1:27">
      <c r="A120" s="16" t="s">
        <v>379</v>
      </c>
      <c r="B120" s="16" t="s">
        <v>380</v>
      </c>
      <c r="C120" s="16" t="s">
        <v>602</v>
      </c>
      <c r="D120" s="16"/>
      <c r="E120" s="16">
        <v>47</v>
      </c>
      <c r="F120" s="16" t="s">
        <v>381</v>
      </c>
      <c r="G120" s="16" t="s">
        <v>382</v>
      </c>
      <c r="H120" s="16" t="s">
        <v>382</v>
      </c>
      <c r="I120" s="16"/>
      <c r="J120" s="16"/>
      <c r="K120" s="5"/>
      <c r="L120" s="5" t="s">
        <v>55</v>
      </c>
      <c r="M120" s="16"/>
      <c r="N120" s="16" t="s">
        <v>383</v>
      </c>
      <c r="O120" s="16" t="s">
        <v>384</v>
      </c>
      <c r="P120" s="16" t="s">
        <v>58</v>
      </c>
      <c r="Q120" s="16" t="s">
        <v>36</v>
      </c>
      <c r="R120" s="16"/>
      <c r="S120" s="16" t="s">
        <v>643</v>
      </c>
      <c r="V120" s="16" t="s">
        <v>726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0" s="9">
        <f>+DATE(YEAR(Control[[#This Row],[Fecha Requisición]]),MONTH(Control[[#This Row],[Fecha Requisición]]),1)</f>
        <v>46204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28</v>
      </c>
    </row>
    <row r="121" spans="1:27">
      <c r="A121" s="16" t="s">
        <v>385</v>
      </c>
      <c r="B121" s="16" t="s">
        <v>386</v>
      </c>
      <c r="C121" s="16" t="s">
        <v>603</v>
      </c>
      <c r="D121" s="16"/>
      <c r="E121" s="16">
        <v>48</v>
      </c>
      <c r="F121" s="16" t="s">
        <v>387</v>
      </c>
      <c r="G121" s="16" t="s">
        <v>382</v>
      </c>
      <c r="H121" s="16" t="s">
        <v>382</v>
      </c>
      <c r="I121" s="16"/>
      <c r="J121" s="16"/>
      <c r="K121" s="5"/>
      <c r="L121" s="5"/>
      <c r="M121" s="16"/>
      <c r="N121" s="16" t="s">
        <v>388</v>
      </c>
      <c r="O121" s="16" t="s">
        <v>176</v>
      </c>
      <c r="P121" s="16" t="s">
        <v>58</v>
      </c>
      <c r="Q121" s="16" t="s">
        <v>94</v>
      </c>
      <c r="R121" s="16"/>
      <c r="S121" s="16" t="s">
        <v>643</v>
      </c>
      <c r="V121" s="16" t="s">
        <v>726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1" s="9">
        <f>+DATE(YEAR(Control[[#This Row],[Fecha Requisición]]),MONTH(Control[[#This Row],[Fecha Requisición]]),1)</f>
        <v>46204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28</v>
      </c>
    </row>
    <row r="122" spans="1:27">
      <c r="A122" s="16" t="s">
        <v>636</v>
      </c>
      <c r="B122" s="16" t="s">
        <v>637</v>
      </c>
      <c r="C122" s="16" t="s">
        <v>675</v>
      </c>
      <c r="D122" s="16"/>
      <c r="E122" s="16">
        <v>71</v>
      </c>
      <c r="F122" s="16" t="s">
        <v>638</v>
      </c>
      <c r="G122" s="16" t="s">
        <v>639</v>
      </c>
      <c r="H122" s="16" t="s">
        <v>639</v>
      </c>
      <c r="I122" s="16"/>
      <c r="J122" s="16"/>
      <c r="K122" s="5"/>
      <c r="L122" s="5" t="s">
        <v>31</v>
      </c>
      <c r="M122" s="16"/>
      <c r="N122" s="16" t="s">
        <v>307</v>
      </c>
      <c r="O122" s="16" t="s">
        <v>86</v>
      </c>
      <c r="P122" s="16" t="s">
        <v>124</v>
      </c>
      <c r="Q122" s="16" t="s">
        <v>36</v>
      </c>
      <c r="R122" s="16"/>
      <c r="S122" s="16" t="s">
        <v>726</v>
      </c>
      <c r="V122" s="16" t="s">
        <v>643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2" s="9">
        <f>+DATE(YEAR(Control[[#This Row],[Fecha Requisición]]),MONTH(Control[[#This Row],[Fecha Requisición]]),1)</f>
        <v>46204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30</v>
      </c>
    </row>
    <row r="123" spans="1:27">
      <c r="A123" s="16" t="s">
        <v>640</v>
      </c>
      <c r="B123" s="16" t="s">
        <v>641</v>
      </c>
      <c r="C123" s="16" t="s">
        <v>676</v>
      </c>
      <c r="D123" s="16"/>
      <c r="E123" s="16">
        <v>72</v>
      </c>
      <c r="F123" s="16" t="s">
        <v>642</v>
      </c>
      <c r="G123" s="16" t="s">
        <v>639</v>
      </c>
      <c r="H123" s="16" t="s">
        <v>639</v>
      </c>
      <c r="I123" s="16"/>
      <c r="J123" s="16"/>
      <c r="K123" s="5"/>
      <c r="L123" s="5" t="s">
        <v>31</v>
      </c>
      <c r="M123" s="16"/>
      <c r="N123" s="16" t="s">
        <v>307</v>
      </c>
      <c r="O123" s="16" t="s">
        <v>86</v>
      </c>
      <c r="P123" s="16" t="s">
        <v>124</v>
      </c>
      <c r="Q123" s="16" t="s">
        <v>36</v>
      </c>
      <c r="R123" s="16"/>
      <c r="S123" s="16" t="s">
        <v>643</v>
      </c>
      <c r="V123" s="16" t="s">
        <v>726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3" s="9">
        <f>+DATE(YEAR(Control[[#This Row],[Fecha Requisición]]),MONTH(Control[[#This Row],[Fecha Requisición]]),1)</f>
        <v>46204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30</v>
      </c>
    </row>
    <row r="124" spans="1:27">
      <c r="A124" s="16" t="s">
        <v>758</v>
      </c>
      <c r="B124" s="16" t="s">
        <v>759</v>
      </c>
      <c r="C124" s="16" t="s">
        <v>760</v>
      </c>
      <c r="D124" s="16"/>
      <c r="E124" s="16">
        <v>79</v>
      </c>
      <c r="F124" s="16" t="s">
        <v>761</v>
      </c>
      <c r="G124" s="16" t="s">
        <v>751</v>
      </c>
      <c r="H124" s="16" t="s">
        <v>751</v>
      </c>
      <c r="I124" s="16"/>
      <c r="J124" s="16"/>
      <c r="K124" s="5"/>
      <c r="L124" s="5" t="s">
        <v>55</v>
      </c>
      <c r="M124" s="16"/>
      <c r="N124" s="16" t="s">
        <v>707</v>
      </c>
      <c r="O124" s="16" t="s">
        <v>101</v>
      </c>
      <c r="P124" s="16" t="s">
        <v>58</v>
      </c>
      <c r="Q124" s="16" t="s">
        <v>36</v>
      </c>
      <c r="R124" s="16"/>
      <c r="S124" s="16" t="s">
        <v>514</v>
      </c>
      <c r="V124" s="16" t="s">
        <v>823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4" s="9">
        <f>+DATE(YEAR(Control[[#This Row],[Fecha Requisición]]),MONTH(Control[[#This Row],[Fecha Requisición]]),1)</f>
        <v>46204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31</v>
      </c>
    </row>
    <row r="125" spans="1:27">
      <c r="A125" s="16" t="s">
        <v>771</v>
      </c>
      <c r="B125" s="16" t="s">
        <v>772</v>
      </c>
      <c r="C125" s="16" t="s">
        <v>773</v>
      </c>
      <c r="D125" s="16"/>
      <c r="E125" s="16">
        <v>81</v>
      </c>
      <c r="F125" s="16" t="s">
        <v>774</v>
      </c>
      <c r="G125" s="16" t="s">
        <v>775</v>
      </c>
      <c r="H125" s="16" t="s">
        <v>775</v>
      </c>
      <c r="I125" s="16"/>
      <c r="J125" s="16"/>
      <c r="K125" s="5"/>
      <c r="L125" s="5" t="s">
        <v>31</v>
      </c>
      <c r="M125" s="16"/>
      <c r="N125" s="16" t="s">
        <v>435</v>
      </c>
      <c r="O125" s="16"/>
      <c r="P125" s="16" t="s">
        <v>57</v>
      </c>
      <c r="Q125" s="16"/>
      <c r="R125" s="16"/>
      <c r="S125" s="16" t="s">
        <v>517</v>
      </c>
      <c r="V125" s="16" t="s">
        <v>777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5" s="9">
        <f>+DATE(YEAR(Control[[#This Row],[Fecha Requisición]]),MONTH(Control[[#This Row],[Fecha Requisición]]),1)</f>
        <v>46204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31</v>
      </c>
    </row>
    <row r="126" spans="1:27">
      <c r="A126" s="16" t="s">
        <v>771</v>
      </c>
      <c r="B126" s="16" t="s">
        <v>772</v>
      </c>
      <c r="C126" s="16" t="s">
        <v>773</v>
      </c>
      <c r="D126" s="16"/>
      <c r="E126" s="16">
        <v>81</v>
      </c>
      <c r="F126" s="16" t="s">
        <v>774</v>
      </c>
      <c r="G126" s="16" t="s">
        <v>775</v>
      </c>
      <c r="H126" s="16" t="s">
        <v>775</v>
      </c>
      <c r="I126" s="16"/>
      <c r="J126" s="16"/>
      <c r="K126" s="5"/>
      <c r="L126" s="5" t="s">
        <v>31</v>
      </c>
      <c r="M126" s="16"/>
      <c r="N126" s="16" t="s">
        <v>435</v>
      </c>
      <c r="O126" s="16"/>
      <c r="P126" s="16" t="s">
        <v>35</v>
      </c>
      <c r="Q126" s="16" t="s">
        <v>59</v>
      </c>
      <c r="R126" s="16"/>
      <c r="S126" s="16" t="s">
        <v>517</v>
      </c>
      <c r="V126" s="16" t="s">
        <v>777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6" s="9">
        <f>+DATE(YEAR(Control[[#This Row],[Fecha Requisición]]),MONTH(Control[[#This Row],[Fecha Requisición]]),1)</f>
        <v>46204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31</v>
      </c>
    </row>
    <row r="127" spans="1:27">
      <c r="A127" s="16" t="s">
        <v>783</v>
      </c>
      <c r="B127" s="16" t="s">
        <v>784</v>
      </c>
      <c r="C127" s="16" t="s">
        <v>840</v>
      </c>
      <c r="D127" s="16"/>
      <c r="E127" s="16">
        <v>82</v>
      </c>
      <c r="F127" s="16" t="s">
        <v>785</v>
      </c>
      <c r="G127" s="16" t="s">
        <v>786</v>
      </c>
      <c r="H127" s="16" t="s">
        <v>786</v>
      </c>
      <c r="I127" s="16"/>
      <c r="J127" s="16"/>
      <c r="K127" s="5"/>
      <c r="L127" s="5"/>
      <c r="M127" s="16"/>
      <c r="N127" s="16"/>
      <c r="O127" s="16" t="s">
        <v>57</v>
      </c>
      <c r="P127" s="16" t="s">
        <v>35</v>
      </c>
      <c r="Q127" s="16" t="s">
        <v>94</v>
      </c>
      <c r="R127" s="16"/>
      <c r="S127" s="16" t="s">
        <v>514</v>
      </c>
      <c r="V127" s="16" t="s">
        <v>778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7" s="9">
        <f>+DATE(YEAR(Control[[#This Row],[Fecha Requisición]]),MONTH(Control[[#This Row],[Fecha Requisición]]),1)</f>
        <v>46204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31</v>
      </c>
    </row>
    <row r="128" spans="1:27">
      <c r="A128" s="16" t="s">
        <v>787</v>
      </c>
      <c r="B128" s="16" t="s">
        <v>788</v>
      </c>
      <c r="C128" s="16" t="s">
        <v>841</v>
      </c>
      <c r="D128" s="16"/>
      <c r="E128" s="16">
        <v>83</v>
      </c>
      <c r="F128" s="16" t="s">
        <v>789</v>
      </c>
      <c r="G128" s="16" t="s">
        <v>790</v>
      </c>
      <c r="H128" s="16" t="s">
        <v>790</v>
      </c>
      <c r="I128" s="16"/>
      <c r="J128" s="16"/>
      <c r="K128" s="5"/>
      <c r="L128" s="5" t="s">
        <v>31</v>
      </c>
      <c r="M128" s="16"/>
      <c r="N128" s="16" t="s">
        <v>196</v>
      </c>
      <c r="O128" s="16" t="s">
        <v>197</v>
      </c>
      <c r="P128" s="16" t="s">
        <v>58</v>
      </c>
      <c r="Q128" s="16" t="s">
        <v>36</v>
      </c>
      <c r="R128" s="16"/>
      <c r="S128" s="16" t="s">
        <v>517</v>
      </c>
      <c r="V128" s="16" t="s">
        <v>824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8" s="9">
        <f>+DATE(YEAR(Control[[#This Row],[Fecha Requisición]]),MONTH(Control[[#This Row],[Fecha Requisición]]),1)</f>
        <v>46235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32</v>
      </c>
    </row>
    <row r="129" spans="1:27">
      <c r="A129" s="16" t="s">
        <v>791</v>
      </c>
      <c r="B129" s="16" t="s">
        <v>792</v>
      </c>
      <c r="C129" s="16" t="s">
        <v>842</v>
      </c>
      <c r="D129" s="16"/>
      <c r="E129" s="16">
        <v>84</v>
      </c>
      <c r="F129" s="16" t="s">
        <v>793</v>
      </c>
      <c r="G129" s="16" t="s">
        <v>790</v>
      </c>
      <c r="H129" s="16" t="s">
        <v>790</v>
      </c>
      <c r="I129" s="16"/>
      <c r="J129" s="16"/>
      <c r="K129" s="5"/>
      <c r="L129" s="5" t="s">
        <v>31</v>
      </c>
      <c r="M129" s="16"/>
      <c r="N129" s="16" t="s">
        <v>196</v>
      </c>
      <c r="O129" s="16" t="s">
        <v>197</v>
      </c>
      <c r="P129" s="16" t="s">
        <v>124</v>
      </c>
      <c r="Q129" s="16" t="s">
        <v>36</v>
      </c>
      <c r="R129" s="16"/>
      <c r="S129" s="16" t="s">
        <v>517</v>
      </c>
      <c r="V129" s="16" t="s">
        <v>824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794</v>
      </c>
      <c r="B130" s="16" t="s">
        <v>795</v>
      </c>
      <c r="C130" s="16" t="s">
        <v>843</v>
      </c>
      <c r="D130" s="16"/>
      <c r="E130" s="16">
        <v>85</v>
      </c>
      <c r="F130" s="16" t="s">
        <v>796</v>
      </c>
      <c r="G130" s="16" t="s">
        <v>790</v>
      </c>
      <c r="H130" s="16" t="s">
        <v>790</v>
      </c>
      <c r="I130" s="16"/>
      <c r="J130" s="16"/>
      <c r="K130" s="5"/>
      <c r="L130" s="5" t="s">
        <v>31</v>
      </c>
      <c r="M130" s="16"/>
      <c r="N130" s="16" t="s">
        <v>196</v>
      </c>
      <c r="O130" s="16" t="s">
        <v>197</v>
      </c>
      <c r="P130" s="16" t="s">
        <v>273</v>
      </c>
      <c r="Q130" s="16" t="s">
        <v>36</v>
      </c>
      <c r="R130" s="16"/>
      <c r="S130" s="16" t="s">
        <v>517</v>
      </c>
      <c r="V130" s="16" t="s">
        <v>824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0" s="9">
        <f>+DATE(YEAR(Control[[#This Row],[Fecha Requisición]]),MONTH(Control[[#This Row],[Fecha Requisición]]),1)</f>
        <v>46235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32</v>
      </c>
    </row>
    <row r="131" spans="1:27">
      <c r="A131" s="16" t="s">
        <v>797</v>
      </c>
      <c r="B131" s="16" t="s">
        <v>798</v>
      </c>
      <c r="C131" s="16" t="s">
        <v>844</v>
      </c>
      <c r="D131" s="16"/>
      <c r="E131" s="16">
        <v>86</v>
      </c>
      <c r="F131" s="16" t="s">
        <v>799</v>
      </c>
      <c r="G131" s="16" t="s">
        <v>790</v>
      </c>
      <c r="H131" s="16" t="s">
        <v>790</v>
      </c>
      <c r="I131" s="16"/>
      <c r="J131" s="16"/>
      <c r="K131" s="5"/>
      <c r="L131" s="5" t="s">
        <v>31</v>
      </c>
      <c r="M131" s="16"/>
      <c r="N131" s="16" t="s">
        <v>196</v>
      </c>
      <c r="O131" s="16" t="s">
        <v>197</v>
      </c>
      <c r="P131" s="16" t="s">
        <v>75</v>
      </c>
      <c r="Q131" s="16" t="s">
        <v>36</v>
      </c>
      <c r="R131" s="16"/>
      <c r="S131" s="16" t="s">
        <v>517</v>
      </c>
      <c r="V131" s="16" t="s">
        <v>824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32</v>
      </c>
    </row>
    <row r="132" spans="1:27">
      <c r="A132" s="16" t="s">
        <v>800</v>
      </c>
      <c r="B132" s="16" t="s">
        <v>801</v>
      </c>
      <c r="C132" s="16" t="s">
        <v>845</v>
      </c>
      <c r="D132" s="16"/>
      <c r="E132" s="16">
        <v>87</v>
      </c>
      <c r="F132" s="16" t="s">
        <v>802</v>
      </c>
      <c r="G132" s="16" t="s">
        <v>790</v>
      </c>
      <c r="H132" s="16" t="s">
        <v>790</v>
      </c>
      <c r="I132" s="16"/>
      <c r="J132" s="16"/>
      <c r="K132" s="5"/>
      <c r="L132" s="5" t="s">
        <v>31</v>
      </c>
      <c r="M132" s="16"/>
      <c r="N132" s="16" t="s">
        <v>196</v>
      </c>
      <c r="O132" s="16" t="s">
        <v>34</v>
      </c>
      <c r="P132" s="16" t="s">
        <v>803</v>
      </c>
      <c r="Q132" s="16" t="s">
        <v>36</v>
      </c>
      <c r="R132" s="16"/>
      <c r="S132" s="16" t="s">
        <v>517</v>
      </c>
      <c r="V132" s="16" t="s">
        <v>779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>
      <c r="A133" s="16" t="s">
        <v>804</v>
      </c>
      <c r="B133" s="16" t="s">
        <v>805</v>
      </c>
      <c r="C133" s="16" t="s">
        <v>846</v>
      </c>
      <c r="D133" s="16"/>
      <c r="E133" s="16">
        <v>88</v>
      </c>
      <c r="F133" s="16" t="s">
        <v>806</v>
      </c>
      <c r="G133" s="16" t="s">
        <v>790</v>
      </c>
      <c r="H133" s="16" t="s">
        <v>790</v>
      </c>
      <c r="I133" s="16"/>
      <c r="J133" s="16"/>
      <c r="K133" s="5"/>
      <c r="L133" s="5" t="s">
        <v>31</v>
      </c>
      <c r="M133" s="16"/>
      <c r="N133" s="16" t="s">
        <v>196</v>
      </c>
      <c r="O133" s="16" t="s">
        <v>197</v>
      </c>
      <c r="P133" s="16" t="s">
        <v>463</v>
      </c>
      <c r="Q133" s="16" t="s">
        <v>36</v>
      </c>
      <c r="R133" s="16"/>
      <c r="S133" s="16" t="s">
        <v>517</v>
      </c>
      <c r="V133" s="16" t="s">
        <v>825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3" s="9">
        <f>+DATE(YEAR(Control[[#This Row],[Fecha Requisición]]),MONTH(Control[[#This Row],[Fecha Requisición]]),1)</f>
        <v>46235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32</v>
      </c>
    </row>
    <row r="134" spans="1:27">
      <c r="A134" s="16" t="s">
        <v>810</v>
      </c>
      <c r="B134" s="16" t="s">
        <v>811</v>
      </c>
      <c r="C134" s="16"/>
      <c r="D134" s="16"/>
      <c r="E134" s="16">
        <v>90</v>
      </c>
      <c r="F134" s="16" t="s">
        <v>812</v>
      </c>
      <c r="G134" s="16" t="s">
        <v>813</v>
      </c>
      <c r="H134" s="16"/>
      <c r="I134" s="16"/>
      <c r="J134" s="16"/>
      <c r="K134" s="5"/>
      <c r="L134" s="5" t="s">
        <v>31</v>
      </c>
      <c r="M134" s="16"/>
      <c r="N134" s="16" t="s">
        <v>307</v>
      </c>
      <c r="O134" s="16" t="s">
        <v>57</v>
      </c>
      <c r="P134" s="16" t="s">
        <v>124</v>
      </c>
      <c r="Q134" s="16" t="s">
        <v>36</v>
      </c>
      <c r="R134" s="16"/>
      <c r="S134" s="16" t="s">
        <v>514</v>
      </c>
      <c r="V134" s="16" t="s">
        <v>826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4" s="9">
        <f>+DATE(YEAR(Control[[#This Row],[Fecha Requisición]]),MONTH(Control[[#This Row],[Fecha Requisición]]),1)</f>
        <v>46204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27</v>
      </c>
    </row>
    <row r="135" spans="1:27">
      <c r="A135" s="16" t="s">
        <v>814</v>
      </c>
      <c r="B135" s="16" t="s">
        <v>815</v>
      </c>
      <c r="C135" s="16"/>
      <c r="D135" s="16"/>
      <c r="E135" s="16">
        <v>91</v>
      </c>
      <c r="F135" s="16" t="s">
        <v>816</v>
      </c>
      <c r="G135" s="16" t="s">
        <v>813</v>
      </c>
      <c r="H135" s="16"/>
      <c r="I135" s="16"/>
      <c r="J135" s="16"/>
      <c r="K135" s="5"/>
      <c r="L135" s="5" t="s">
        <v>31</v>
      </c>
      <c r="M135" s="16"/>
      <c r="N135" s="16" t="s">
        <v>307</v>
      </c>
      <c r="O135" s="16" t="s">
        <v>57</v>
      </c>
      <c r="P135" s="16" t="s">
        <v>124</v>
      </c>
      <c r="Q135" s="16" t="s">
        <v>36</v>
      </c>
      <c r="R135" s="16"/>
      <c r="S135" s="16" t="s">
        <v>514</v>
      </c>
      <c r="V135" s="16" t="s">
        <v>826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5" s="9">
        <f>+DATE(YEAR(Control[[#This Row],[Fecha Requisición]]),MONTH(Control[[#This Row],[Fecha Requisición]]),1)</f>
        <v>46204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27</v>
      </c>
    </row>
    <row r="136" spans="1:27">
      <c r="A136" s="16" t="s">
        <v>820</v>
      </c>
      <c r="B136" s="16" t="s">
        <v>821</v>
      </c>
      <c r="C136" s="16" t="s">
        <v>848</v>
      </c>
      <c r="D136" s="16"/>
      <c r="E136" s="16">
        <v>93</v>
      </c>
      <c r="F136" s="16" t="s">
        <v>822</v>
      </c>
      <c r="G136" s="16" t="s">
        <v>775</v>
      </c>
      <c r="H136" s="16" t="s">
        <v>775</v>
      </c>
      <c r="I136" s="16"/>
      <c r="J136" s="16"/>
      <c r="K136" s="5"/>
      <c r="L136" s="5" t="s">
        <v>55</v>
      </c>
      <c r="M136" s="16"/>
      <c r="N136" s="16" t="s">
        <v>213</v>
      </c>
      <c r="O136" s="16" t="s">
        <v>197</v>
      </c>
      <c r="P136" s="16" t="s">
        <v>58</v>
      </c>
      <c r="Q136" s="16" t="s">
        <v>36</v>
      </c>
      <c r="R136" s="16"/>
      <c r="S136" s="16" t="s">
        <v>517</v>
      </c>
      <c r="V136" s="16" t="s">
        <v>825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6" s="9">
        <f>+DATE(YEAR(Control[[#This Row],[Fecha Requisición]]),MONTH(Control[[#This Row],[Fecha Requisición]]),1)</f>
        <v>46204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31</v>
      </c>
    </row>
    <row r="137" spans="1:27">
      <c r="A137" s="16" t="s">
        <v>849</v>
      </c>
      <c r="B137" s="16" t="s">
        <v>850</v>
      </c>
      <c r="C137" s="16" t="s">
        <v>856</v>
      </c>
      <c r="D137" s="16"/>
      <c r="E137" s="16">
        <v>95</v>
      </c>
      <c r="F137" s="16" t="s">
        <v>851</v>
      </c>
      <c r="G137" s="16" t="s">
        <v>790</v>
      </c>
      <c r="H137" s="16" t="s">
        <v>790</v>
      </c>
      <c r="I137" s="16"/>
      <c r="J137" s="16"/>
      <c r="K137" s="5"/>
      <c r="L137" s="5"/>
      <c r="M137" s="16"/>
      <c r="N137" s="16"/>
      <c r="O137" s="16"/>
      <c r="P137" s="16"/>
      <c r="Q137" s="16"/>
      <c r="R137" s="16"/>
      <c r="S137" s="16" t="s">
        <v>517</v>
      </c>
      <c r="V137" s="16" t="s">
        <v>779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7" s="9">
        <f>+DATE(YEAR(Control[[#This Row],[Fecha Requisición]]),MONTH(Control[[#This Row],[Fecha Requisición]]),1)</f>
        <v>46235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32</v>
      </c>
    </row>
    <row r="138" spans="1:27">
      <c r="A138" s="16" t="s">
        <v>864</v>
      </c>
      <c r="B138" s="16" t="s">
        <v>865</v>
      </c>
      <c r="C138" s="16" t="s">
        <v>878</v>
      </c>
      <c r="D138" s="16"/>
      <c r="E138" s="16">
        <v>97</v>
      </c>
      <c r="F138" s="16" t="s">
        <v>866</v>
      </c>
      <c r="G138" s="16" t="s">
        <v>867</v>
      </c>
      <c r="H138" s="16" t="s">
        <v>867</v>
      </c>
      <c r="I138" s="16"/>
      <c r="J138" s="16"/>
      <c r="K138" s="5"/>
      <c r="L138" s="5" t="s">
        <v>31</v>
      </c>
      <c r="M138" s="16"/>
      <c r="N138" s="16" t="s">
        <v>868</v>
      </c>
      <c r="O138" s="16" t="s">
        <v>197</v>
      </c>
      <c r="P138" s="16" t="s">
        <v>124</v>
      </c>
      <c r="Q138" s="16" t="s">
        <v>59</v>
      </c>
      <c r="R138" s="16"/>
      <c r="S138" s="16"/>
      <c r="V138" s="16"/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27</v>
      </c>
    </row>
    <row r="139" spans="1:27">
      <c r="A139" s="16" t="s">
        <v>869</v>
      </c>
      <c r="B139" s="16" t="s">
        <v>870</v>
      </c>
      <c r="C139" s="16"/>
      <c r="D139" s="16"/>
      <c r="E139" s="16">
        <v>98</v>
      </c>
      <c r="F139" s="16" t="s">
        <v>871</v>
      </c>
      <c r="G139" s="16" t="s">
        <v>872</v>
      </c>
      <c r="H139" s="16"/>
      <c r="I139" s="16"/>
      <c r="J139" s="16"/>
      <c r="K139" s="5"/>
      <c r="L139" s="5" t="s">
        <v>31</v>
      </c>
      <c r="M139" s="16"/>
      <c r="N139" s="16" t="s">
        <v>219</v>
      </c>
      <c r="O139" s="16" t="s">
        <v>873</v>
      </c>
      <c r="P139" s="16" t="s">
        <v>124</v>
      </c>
      <c r="Q139" s="16" t="s">
        <v>94</v>
      </c>
      <c r="R139" s="16"/>
      <c r="S139" s="16"/>
      <c r="V139" s="16"/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32</v>
      </c>
    </row>
    <row r="140" spans="1:27">
      <c r="A140" s="16" t="s">
        <v>874</v>
      </c>
      <c r="B140" s="16" t="s">
        <v>875</v>
      </c>
      <c r="C140" s="16"/>
      <c r="D140" s="16"/>
      <c r="E140" s="16">
        <v>99</v>
      </c>
      <c r="F140" s="16" t="s">
        <v>876</v>
      </c>
      <c r="G140" s="16" t="s">
        <v>877</v>
      </c>
      <c r="H140" s="16"/>
      <c r="I140" s="16"/>
      <c r="J140" s="16"/>
      <c r="K140" s="5"/>
      <c r="L140" s="5" t="s">
        <v>55</v>
      </c>
      <c r="M140" s="16"/>
      <c r="N140" s="16" t="s">
        <v>204</v>
      </c>
      <c r="O140" s="16" t="s">
        <v>86</v>
      </c>
      <c r="P140" s="16" t="s">
        <v>58</v>
      </c>
      <c r="Q140" s="16" t="s">
        <v>36</v>
      </c>
      <c r="R140" s="16"/>
      <c r="S140" s="16"/>
      <c r="V140" s="16"/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0" s="9">
        <f>+DATE(YEAR(Control[[#This Row],[Fecha Requisición]]),MONTH(Control[[#This Row],[Fecha Requisición]]),1)</f>
        <v>46235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32</v>
      </c>
    </row>
    <row r="141" spans="1:27">
      <c r="Z141" s="2"/>
    </row>
    <row r="142" spans="1:27">
      <c r="Z142" s="2"/>
    </row>
    <row r="143" spans="1:27">
      <c r="Z143" s="2"/>
    </row>
    <row r="155" spans="3:4" ht="15.75" thickBot="1"/>
    <row r="156" spans="3:4" ht="15.75" thickBot="1">
      <c r="C156" s="13" t="s">
        <v>616</v>
      </c>
      <c r="D156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96"/>
  <sheetViews>
    <sheetView topLeftCell="A60" workbookViewId="0">
      <selection activeCell="F87" sqref="F87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644</v>
      </c>
    </row>
    <row r="3" spans="1:6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644</v>
      </c>
    </row>
    <row r="4" spans="1:6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644</v>
      </c>
    </row>
    <row r="5" spans="1:6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644</v>
      </c>
    </row>
    <row r="6" spans="1:6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644</v>
      </c>
    </row>
    <row r="7" spans="1:6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644</v>
      </c>
    </row>
    <row r="8" spans="1:6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644</v>
      </c>
    </row>
    <row r="9" spans="1:6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644</v>
      </c>
    </row>
    <row r="10" spans="1:6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644</v>
      </c>
    </row>
    <row r="11" spans="1:6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644</v>
      </c>
    </row>
    <row r="12" spans="1:6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721</v>
      </c>
      <c r="F12" s="16" t="s">
        <v>644</v>
      </c>
    </row>
    <row r="13" spans="1:6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644</v>
      </c>
    </row>
    <row r="14" spans="1:6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644</v>
      </c>
    </row>
    <row r="15" spans="1:6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644</v>
      </c>
    </row>
    <row r="16" spans="1:6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644</v>
      </c>
    </row>
    <row r="17" spans="1:8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644</v>
      </c>
    </row>
    <row r="18" spans="1:8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644</v>
      </c>
    </row>
    <row r="19" spans="1:8">
      <c r="A19" s="21">
        <v>18</v>
      </c>
      <c r="B19" s="19" t="s">
        <v>643</v>
      </c>
      <c r="C19" s="22" t="s">
        <v>515</v>
      </c>
      <c r="D19" s="21" t="s">
        <v>643</v>
      </c>
      <c r="E19" s="21" t="s">
        <v>643</v>
      </c>
      <c r="F19" s="19" t="s">
        <v>643</v>
      </c>
    </row>
    <row r="20" spans="1:8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644</v>
      </c>
    </row>
    <row r="21" spans="1:8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644</v>
      </c>
    </row>
    <row r="22" spans="1:8">
      <c r="A22" s="21">
        <v>21</v>
      </c>
      <c r="B22" s="19" t="s">
        <v>643</v>
      </c>
      <c r="C22" s="22" t="s">
        <v>515</v>
      </c>
      <c r="D22" s="21" t="s">
        <v>643</v>
      </c>
      <c r="E22" s="21" t="s">
        <v>726</v>
      </c>
      <c r="F22" s="19" t="s">
        <v>643</v>
      </c>
    </row>
    <row r="23" spans="1:8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722</v>
      </c>
    </row>
    <row r="24" spans="1:8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644</v>
      </c>
    </row>
    <row r="25" spans="1:8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644</v>
      </c>
      <c r="H25">
        <v>2</v>
      </c>
    </row>
    <row r="26" spans="1:8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644</v>
      </c>
    </row>
    <row r="27" spans="1:8">
      <c r="A27" s="21">
        <v>26</v>
      </c>
      <c r="B27" s="19" t="s">
        <v>643</v>
      </c>
      <c r="C27" s="22" t="s">
        <v>643</v>
      </c>
      <c r="D27" s="23" t="s">
        <v>643</v>
      </c>
      <c r="E27" s="23" t="s">
        <v>643</v>
      </c>
      <c r="F27" s="23" t="s">
        <v>643</v>
      </c>
    </row>
    <row r="28" spans="1:8">
      <c r="A28" s="21">
        <v>27</v>
      </c>
      <c r="B28" s="19" t="s">
        <v>643</v>
      </c>
      <c r="C28" s="22" t="s">
        <v>643</v>
      </c>
      <c r="D28" s="23" t="s">
        <v>643</v>
      </c>
      <c r="E28" s="23" t="s">
        <v>643</v>
      </c>
      <c r="F28" s="23" t="s">
        <v>643</v>
      </c>
    </row>
    <row r="29" spans="1:8">
      <c r="A29" s="21">
        <v>28</v>
      </c>
      <c r="B29" s="19" t="s">
        <v>643</v>
      </c>
      <c r="C29" s="22" t="s">
        <v>643</v>
      </c>
      <c r="D29" s="23" t="s">
        <v>643</v>
      </c>
      <c r="E29" s="23" t="s">
        <v>643</v>
      </c>
      <c r="F29" s="23" t="s">
        <v>643</v>
      </c>
    </row>
    <row r="30" spans="1:8">
      <c r="A30" s="21">
        <v>29</v>
      </c>
      <c r="B30" s="19" t="s">
        <v>643</v>
      </c>
      <c r="C30" s="22" t="s">
        <v>515</v>
      </c>
      <c r="D30" s="22" t="s">
        <v>643</v>
      </c>
      <c r="E30" s="22" t="s">
        <v>643</v>
      </c>
      <c r="F30" s="23" t="s">
        <v>726</v>
      </c>
    </row>
    <row r="31" spans="1:8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644</v>
      </c>
    </row>
    <row r="32" spans="1:8">
      <c r="A32" s="17">
        <v>31</v>
      </c>
      <c r="B32" s="16" t="s">
        <v>514</v>
      </c>
      <c r="C32" s="20" t="s">
        <v>516</v>
      </c>
      <c r="D32" s="17"/>
      <c r="E32" s="18">
        <v>46571</v>
      </c>
      <c r="F32" s="16" t="s">
        <v>644</v>
      </c>
    </row>
    <row r="33" spans="1:6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644</v>
      </c>
    </row>
    <row r="34" spans="1:6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644</v>
      </c>
    </row>
    <row r="35" spans="1:6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644</v>
      </c>
    </row>
    <row r="36" spans="1:6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644</v>
      </c>
    </row>
    <row r="37" spans="1:6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644</v>
      </c>
    </row>
    <row r="38" spans="1:6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644</v>
      </c>
    </row>
    <row r="39" spans="1:6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644</v>
      </c>
    </row>
    <row r="40" spans="1:6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644</v>
      </c>
    </row>
    <row r="41" spans="1:6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644</v>
      </c>
    </row>
    <row r="42" spans="1:6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644</v>
      </c>
    </row>
    <row r="43" spans="1:6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723</v>
      </c>
    </row>
    <row r="44" spans="1:6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644</v>
      </c>
    </row>
    <row r="45" spans="1:6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724</v>
      </c>
    </row>
    <row r="46" spans="1:6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644</v>
      </c>
    </row>
    <row r="47" spans="1:6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725</v>
      </c>
    </row>
    <row r="48" spans="1:6">
      <c r="A48" s="21">
        <v>47</v>
      </c>
      <c r="B48" s="19" t="s">
        <v>643</v>
      </c>
      <c r="C48" s="21" t="s">
        <v>643</v>
      </c>
      <c r="D48" s="21" t="s">
        <v>643</v>
      </c>
      <c r="E48" s="21" t="s">
        <v>643</v>
      </c>
      <c r="F48" s="21" t="s">
        <v>726</v>
      </c>
    </row>
    <row r="49" spans="1:6">
      <c r="A49" s="21">
        <v>48</v>
      </c>
      <c r="B49" s="19" t="s">
        <v>643</v>
      </c>
      <c r="C49" s="22" t="s">
        <v>643</v>
      </c>
      <c r="D49" s="21" t="s">
        <v>643</v>
      </c>
      <c r="E49" s="21" t="s">
        <v>726</v>
      </c>
      <c r="F49" s="21" t="s">
        <v>726</v>
      </c>
    </row>
    <row r="50" spans="1:6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644</v>
      </c>
    </row>
    <row r="51" spans="1:6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644</v>
      </c>
    </row>
    <row r="52" spans="1:6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644</v>
      </c>
    </row>
    <row r="53" spans="1:6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644</v>
      </c>
    </row>
    <row r="54" spans="1:6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644</v>
      </c>
    </row>
    <row r="55" spans="1:6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644</v>
      </c>
    </row>
    <row r="56" spans="1:6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727</v>
      </c>
    </row>
    <row r="57" spans="1:6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644</v>
      </c>
    </row>
    <row r="58" spans="1:6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728</v>
      </c>
    </row>
    <row r="59" spans="1:6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644</v>
      </c>
    </row>
    <row r="60" spans="1:6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644</v>
      </c>
    </row>
    <row r="61" spans="1:6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644</v>
      </c>
    </row>
    <row r="62" spans="1:6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644</v>
      </c>
    </row>
    <row r="63" spans="1:6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644</v>
      </c>
    </row>
    <row r="64" spans="1:6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644</v>
      </c>
    </row>
    <row r="65" spans="1:6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644</v>
      </c>
    </row>
    <row r="66" spans="1:6">
      <c r="A66" s="17">
        <v>65</v>
      </c>
      <c r="B66" s="16" t="s">
        <v>514</v>
      </c>
      <c r="C66" s="20" t="s">
        <v>515</v>
      </c>
      <c r="D66" s="17" t="s">
        <v>617</v>
      </c>
      <c r="E66" s="18">
        <v>46230</v>
      </c>
      <c r="F66" s="16" t="s">
        <v>712</v>
      </c>
    </row>
    <row r="67" spans="1:6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644</v>
      </c>
    </row>
    <row r="68" spans="1:6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644</v>
      </c>
    </row>
    <row r="69" spans="1:6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644</v>
      </c>
    </row>
    <row r="70" spans="1:6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645</v>
      </c>
    </row>
    <row r="71" spans="1:6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644</v>
      </c>
    </row>
    <row r="72" spans="1:6">
      <c r="A72" s="21">
        <v>71</v>
      </c>
      <c r="B72" s="19" t="s">
        <v>726</v>
      </c>
      <c r="C72" s="22" t="s">
        <v>515</v>
      </c>
      <c r="D72" s="21" t="s">
        <v>643</v>
      </c>
      <c r="E72" s="21" t="s">
        <v>726</v>
      </c>
      <c r="F72" s="19" t="s">
        <v>643</v>
      </c>
    </row>
    <row r="73" spans="1:6">
      <c r="A73" s="21">
        <v>72</v>
      </c>
      <c r="B73" s="19" t="s">
        <v>643</v>
      </c>
      <c r="C73" s="22" t="s">
        <v>515</v>
      </c>
      <c r="D73" s="21" t="s">
        <v>643</v>
      </c>
      <c r="E73" s="21" t="s">
        <v>643</v>
      </c>
      <c r="F73" s="19" t="s">
        <v>726</v>
      </c>
    </row>
    <row r="74" spans="1:6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644</v>
      </c>
    </row>
    <row r="75" spans="1:6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729</v>
      </c>
    </row>
    <row r="76" spans="1:6">
      <c r="A76" s="17">
        <v>75</v>
      </c>
      <c r="B76" s="16" t="s">
        <v>514</v>
      </c>
      <c r="C76" s="17" t="s">
        <v>516</v>
      </c>
      <c r="D76" s="17" t="s">
        <v>776</v>
      </c>
      <c r="E76" s="18">
        <v>46232</v>
      </c>
      <c r="F76" s="16" t="s">
        <v>730</v>
      </c>
    </row>
    <row r="77" spans="1:6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731</v>
      </c>
    </row>
    <row r="78" spans="1:6">
      <c r="A78" s="17">
        <v>77</v>
      </c>
      <c r="B78" s="16" t="s">
        <v>514</v>
      </c>
      <c r="C78" s="17" t="s">
        <v>516</v>
      </c>
      <c r="D78" s="17"/>
      <c r="E78" s="17"/>
      <c r="F78" s="16" t="s">
        <v>762</v>
      </c>
    </row>
    <row r="79" spans="1:6">
      <c r="A79" s="17">
        <v>78</v>
      </c>
      <c r="B79" s="16" t="s">
        <v>514</v>
      </c>
      <c r="C79" s="17" t="s">
        <v>515</v>
      </c>
      <c r="D79" s="17"/>
      <c r="E79" s="17"/>
      <c r="F79" s="16" t="s">
        <v>763</v>
      </c>
    </row>
    <row r="80" spans="1:6">
      <c r="A80" s="17">
        <v>79</v>
      </c>
      <c r="B80" s="16" t="s">
        <v>514</v>
      </c>
      <c r="C80" s="17" t="s">
        <v>516</v>
      </c>
      <c r="D80" s="17"/>
      <c r="E80" s="17"/>
      <c r="F80" s="16" t="s">
        <v>823</v>
      </c>
    </row>
    <row r="81" spans="1:6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644</v>
      </c>
    </row>
    <row r="82" spans="1:6">
      <c r="A82" s="17">
        <v>81</v>
      </c>
      <c r="B82" s="16" t="s">
        <v>517</v>
      </c>
      <c r="C82" s="17" t="s">
        <v>515</v>
      </c>
      <c r="D82" s="17"/>
      <c r="E82" s="17"/>
      <c r="F82" s="16" t="s">
        <v>777</v>
      </c>
    </row>
    <row r="83" spans="1:6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778</v>
      </c>
    </row>
    <row r="84" spans="1:6">
      <c r="A84" s="17">
        <v>83</v>
      </c>
      <c r="B84" s="16" t="s">
        <v>517</v>
      </c>
      <c r="C84" s="17" t="s">
        <v>515</v>
      </c>
      <c r="D84" s="17"/>
      <c r="E84" s="17"/>
      <c r="F84" s="16" t="s">
        <v>824</v>
      </c>
    </row>
    <row r="85" spans="1:6">
      <c r="A85" s="17">
        <v>84</v>
      </c>
      <c r="B85" s="16" t="s">
        <v>517</v>
      </c>
      <c r="C85" s="17" t="s">
        <v>515</v>
      </c>
      <c r="D85" s="17"/>
      <c r="E85" s="17"/>
      <c r="F85" s="16" t="s">
        <v>824</v>
      </c>
    </row>
    <row r="86" spans="1:6">
      <c r="A86" s="17">
        <v>85</v>
      </c>
      <c r="B86" s="16" t="s">
        <v>517</v>
      </c>
      <c r="C86" s="17" t="s">
        <v>515</v>
      </c>
      <c r="D86" s="17"/>
      <c r="E86" s="17"/>
      <c r="F86" s="16" t="s">
        <v>824</v>
      </c>
    </row>
    <row r="87" spans="1:6">
      <c r="A87" s="17">
        <v>86</v>
      </c>
      <c r="B87" s="16" t="s">
        <v>517</v>
      </c>
      <c r="C87" s="17" t="s">
        <v>515</v>
      </c>
      <c r="D87" s="17"/>
      <c r="E87" s="17"/>
      <c r="F87" s="16" t="s">
        <v>824</v>
      </c>
    </row>
    <row r="88" spans="1:6">
      <c r="A88" s="17">
        <v>87</v>
      </c>
      <c r="B88" s="16" t="s">
        <v>517</v>
      </c>
      <c r="C88" s="17" t="s">
        <v>515</v>
      </c>
      <c r="D88" s="17"/>
      <c r="E88" s="17"/>
      <c r="F88" s="16" t="s">
        <v>779</v>
      </c>
    </row>
    <row r="89" spans="1:6">
      <c r="A89" s="17">
        <v>88</v>
      </c>
      <c r="B89" s="16" t="s">
        <v>517</v>
      </c>
      <c r="C89" s="17" t="s">
        <v>515</v>
      </c>
      <c r="D89" s="17"/>
      <c r="E89" s="17"/>
      <c r="F89" s="16" t="s">
        <v>825</v>
      </c>
    </row>
    <row r="90" spans="1:6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780</v>
      </c>
    </row>
    <row r="91" spans="1:6">
      <c r="A91" s="17">
        <v>90</v>
      </c>
      <c r="B91" s="16" t="s">
        <v>514</v>
      </c>
      <c r="C91" s="17" t="s">
        <v>515</v>
      </c>
      <c r="D91" s="17"/>
      <c r="E91" s="17"/>
      <c r="F91" s="16" t="s">
        <v>826</v>
      </c>
    </row>
    <row r="92" spans="1:6">
      <c r="A92" s="17">
        <v>91</v>
      </c>
      <c r="B92" s="16" t="s">
        <v>514</v>
      </c>
      <c r="C92" s="17" t="s">
        <v>515</v>
      </c>
      <c r="D92" s="17"/>
      <c r="E92" s="17"/>
      <c r="F92" s="16" t="s">
        <v>826</v>
      </c>
    </row>
    <row r="93" spans="1:6">
      <c r="A93" s="17">
        <v>92</v>
      </c>
      <c r="B93" s="16" t="s">
        <v>517</v>
      </c>
      <c r="C93" s="17" t="s">
        <v>515</v>
      </c>
      <c r="D93" s="17"/>
      <c r="E93" s="17"/>
      <c r="F93" s="16" t="s">
        <v>825</v>
      </c>
    </row>
    <row r="94" spans="1:6">
      <c r="A94" s="17">
        <v>93</v>
      </c>
      <c r="B94" s="16" t="s">
        <v>517</v>
      </c>
      <c r="C94" s="17" t="s">
        <v>515</v>
      </c>
      <c r="D94" s="17"/>
      <c r="E94" s="17"/>
      <c r="F94" s="16" t="s">
        <v>825</v>
      </c>
    </row>
    <row r="95" spans="1:6">
      <c r="A95" s="17">
        <v>94</v>
      </c>
      <c r="B95" s="16" t="s">
        <v>514</v>
      </c>
      <c r="C95" s="17" t="s">
        <v>515</v>
      </c>
      <c r="D95" s="17"/>
      <c r="E95" s="17"/>
      <c r="F95" s="24" t="s">
        <v>778</v>
      </c>
    </row>
    <row r="96" spans="1:6">
      <c r="A96" s="17">
        <v>95</v>
      </c>
      <c r="B96" s="16" t="s">
        <v>517</v>
      </c>
      <c r="C96" s="17" t="s">
        <v>516</v>
      </c>
      <c r="D96" s="17"/>
      <c r="E96" s="17"/>
      <c r="F96" s="24" t="s">
        <v>779</v>
      </c>
    </row>
  </sheetData>
  <conditionalFormatting sqref="C27:F29 C48:F48 B2:B96">
    <cfRule type="cellIs" dxfId="21" priority="1" operator="equal">
      <formula>"gestionado"</formula>
    </cfRule>
    <cfRule type="cellIs" dxfId="20" priority="2" operator="equal">
      <formula>"procesado"</formula>
    </cfRule>
    <cfRule type="cellIs" dxfId="19" priority="3" operator="equal">
      <formula>"pendiente"</formula>
    </cfRule>
    <cfRule type="cellIs" dxfId="1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2026-08-06T16:04:49Z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