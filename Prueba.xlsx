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465F94AC-D276-4CDB-BAEB-5CEA1503979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Control'!$A$1:$V$184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C19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<sst xmlns="http://schemas.openxmlformats.org/spreadsheetml/2006/main" count="3809" uniqueCount="1154">
  <si>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</si>
  <si>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</si>
  <si>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</si>
  <si>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</si>
  <si>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</si>
  <si>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</si>
  <si>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</si>
  <si>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</si>
  <si>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</si>
  <si>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</si>
  <si>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</si>
  <si>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</si>
  <si>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</si>
  <si>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</si>
  <si>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</si>
  <si>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</si>
  <si>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</si>
  <si>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</si>
  <si>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</si>
  <si>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</si>
  <si>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</si>
  <si>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</si>
  <si>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</si>
  <si>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</si>
  <si>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</si>
  <si>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</si>
  <si>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</si>
  <si>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</si>
  <si>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</si>
  <si>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</si>
  <si>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</si>
  <si>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</si>
  <si>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</si>
  <si>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</si>
  <si>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</si>
  <si>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</si>
  <si>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</si>
  <si>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</si>
  <si>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</si>
  <si>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</si>
  <si>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</si>
  <si>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</si>
  <si>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</si>
  <si>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</si>
  <si>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</si>
  <si>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</si>
  <si>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</si>
  <si>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</si>
  <si>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</si>
  <si>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</si>
  <si>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</si>
  <si>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</si>
  <si>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</si>
  <si>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</si>
  <si>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</si>
  <si>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</si>
  <si>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</si>
  <si>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</si>
  <si>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</si>
  <si>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</si>
  <si>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</si>
  <si>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</si>
  <si>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</si>
  <si>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</si>
  <si>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</si>
  <si>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</si>
  <si>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</si>
  <si>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</si>
  <si>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</si>
  <si>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</si>
  <si>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</si>
  <si>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</si>
  <si>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</si>
  <si>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</si>
  <si>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</si>
  <si>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</si>
  <si>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</si>
  <si>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</si>
  <si>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</si>
  <si>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</si>
  <si>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</si>
  <si>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</si>
  <si>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</si>
  <si>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</si>
  <si>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</si>
  <si>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</si>
  <si>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</si>
  <si>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</si>
  <si>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</si>
  <si>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</si>
  <si>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</si>
  <si>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</si>
  <si>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</si>
  <si>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</si>
  <si>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</si>
  <si>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</si>
  <si>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</si>
  <si>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</si>
  <si>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</si>
  <si>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</si>
  <si>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</si>
  <si>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</si>
  <si>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</si>
  <si>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</si>
  <si>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</si>
  <si>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</si>
  <si>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</si>
  <si>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</si>
  <si>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</si>
  <si>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</si>
  <si>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</si>
  <si>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</si>
  <si>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</si>
  <si>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</si>
  <si>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</si>
  <si>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</si>
  <si>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</si>
  <si>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</si>
  <si>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</si>
  <si>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</si>
  <si>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</si>
  <si>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</si>
  <si>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</si>
  <si>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</si>
  <si>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</si>
  <si>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</si>
  <si>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</si>
  <si>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</si>
  <si>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</si>
  <si>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</si>
  <si>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</si>
  <si>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</si>
  <si>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</si>
  <si>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</si>
  <si>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</si>
  <si>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</si>
  <si>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</si>
  <si>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</si>
  <si>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</si>
  <si>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</si>
  <si>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</si>
  <si>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</si>
  <si>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</si>
  <si>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</si>
  <si>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</si>
  <si>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</si>
  <si>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</si>
  <si>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</si>
  <si>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</si>
  <si>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</si>
  <si>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</si>
  <si>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</si>
  <si>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</si>
  <si>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</si>
  <si>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</si>
  <si>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</si>
  <si>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</si>
  <si>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</si>
  <si>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</si>
  <si>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</si>
  <si>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</si>
  <si>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</si>
  <si>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</si>
  <si>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</si>
  <si>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</si>
  <si>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</si>
  <si>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</si>
  <si>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</si>
  <si>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</si>
  <si>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</si>
  <si>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</si>
  <si>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</si>
  <si>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</si>
  <si>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</si>
  <si>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</si>
  <si>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</si>
  <si>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</si>
  <si>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</si>
  <si>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</si>
  <si>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</si>
  <si>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</si>
  <si>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</si>
  <si>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</si>
  <si>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</si>
  <si>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</si>
  <si>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</si>
  <si>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</si>
  <si>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</si>
  <si>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</si>
  <si>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</si>
  <si>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</si>
  <si>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</si>
  <si>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</si>
  <si>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</si>
  <si>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</si>
  <si>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</si>
  <si>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</si>
  <si>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</si>
  <si>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</si>
  <si>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</si>
  <si>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</si>
  <si>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</si>
  <si>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</si>
  <si>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</si>
  <si>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</si>
  <si>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</si>
  <si>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</si>
  <si>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</si>
  <si>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</si>
  <si>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</si>
  <si>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</si>
  <si>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</si>
  <si>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</si>
  <si>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</si>
  <si>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</si>
  <si>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</si>
  <si>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</si>
  <si>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</si>
  <si>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</si>
  <si>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</si>
  <si>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</si>
  <si>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</si>
  <si>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</si>
  <si>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</si>
  <si>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</si>
  <si>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</si>
  <si>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</si>
  <si>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</si>
  <si>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</si>
  <si>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</si>
  <si>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</si>
  <si>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</si>
  <si>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</si>
  <si>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</si>
  <si>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</si>
  <si>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</si>
  <si>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</si>
  <si>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</si>
  <si>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</si>
  <si>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</si>
  <si>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</si>
  <si>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</si>
  <si>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</si>
  <si>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</si>
  <si>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</si>
  <si>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</si>
  <si>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</si>
  <si>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</si>
  <si>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</si>
  <si>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</si>
  <si>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</si>
  <si>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</si>
  <si>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</si>
  <si>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</si>
  <si>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</si>
  <si>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</si>
  <si>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</si>
  <si>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</si>
  <si>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</si>
  <si>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</si>
  <si>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</si>
  <si>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</si>
  <si>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</si>
  <si>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</si>
  <si>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</si>
  <si>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</si>
  <si>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</si>
  <si>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</si>
  <si>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</si>
  <si>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</si>
  <si>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</si>
  <si>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</si>
  <si>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</si>
  <si>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</si>
  <si>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</si>
  <si>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</si>
  <si>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</si>
  <si>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</si>
  <si>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</si>
  <si>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</si>
  <si>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</si>
  <si>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</si>
  <si>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</si>
  <si>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</si>
  <si>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</si>
  <si>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</si>
  <si>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</si>
  <si>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</si>
  <si>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</si>
  <si>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</si>
  <si>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</si>
  <si>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</si>
  <si>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</si>
  <si>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</si>
  <si>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</si>
  <si>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</si>
  <si>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</si>
  <si>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</si>
  <si>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</si>
  <si>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</si>
  <si>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</si>
  <si>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</si>
  <si>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</si>
  <si>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</si>
  <si>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</si>
  <si>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</si>
  <si>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</si>
  <si>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</si>
  <si>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</si>
  <si>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</si>
  <si>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</si>
  <si>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</si>
  <si>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</si>
  <si>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</si>
  <si>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</si>
  <si>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</si>
  <si>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</si>
  <si>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</si>
  <si>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</si>
  <si>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</si>
  <si>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</si>
  <si>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</si>
  <si>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</si>
  <si>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</si>
  <si>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</si>
  <si>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</si>
  <si>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</si>
  <si>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</si>
  <si>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</si>
  <si>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</si>
  <si>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</si>
  <si>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</si>
  <si>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</si>
  <si>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</si>
  <si>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</si>
  <si>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</si>
  <si>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</si>
  <si>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</si>
  <si>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</si>
  <si>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</si>
  <si>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</si>
  <si>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</si>
  <si>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</si>
  <si>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</si>
  <si>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</si>
  <si>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</si>
  <si>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</si>
  <si>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</si>
  <si>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</si>
  <si>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</si>
  <si>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</si>
  <si>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</si>
  <si>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</si>
  <si>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</si>
  <si>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</si>
  <si>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</si>
  <si>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</si>
  <si>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</si>
  <si>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</si>
  <si>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</si>
  <si>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</si>
  <si>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</si>
  <si>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</si>
  <si>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</si>
  <si>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</si>
  <si>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</si>
  <si>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</si>
  <si>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</si>
  <si>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</si>
  <si>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</si>
  <si>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</si>
  <si>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</si>
  <si>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</si>
  <si>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</si>
  <si>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</si>
  <si>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</si>
  <si>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</si>
  <si>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</si>
  <si>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</si>
  <si>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</si>
  <si>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</si>
  <si>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</si>
  <si>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</si>
  <si>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</si>
  <si>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</si>
  <si>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</si>
  <si>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</si>
  <si>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</si>
  <si>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</si>
  <si>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</si>
  <si>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</si>
  <si>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</si>
  <si>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</si>
  <si>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</si>
  <si>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</si>
  <si>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</si>
  <si>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</si>
  <si>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</si>
  <si>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</si>
  <si>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</si>
  <si>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</si>
  <si>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</si>
  <si>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</si>
  <si>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</si>
  <si>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</si>
  <si>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</si>
  <si>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</si>
  <si>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</si>
  <si>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</si>
  <si>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</si>
  <si>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</si>
  <si>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</si>
  <si>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</si>
  <si>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</si>
  <si>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</si>
  <si>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</si>
  <si>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</si>
  <si>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</si>
  <si>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</si>
  <si>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</si>
  <si>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</si>
  <si>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</si>
  <si>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</si>
  <si>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</si>
  <si>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</si>
  <si>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</si>
  <si>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</si>
  <si>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</si>
  <si>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</si>
  <si>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</si>
  <si>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</si>
  <si>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</si>
  <si>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</si>
  <si>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</si>
  <si>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</si>
  <si>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</si>
  <si>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</si>
  <si>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</si>
  <si>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</si>
  <si>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</si>
  <si>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</si>
  <si>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</si>
  <si>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</si>
  <si>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</si>
  <si>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</si>
  <si>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</si>
  <si>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</si>
  <si>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</si>
  <si>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</si>
  <si>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</si>
  <si>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</si>
  <si>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</si>
  <si>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</si>
  <si>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</si>
  <si>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</si>
  <si>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</si>
  <si>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</si>
  <si>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</si>
  <si>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</si>
  <si>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</si>
  <si>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</si>
  <si>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</si>
  <si>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</si>
  <si>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</si>
  <si>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</si>
  <si>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</si>
  <si>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</si>
  <si>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</si>
  <si>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</si>
  <si>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</si>
  <si>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</si>
  <si>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</si>
  <si>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</si>
  <si>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</si>
  <si>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</si>
  <si>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</si>
  <si>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</si>
  <si>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</si>
  <si>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</si>
  <si>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</si>
  <si>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</si>
  <si>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</si>
  <si>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</si>
  <si>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</si>
  <si>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</si>
  <si>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</si>
  <si>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</si>
  <si>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</si>
  <si>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</si>
  <si>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</si>
  <si>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</si>
  <si>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</si>
  <si>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</si>
  <si>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</si>
  <si>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</si>
  <si>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</si>
  <si>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</si>
  <si>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</si>
  <si>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</si>
  <si>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</si>
  <si>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</si>
  <si>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</si>
  <si>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</si>
  <si>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</si>
  <si>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</si>
  <si>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</si>
  <si>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</si>
  <si>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</si>
  <si>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</si>
  <si>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</si>
  <si>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</si>
  <si>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</si>
  <si>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</si>
  <si>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</si>
  <si>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</si>
  <si>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</si>
  <si>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</si>
  <si>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</si>
  <si>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</si>
  <si>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</si>
  <si>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</si>
  <si>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</si>
  <si>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</si>
  <si>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</si>
  <si>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</si>
  <si>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</si>
  <si>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</si>
  <si>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</si>
  <si>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</si>
  <si>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</si>
  <si>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</si>
  <si>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</si>
  <si>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</si>
  <si>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</si>
  <si>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</si>
  <si>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</si>
  <si>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</si>
  <si>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</si>
  <si>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</si>
  <si>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</si>
  <si>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</si>
  <si>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</si>
  <si>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</si>
  <si>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</si>
  <si>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</si>
  <si>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</si>
  <si>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</si>
  <si>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</si>
  <si>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</si>
  <si>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</si>
  <si>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</si>
  <si>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</si>
  <si>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</si>
  <si>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</si>
  <si>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</si>
  <si>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</si>
  <si>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</si>
  <si>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</si>
  <si>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</si>
  <si>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</si>
  <si>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</si>
  <si>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</si>
  <si>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</si>
  <si>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</si>
  <si>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</si>
  <si>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</si>
  <si>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</si>
  <si>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</si>
  <si>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</si>
  <si>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</si>
  <si>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</si>
  <si>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</si>
  <si>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</si>
  <si>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</si>
  <si>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</si>
  <si>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</si>
  <si>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</si>
  <si>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</si>
  <si>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</si>
  <si>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</si>
  <si>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</si>
  <si>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</si>
  <si>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</si>
  <si>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</si>
  <si>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</si>
  <si>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</si>
  <si>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</si>
  <si>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</si>
  <si>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</si>
  <si>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</si>
  <si>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</si>
  <si>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</si>
  <si>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</si>
  <si>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</si>
  <si>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</si>
  <si>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</si>
  <si>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</si>
  <si>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</si>
  <si>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</si>
  <si>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</si>
  <si>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</si>
  <si>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</si>
  <si>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</si>
  <si>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</si>
  <si>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</si>
  <si>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</si>
  <si>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</si>
  <si>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</si>
  <si>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</si>
  <si>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</si>
  <si>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</si>
  <si>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</si>
  <si>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</si>
  <si>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</si>
  <si>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</si>
  <si>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</si>
  <si>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</si>
  <si>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</si>
  <si>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</si>
  <si>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</si>
  <si>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</si>
  <si>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</si>
  <si>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</si>
  <si>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</si>
  <si>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</si>
  <si>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</si>
  <si>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</si>
  <si>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</si>
  <si>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</si>
  <si>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</si>
  <si>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</si>
  <si>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</si>
  <si>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</si>
  <si>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</si>
  <si>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</si>
  <si>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</si>
  <si>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</si>
  <si>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</si>
  <si>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</si>
  <si>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</si>
  <si>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</si>
  <si>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</si>
  <si>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</si>
  <si>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</si>
  <si>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</si>
  <si>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</si>
  <si>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</si>
  <si>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</si>
  <si>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</si>
  <si>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</si>
  <si>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</si>
  <si>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</si>
  <si>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</si>
  <si>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</si>
  <si>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</si>
  <si>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</si>
  <si>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</si>
  <si>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</si>
  <si>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</si>
  <si>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</si>
  <si>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</si>
  <si>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</si>
  <si>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</si>
  <si>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</si>
  <si>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</si>
  <si>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</si>
  <si>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</si>
  <si>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</si>
  <si>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</si>
  <si>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</si>
  <si>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</si>
  <si>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</si>
  <si>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</si>
  <si>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</si>
  <si>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</si>
  <si>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</si>
  <si>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</si>
  <si>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</si>
  <si>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</si>
  <si>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</si>
  <si>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</si>
  <si>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</si>
  <si>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</si>
  <si>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</si>
  <si>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</si>
  <si>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</si>
  <si>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</si>
  <si>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</si>
  <si>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</si>
  <si>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</si>
  <si>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</si>
  <si>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</si>
  <si>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</si>
  <si>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</si>
  <si>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</si>
  <si>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</si>
  <si>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</si>
  <si>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</si>
  <si>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</si>
  <si>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</si>
  <si>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</si>
  <si>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</si>
  <si>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</si>
  <si>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</si>
  <si>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</si>
  <si>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</si>
  <si>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</si>
  <si>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</si>
  <si>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</si>
  <si>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</si>
  <si>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</si>
  <si>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</si>
  <si>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</si>
  <si>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</si>
  <si>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</si>
  <si>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</si>
  <si>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</si>
  <si>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</si>
  <si>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</si>
  <si>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</si>
  <si>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</si>
  <si>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</si>
  <si>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</si>
  <si>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</si>
  <si>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</si>
  <si>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</si>
  <si>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</si>
  <si>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</si>
  <si>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</si>
  <si>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</si>
  <si>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</si>
  <si>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</si>
  <si>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</si>
  <si>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</si>
  <si>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</si>
  <si>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</si>
  <si>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</si>
  <si>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</si>
  <si>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</si>
  <si>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</si>
  <si>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</si>
  <si>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</si>
  <si>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</si>
  <si>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</si>
  <si>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</si>
  <si>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</si>
  <si>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</si>
  <si>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</si>
  <si>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</si>
  <si>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</si>
  <si>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</si>
  <si>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</si>
  <si>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</si>
  <si>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</si>
  <si>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</si>
  <si>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</si>
  <si>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</si>
  <si>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</si>
  <si>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</si>
  <si>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</si>
  <si>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</si>
  <si>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</si>
  <si>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</si>
  <si>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</si>
  <si>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</si>
  <si>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</si>
  <si>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</si>
  <si>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</si>
  <si>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</si>
  <si>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</si>
  <si>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</si>
  <si>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</si>
  <si>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</si>
  <si>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</si>
  <si>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</si>
  <si>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</si>
  <si>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</si>
  <si>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</si>
  <si>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</si>
  <si>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</si>
  <si>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</si>
  <si>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</si>
  <si>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</si>
  <si>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</si>
  <si>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</si>
  <si>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</si>
  <si>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</si>
  <si>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</si>
  <si>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</si>
  <si>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</si>
  <si>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</si>
  <si>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</si>
  <si>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</si>
  <si>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</si>
  <si>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</si>
  <si>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</si>
  <si>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</si>
  <si>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</si>
  <si>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</si>
  <si>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</si>
  <si>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</si>
  <si>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</si>
  <si>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</si>
  <si>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</si>
  <si>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</si>
  <si>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</si>
  <si>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</si>
  <si>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</si>
  <si>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</si>
  <si>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</si>
  <si>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</si>
  <si>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</si>
  <si>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</si>
  <si>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</si>
  <si>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</si>
  <si>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</si>
  <si>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</si>
  <si>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</si>
  <si>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</si>
  <si>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</si>
  <si>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</si>
  <si>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</si>
  <si>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</si>
  <si>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</si>
  <si>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</si>
  <si>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</si>
  <si>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</si>
  <si>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</si>
  <si>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</si>
  <si>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</si>
  <si>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</si>
  <si>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</si>
  <si>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</si>
  <si>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</si>
  <si>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</si>
  <si>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</si>
  <si>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</si>
  <si>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</si>
  <si>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</si>
  <si>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</si>
  <si>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</si>
  <si>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</si>
  <si>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</si>
  <si>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</si>
  <si>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</si>
  <si>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</si>
  <si>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</si>
  <si>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</si>
  <si>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</si>
  <si>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</si>
  <si>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</si>
  <si>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</si>
  <si>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</si>
  <si>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</si>
  <si>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</si>
  <si>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</si>
  <si>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</si>
  <si>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</si>
  <si>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</si>
  <si>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</si>
  <si>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</si>
  <si>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</si>
  <si>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</si>
  <si>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</si>
  <si>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</si>
  <si>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</si>
  <si>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</si>
  <si>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</si>
  <si>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</si>
  <si>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</si>
  <si>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</si>
  <si>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</si>
  <si>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</si>
  <si>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</si>
  <si>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</si>
  <si>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</si>
  <si>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</si>
  <si>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</si>
  <si>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</si>
  <si>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</si>
  <si>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</si>
  <si>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</si>
  <si>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</si>
  <si>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</si>
  <si>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</si>
  <si>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</si>
  <si>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</si>
  <si>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</si>
  <si>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</si>
  <si>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</si>
  <si>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</si>
  <si>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</si>
  <si>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</si>
  <si>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</si>
  <si>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</si>
  <si>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</si>
  <si>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</si>
  <si>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</si>
  <si>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</si>
  <si>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</si>
  <si>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</si>
  <si>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</si>
  <si>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</si>
  <si>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</si>
  <si>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</si>
  <si>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</si>
  <si>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</si>
  <si>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</si>
  <si>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</si>
  <si>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</si>
  <si>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</si>
  <si>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</si>
  <si>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</si>
  <si>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</si>
  <si>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</si>
  <si>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</si>
  <si>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</si>
  <si>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</si>
  <si>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</si>
  <si>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</si>
  <si>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</si>
  <si>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</si>
  <si>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</si>
  <si>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</si>
  <si>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</si>
  <si>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</si>
  <si>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</si>
  <si>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</si>
  <si>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</si>
  <si>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</si>
  <si>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</si>
  <si>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</si>
  <si>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</si>
  <si>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</si>
  <si>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</si>
  <si>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</si>
  <si>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</si>
  <si>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</si>
  <si>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</si>
  <si>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</si>
  <si>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</si>
  <si>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</si>
  <si>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</si>
  <si>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</si>
  <si>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</si>
  <si>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</si>
  <si>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</si>
  <si>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</si>
  <si>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</si>
  <si>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</si>
  <si>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</si>
  <si>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</si>
  <si>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</si>
  <si>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</si>
  <si>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</si>
  <si>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</si>
  <si>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</si>
  <si>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</si>
  <si>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</si>
  <si>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</si>
  <si>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</si>
  <si>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</si>
  <si>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</si>
  <si>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</si>
  <si>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</si>
  <si>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</si>
  <si>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</si>
  <si>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</si>
  <si>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</si>
  <si>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</si>
  <si>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</si>
  <si>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</si>
  <si>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</si>
  <si>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</si>
  <si>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</si>
  <si>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</si>
  <si>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</si>
  <si>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</si>
  <si>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</si>
  <si>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</si>
  <si>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</si>
  <si>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</si>
  <si>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</si>
  <si>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</si>
  <si>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</si>
  <si>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</si>
  <si>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</si>
  <si>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</si>
  <si>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</si>
  <si>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</si>
  <si>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</si>
  <si>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</si>
  <si>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</si>
  <si>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</si>
  <si>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</si>
  <si>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</si>
  <si>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</si>
  <si>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</si>
  <si>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</si>
  <si>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</si>
  <si>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</si>
  <si>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</si>
  <si>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</si>
  <si>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</si>
  <si>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</si>
  <si>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</si>
  <si>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</si>
  <si>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</si>
  <si>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</si>
  <si>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</si>
  <si>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</si>
  <si>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</si>
  <si>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</si>
  <si>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</si>
  <si>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</si>
  <si>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</si>
  <si>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</si>
  <si>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</si>
  <si>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</si>
  <si>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</si>
  <si>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</si>
  <si>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</si>
  <si>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</si>
  <si>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</si>
  <si>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</si>
  <si>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</si>
  <si>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</si>
  <si>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</si>
  <si>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</si>
  <si>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</si>
  <si>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</si>
  <si>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</si>
  <si>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</si>
  <si>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</si>
  <si>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</si>
  <si>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</si>
  <si>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</si>
  <si>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ok, oc enviada (proveeor debe confirmar para retiro)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</si>
  <si>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</si>
  <si>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</si>
  <si>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</si>
  <si>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</si>
  <si>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</si>
  <si>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</si>
  <si>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</si>
  <si>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</si>
  <si>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</si>
  <si>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</si>
  <si>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</si>
  <si>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</si>
  <si>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</si>
  <si>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</si>
  <si>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</si>
  <si>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</si>
  <si>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</si>
  <si>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</si>
  <si>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</si>
  <si>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</si>
  <si>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</si>
  <si>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</si>
  <si>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</si>
  <si>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</si>
  <si>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</si>
  <si>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</si>
  <si>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</si>
  <si>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</si>
  <si>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</si>
  <si>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</si>
  <si>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</si>
  <si>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</si>
  <si>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</si>
  <si>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</si>
  <si>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</si>
  <si>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</si>
  <si>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</si>
  <si>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</si>
  <si>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</si>
  <si>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</si>
  <si>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</si>
  <si>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</si>
  <si>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</si>
  <si>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</si>
  <si>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</si>
  <si>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</si>
  <si>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</si>
  <si>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</si>
  <si>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</si>
  <si>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</si>
  <si>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</si>
  <si>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</si>
  <si>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 xml:space="preserve">ok, cargar nomina </t>
  </si>
  <si>
    <t>se realizara una solicitud generalizada</t>
  </si>
  <si>
    <t>pendiente despacho</t>
  </si>
  <si>
    <t xml:space="preserve">ok, aprobado parcial </t>
  </si>
  <si>
    <t>ok. Nomina pendiente a liberar</t>
  </si>
  <si>
    <t xml:space="preserve">ok, certificacion en validacion </t>
  </si>
  <si>
    <t>ok, certifacio en validacion</t>
  </si>
  <si>
    <t>ok, oc enviada deben despachar</t>
  </si>
  <si>
    <t xml:space="preserve">ok, pendiente a liberacion </t>
  </si>
  <si>
    <t xml:space="preserve">nomina pendiente liberacion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</si>
  <si>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</si>
  <si>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</si>
  <si>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</si>
  <si>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</si>
  <si>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</si>
  <si>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</si>
  <si>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</si>
  <si>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</si>
  <si>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</si>
  <si>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</si>
  <si>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</si>
  <si>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</si>
  <si>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</si>
  <si>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</si>
  <si>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</si>
  <si>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</si>
  <si>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</si>
  <si>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</si>
  <si>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</si>
  <si>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</si>
  <si>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</si>
  <si>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</si>
  <si>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</si>
  <si>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</si>
  <si>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</si>
  <si>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</si>
  <si>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</si>
  <si>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</si>
  <si>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</si>
  <si>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</si>
  <si>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</si>
  <si>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</si>
  <si>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</si>
  <si>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</si>
  <si>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</si>
  <si>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</si>
  <si>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</si>
  <si>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</si>
  <si>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</si>
  <si>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</si>
  <si>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</si>
  <si>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</si>
  <si>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</si>
  <si>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</si>
  <si>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</si>
  <si>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</si>
  <si>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</si>
  <si>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</si>
  <si>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 xml:space="preserve">peendiente </t>
  </si>
  <si>
    <t xml:space="preserve">aprobado, solo se compraran 2 telefonos 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</si>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</sst>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7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84" tableType="queryTable" totalsRowShown="0" headerRowDxfId="27">
  <autoFilter ref="A1:AA184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36" totalsRowShown="0" headerRowDxfId="22" dataDxfId="21">
  <autoFilter ref="A1:G136" xr:uid="{0EB08CB5-F347-46F6-A2BB-419FEB016475}"/>
  <tableColumns count="7">
    <tableColumn id="1" xr3:uid="{EA8F1E43-6EF0-43E9-B71B-98D3C4584ACC}" name="N° solicitud" dataDxfId="11"/>
    <tableColumn id="2" xr3:uid="{9FA8BFE5-861C-4596-A02E-A670F1BDB608}" name="Estado" dataDxfId="20"/>
    <tableColumn id="3" xr3:uid="{E58581DB-8B04-4C13-8B4F-27FC5E1AE281}" name="Empresa" dataDxfId="10"/>
    <tableColumn id="6" xr3:uid="{DAADF8D0-34FE-479B-9430-88C5F34DBAE2}" name="fecha pago " dataDxfId="9"/>
    <tableColumn id="7" xr3:uid="{7D80F5CD-A672-43F9-903B-537A4B66EACC}" name="fecha entrega" dataDxfId="8"/>
    <tableColumn id="5" xr3:uid="{16163A18-549A-4B29-B76F-2E153A8FC4F4}" name="Comentario" dataDxfId="19"/>
    <tableColumn id="4" xr3:uid="{AB2C7C8D-292F-499F-B490-59E3C5CBAC30}" name="Columna1" dataDxfId="1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7"/>
    <tableColumn id="9" xr3:uid="{64335130-2EC5-44A7-9C4C-F057150832C4}" name="Fecha de entrega" dataDxfId="1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00"/>
  <sheetViews>
    <sheetView tabSelected="1" topLeftCell="S146" zoomScaleNormal="100" workbookViewId="0">
      <selection activeCell="U163" sqref="U163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731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720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733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733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734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732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721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722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723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735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736</v>
      </c>
      <c r="S76" t="s">
        <v>514</v>
      </c>
      <c r="T76" s="2">
        <v>46231</v>
      </c>
      <c r="U76" s="2">
        <v>46207</v>
      </c>
      <c r="V76" t="s">
        <v>725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737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738</v>
      </c>
      <c r="S77" s="12" t="s">
        <v>514</v>
      </c>
      <c r="T77" s="2">
        <v>46231</v>
      </c>
      <c r="U77" s="2">
        <v>46207</v>
      </c>
      <c r="V77" s="12" t="s">
        <v>725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726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726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726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726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742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739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740</v>
      </c>
      <c r="N102" t="s">
        <v>67</v>
      </c>
      <c r="O102" t="s">
        <v>176</v>
      </c>
      <c r="P102" t="s">
        <v>58</v>
      </c>
      <c r="Q102" t="s">
        <v>59</v>
      </c>
      <c r="R102" t="s">
        <v>741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1043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1044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729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730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728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743</v>
      </c>
      <c r="B107" t="s">
        <v>744</v>
      </c>
      <c r="C107" t="s">
        <v>745</v>
      </c>
      <c r="D107" t="s">
        <v>746</v>
      </c>
      <c r="E107">
        <v>77</v>
      </c>
      <c r="F107" t="s">
        <v>747</v>
      </c>
      <c r="G107" t="s">
        <v>748</v>
      </c>
      <c r="H107" t="s">
        <v>748</v>
      </c>
      <c r="I107" t="s">
        <v>748</v>
      </c>
      <c r="J107" t="s">
        <v>30</v>
      </c>
      <c r="K107" s="5">
        <v>48995</v>
      </c>
      <c r="L107" s="5" t="s">
        <v>55</v>
      </c>
      <c r="M107" t="s">
        <v>749</v>
      </c>
      <c r="N107" t="s">
        <v>705</v>
      </c>
      <c r="O107" t="s">
        <v>57</v>
      </c>
      <c r="P107" t="s">
        <v>58</v>
      </c>
      <c r="Q107" t="s">
        <v>59</v>
      </c>
      <c r="R107" t="s">
        <v>750</v>
      </c>
      <c r="S107" t="s">
        <v>514</v>
      </c>
      <c r="U107" s="2">
        <v>46233</v>
      </c>
      <c r="V107" t="s">
        <v>759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751</v>
      </c>
      <c r="B108" t="s">
        <v>752</v>
      </c>
      <c r="C108" t="s">
        <v>753</v>
      </c>
      <c r="D108" t="s">
        <v>776</v>
      </c>
      <c r="E108">
        <v>78</v>
      </c>
      <c r="F108" t="s">
        <v>754</v>
      </c>
      <c r="G108" t="s">
        <v>748</v>
      </c>
      <c r="H108" t="s">
        <v>748</v>
      </c>
      <c r="I108" t="s">
        <v>748</v>
      </c>
      <c r="J108" t="s">
        <v>30</v>
      </c>
      <c r="K108" s="5"/>
      <c r="L108" s="5" t="s">
        <v>55</v>
      </c>
      <c r="M108" t="s">
        <v>749</v>
      </c>
      <c r="N108" t="s">
        <v>705</v>
      </c>
      <c r="O108" t="s">
        <v>57</v>
      </c>
      <c r="P108" t="s">
        <v>58</v>
      </c>
      <c r="Q108" t="s">
        <v>59</v>
      </c>
      <c r="R108" t="s">
        <v>777</v>
      </c>
      <c r="S108" t="s">
        <v>514</v>
      </c>
      <c r="U108" s="2">
        <v>46233</v>
      </c>
      <c r="V108" t="s">
        <v>760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761</v>
      </c>
      <c r="B109" t="s">
        <v>762</v>
      </c>
      <c r="C109" t="s">
        <v>763</v>
      </c>
      <c r="D109" t="s">
        <v>764</v>
      </c>
      <c r="E109">
        <v>80</v>
      </c>
      <c r="F109" t="s">
        <v>765</v>
      </c>
      <c r="G109" t="s">
        <v>748</v>
      </c>
      <c r="H109" t="s">
        <v>748</v>
      </c>
      <c r="I109" t="s">
        <v>748</v>
      </c>
      <c r="J109" t="s">
        <v>39</v>
      </c>
      <c r="K109" s="5"/>
      <c r="L109" s="5" t="s">
        <v>31</v>
      </c>
      <c r="M109" t="s">
        <v>74</v>
      </c>
      <c r="N109" t="s">
        <v>766</v>
      </c>
      <c r="O109" t="s">
        <v>57</v>
      </c>
      <c r="P109" t="s">
        <v>35</v>
      </c>
      <c r="Q109" t="s">
        <v>36</v>
      </c>
      <c r="R109" t="s">
        <v>767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768</v>
      </c>
      <c r="B110" t="s">
        <v>769</v>
      </c>
      <c r="C110" t="s">
        <v>770</v>
      </c>
      <c r="D110" t="s">
        <v>874</v>
      </c>
      <c r="E110">
        <v>81</v>
      </c>
      <c r="F110" t="s">
        <v>771</v>
      </c>
      <c r="G110" t="s">
        <v>772</v>
      </c>
      <c r="H110" t="s">
        <v>772</v>
      </c>
      <c r="I110" t="s">
        <v>772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875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768</v>
      </c>
      <c r="B111" t="s">
        <v>769</v>
      </c>
      <c r="C111" t="s">
        <v>770</v>
      </c>
      <c r="D111" t="s">
        <v>874</v>
      </c>
      <c r="E111">
        <v>81</v>
      </c>
      <c r="F111" t="s">
        <v>771</v>
      </c>
      <c r="G111" t="s">
        <v>772</v>
      </c>
      <c r="H111" t="s">
        <v>772</v>
      </c>
      <c r="I111" t="s">
        <v>772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875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782</v>
      </c>
      <c r="B112" t="s">
        <v>783</v>
      </c>
      <c r="C112" t="s">
        <v>835</v>
      </c>
      <c r="D112" t="s">
        <v>915</v>
      </c>
      <c r="E112">
        <v>83</v>
      </c>
      <c r="F112" t="s">
        <v>784</v>
      </c>
      <c r="G112" t="s">
        <v>785</v>
      </c>
      <c r="H112" t="s">
        <v>785</v>
      </c>
      <c r="I112" t="s">
        <v>785</v>
      </c>
      <c r="J112" t="s">
        <v>30</v>
      </c>
      <c r="K112" s="5"/>
      <c r="L112" s="5" t="s">
        <v>31</v>
      </c>
      <c r="M112" t="s">
        <v>916</v>
      </c>
      <c r="N112" t="s">
        <v>196</v>
      </c>
      <c r="O112" t="s">
        <v>197</v>
      </c>
      <c r="P112" t="s">
        <v>58</v>
      </c>
      <c r="Q112" t="s">
        <v>36</v>
      </c>
      <c r="R112" t="s">
        <v>917</v>
      </c>
      <c r="S112" t="s">
        <v>514</v>
      </c>
      <c r="U112" s="2">
        <v>46246</v>
      </c>
      <c r="V112" t="s">
        <v>954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786</v>
      </c>
      <c r="B113" t="s">
        <v>787</v>
      </c>
      <c r="C113" t="s">
        <v>836</v>
      </c>
      <c r="D113" t="s">
        <v>918</v>
      </c>
      <c r="E113">
        <v>84</v>
      </c>
      <c r="F113" t="s">
        <v>788</v>
      </c>
      <c r="G113" t="s">
        <v>785</v>
      </c>
      <c r="H113" t="s">
        <v>785</v>
      </c>
      <c r="I113" t="s">
        <v>785</v>
      </c>
      <c r="J113" t="s">
        <v>30</v>
      </c>
      <c r="K113" s="5"/>
      <c r="L113" s="5" t="s">
        <v>31</v>
      </c>
      <c r="M113" t="s">
        <v>916</v>
      </c>
      <c r="N113" t="s">
        <v>196</v>
      </c>
      <c r="O113" t="s">
        <v>197</v>
      </c>
      <c r="P113" t="s">
        <v>124</v>
      </c>
      <c r="Q113" t="s">
        <v>36</v>
      </c>
      <c r="R113" t="s">
        <v>919</v>
      </c>
      <c r="S113" t="s">
        <v>514</v>
      </c>
      <c r="U113" s="2">
        <v>46246</v>
      </c>
      <c r="V113" t="s">
        <v>954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789</v>
      </c>
      <c r="B114" t="s">
        <v>790</v>
      </c>
      <c r="C114" t="s">
        <v>837</v>
      </c>
      <c r="D114" t="s">
        <v>920</v>
      </c>
      <c r="E114">
        <v>85</v>
      </c>
      <c r="F114" t="s">
        <v>791</v>
      </c>
      <c r="G114" t="s">
        <v>785</v>
      </c>
      <c r="H114" t="s">
        <v>785</v>
      </c>
      <c r="I114" t="s">
        <v>785</v>
      </c>
      <c r="J114" t="s">
        <v>30</v>
      </c>
      <c r="K114" s="5"/>
      <c r="L114" s="5" t="s">
        <v>31</v>
      </c>
      <c r="M114" t="s">
        <v>916</v>
      </c>
      <c r="N114" t="s">
        <v>196</v>
      </c>
      <c r="O114" t="s">
        <v>197</v>
      </c>
      <c r="P114" t="s">
        <v>273</v>
      </c>
      <c r="Q114" t="s">
        <v>36</v>
      </c>
      <c r="R114" t="s">
        <v>921</v>
      </c>
      <c r="S114" t="s">
        <v>514</v>
      </c>
      <c r="U114" s="2">
        <v>46246</v>
      </c>
      <c r="V114" t="s">
        <v>954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792</v>
      </c>
      <c r="B115" t="s">
        <v>793</v>
      </c>
      <c r="C115" t="s">
        <v>838</v>
      </c>
      <c r="D115" t="s">
        <v>922</v>
      </c>
      <c r="E115">
        <v>86</v>
      </c>
      <c r="F115" t="s">
        <v>794</v>
      </c>
      <c r="G115" t="s">
        <v>785</v>
      </c>
      <c r="H115" t="s">
        <v>785</v>
      </c>
      <c r="I115" t="s">
        <v>785</v>
      </c>
      <c r="J115" t="s">
        <v>30</v>
      </c>
      <c r="K115" s="5"/>
      <c r="L115" s="5" t="s">
        <v>31</v>
      </c>
      <c r="M115" t="s">
        <v>916</v>
      </c>
      <c r="N115" t="s">
        <v>196</v>
      </c>
      <c r="O115" t="s">
        <v>197</v>
      </c>
      <c r="P115" t="s">
        <v>75</v>
      </c>
      <c r="Q115" t="s">
        <v>36</v>
      </c>
      <c r="R115" t="s">
        <v>923</v>
      </c>
      <c r="S115" t="s">
        <v>514</v>
      </c>
      <c r="U115" s="2">
        <v>46246</v>
      </c>
      <c r="V115" t="s">
        <v>954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795</v>
      </c>
      <c r="B116" s="15" t="s">
        <v>796</v>
      </c>
      <c r="C116" s="15" t="s">
        <v>839</v>
      </c>
      <c r="D116" s="15" t="s">
        <v>1100</v>
      </c>
      <c r="E116" s="15">
        <v>87</v>
      </c>
      <c r="F116" s="15" t="s">
        <v>797</v>
      </c>
      <c r="G116" s="15" t="s">
        <v>785</v>
      </c>
      <c r="H116" s="15" t="s">
        <v>785</v>
      </c>
      <c r="I116" s="15" t="s">
        <v>785</v>
      </c>
      <c r="J116" s="15" t="s">
        <v>30</v>
      </c>
      <c r="K116" s="5"/>
      <c r="L116" s="5" t="s">
        <v>31</v>
      </c>
      <c r="M116" s="15" t="s">
        <v>1101</v>
      </c>
      <c r="N116" s="15" t="s">
        <v>196</v>
      </c>
      <c r="O116" s="15" t="s">
        <v>34</v>
      </c>
      <c r="P116" s="15" t="s">
        <v>798</v>
      </c>
      <c r="Q116" s="15" t="s">
        <v>36</v>
      </c>
      <c r="R116" s="15" t="s">
        <v>1102</v>
      </c>
      <c r="S116" s="15" t="s">
        <v>514</v>
      </c>
      <c r="V116" s="15" t="s">
        <v>1093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795</v>
      </c>
      <c r="B117" s="15" t="s">
        <v>796</v>
      </c>
      <c r="C117" s="15" t="s">
        <v>839</v>
      </c>
      <c r="D117" s="15" t="s">
        <v>1103</v>
      </c>
      <c r="E117" s="15">
        <v>87</v>
      </c>
      <c r="F117" s="15" t="s">
        <v>797</v>
      </c>
      <c r="G117" s="15" t="s">
        <v>785</v>
      </c>
      <c r="H117" s="15" t="s">
        <v>785</v>
      </c>
      <c r="I117" s="15" t="s">
        <v>785</v>
      </c>
      <c r="J117" s="15" t="s">
        <v>39</v>
      </c>
      <c r="K117" s="5"/>
      <c r="L117" s="5" t="s">
        <v>31</v>
      </c>
      <c r="M117" s="15" t="s">
        <v>934</v>
      </c>
      <c r="N117" s="15" t="s">
        <v>196</v>
      </c>
      <c r="O117" s="15" t="s">
        <v>34</v>
      </c>
      <c r="P117" s="15" t="s">
        <v>798</v>
      </c>
      <c r="Q117" s="15" t="s">
        <v>36</v>
      </c>
      <c r="R117" s="15" t="s">
        <v>1104</v>
      </c>
      <c r="S117" s="15" t="s">
        <v>514</v>
      </c>
      <c r="V117" s="15" t="s">
        <v>1093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799</v>
      </c>
      <c r="B118" s="15" t="s">
        <v>800</v>
      </c>
      <c r="C118" s="15" t="s">
        <v>840</v>
      </c>
      <c r="D118" s="15" t="s">
        <v>1105</v>
      </c>
      <c r="E118" s="15">
        <v>88</v>
      </c>
      <c r="F118" s="15" t="s">
        <v>801</v>
      </c>
      <c r="G118" s="15" t="s">
        <v>785</v>
      </c>
      <c r="H118" s="15" t="s">
        <v>785</v>
      </c>
      <c r="I118" s="15" t="s">
        <v>785</v>
      </c>
      <c r="J118" s="15" t="s">
        <v>39</v>
      </c>
      <c r="K118" s="5"/>
      <c r="L118" s="5" t="s">
        <v>31</v>
      </c>
      <c r="M118" s="15" t="s">
        <v>931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1106</v>
      </c>
      <c r="S118" s="15" t="s">
        <v>514</v>
      </c>
      <c r="T118" s="2">
        <v>46260</v>
      </c>
      <c r="V118" s="15" t="s">
        <v>1094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4" t="str">
        <f>+IF(Control[[#This Row],[Fecha de entrega]]="","",NETWORKDAYS(Control[[#This Row],[Fecha Requisición]],Control[[#This Row],[Fecha de entrega]]))</f>
        <v/>
      </c>
      <c r="Z118" s="15"/>
      <c r="AA118" s="13">
        <f>+_xlfn.ISOWEEKNUM(Control[[#This Row],[Fecha Requisición]])</f>
        <v>32</v>
      </c>
    </row>
    <row r="119" spans="1:27">
      <c r="A119" s="15" t="s">
        <v>802</v>
      </c>
      <c r="B119" s="15" t="s">
        <v>803</v>
      </c>
      <c r="C119" s="15" t="s">
        <v>821</v>
      </c>
      <c r="D119" s="15" t="s">
        <v>822</v>
      </c>
      <c r="E119" s="15">
        <v>89</v>
      </c>
      <c r="F119" s="15" t="s">
        <v>804</v>
      </c>
      <c r="G119" s="15" t="s">
        <v>785</v>
      </c>
      <c r="H119" s="15" t="s">
        <v>785</v>
      </c>
      <c r="I119" s="15" t="s">
        <v>785</v>
      </c>
      <c r="J119" s="15" t="s">
        <v>39</v>
      </c>
      <c r="K119" s="5">
        <v>299800</v>
      </c>
      <c r="L119" s="5" t="s">
        <v>55</v>
      </c>
      <c r="M119" s="15" t="s">
        <v>823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824</v>
      </c>
      <c r="S119" s="15" t="s">
        <v>514</v>
      </c>
      <c r="T119" s="2">
        <v>46237</v>
      </c>
      <c r="U119" s="2">
        <v>46238</v>
      </c>
      <c r="V119" s="15" t="s">
        <v>775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812</v>
      </c>
      <c r="B120" s="15" t="s">
        <v>813</v>
      </c>
      <c r="C120" s="15" t="s">
        <v>841</v>
      </c>
      <c r="D120" s="15" t="s">
        <v>846</v>
      </c>
      <c r="E120" s="15">
        <v>92</v>
      </c>
      <c r="F120" s="15" t="s">
        <v>814</v>
      </c>
      <c r="G120" s="15" t="s">
        <v>785</v>
      </c>
      <c r="H120" s="15" t="s">
        <v>785</v>
      </c>
      <c r="I120" s="15" t="s">
        <v>785</v>
      </c>
      <c r="J120" s="15" t="s">
        <v>39</v>
      </c>
      <c r="K120" s="5"/>
      <c r="L120" s="5" t="s">
        <v>31</v>
      </c>
      <c r="M120" s="15" t="s">
        <v>121</v>
      </c>
      <c r="N120" s="15" t="s">
        <v>766</v>
      </c>
      <c r="O120" s="15" t="s">
        <v>57</v>
      </c>
      <c r="P120" s="15" t="s">
        <v>35</v>
      </c>
      <c r="Q120" s="15" t="s">
        <v>94</v>
      </c>
      <c r="R120" s="15" t="s">
        <v>847</v>
      </c>
      <c r="S120" s="15" t="s">
        <v>514</v>
      </c>
      <c r="U120" s="2">
        <v>46246</v>
      </c>
      <c r="V120" s="15" t="s">
        <v>775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812</v>
      </c>
      <c r="B121" s="15" t="s">
        <v>813</v>
      </c>
      <c r="C121" s="15" t="s">
        <v>841</v>
      </c>
      <c r="D121" s="15" t="s">
        <v>848</v>
      </c>
      <c r="E121" s="15">
        <v>92</v>
      </c>
      <c r="F121" s="15" t="s">
        <v>814</v>
      </c>
      <c r="G121" s="15" t="s">
        <v>785</v>
      </c>
      <c r="H121" s="15" t="s">
        <v>785</v>
      </c>
      <c r="I121" s="15" t="s">
        <v>785</v>
      </c>
      <c r="J121" s="15" t="s">
        <v>30</v>
      </c>
      <c r="K121" s="5"/>
      <c r="L121" s="5" t="s">
        <v>31</v>
      </c>
      <c r="M121" s="15" t="s">
        <v>243</v>
      </c>
      <c r="N121" s="15" t="s">
        <v>766</v>
      </c>
      <c r="O121" s="15" t="s">
        <v>57</v>
      </c>
      <c r="P121" s="15" t="s">
        <v>35</v>
      </c>
      <c r="Q121" s="15" t="s">
        <v>94</v>
      </c>
      <c r="R121" s="15" t="s">
        <v>849</v>
      </c>
      <c r="S121" s="15" t="s">
        <v>514</v>
      </c>
      <c r="U121" s="2">
        <v>46246</v>
      </c>
      <c r="V121" s="15" t="s">
        <v>775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825</v>
      </c>
      <c r="B122" s="15" t="s">
        <v>826</v>
      </c>
      <c r="C122" s="15" t="s">
        <v>827</v>
      </c>
      <c r="D122" s="15" t="s">
        <v>828</v>
      </c>
      <c r="E122" s="15">
        <v>94</v>
      </c>
      <c r="F122" s="15" t="s">
        <v>829</v>
      </c>
      <c r="G122" s="15" t="s">
        <v>830</v>
      </c>
      <c r="H122" s="15" t="s">
        <v>830</v>
      </c>
      <c r="I122" s="15" t="s">
        <v>830</v>
      </c>
      <c r="J122" s="15" t="s">
        <v>39</v>
      </c>
      <c r="K122" s="5"/>
      <c r="L122" s="5" t="s">
        <v>31</v>
      </c>
      <c r="M122" s="15" t="s">
        <v>831</v>
      </c>
      <c r="N122" s="15" t="s">
        <v>832</v>
      </c>
      <c r="O122" s="15" t="s">
        <v>57</v>
      </c>
      <c r="P122" s="15" t="s">
        <v>35</v>
      </c>
      <c r="Q122" s="15" t="s">
        <v>59</v>
      </c>
      <c r="R122" s="15" t="s">
        <v>833</v>
      </c>
      <c r="S122" s="15" t="s">
        <v>514</v>
      </c>
      <c r="U122" s="2">
        <v>46238</v>
      </c>
      <c r="V122" s="15" t="s">
        <v>774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843</v>
      </c>
      <c r="B123" s="15" t="s">
        <v>844</v>
      </c>
      <c r="C123" s="15" t="s">
        <v>850</v>
      </c>
      <c r="D123" s="15" t="s">
        <v>876</v>
      </c>
      <c r="E123" s="15">
        <v>95</v>
      </c>
      <c r="F123" s="15" t="s">
        <v>845</v>
      </c>
      <c r="G123" s="15" t="s">
        <v>785</v>
      </c>
      <c r="H123" s="15" t="s">
        <v>785</v>
      </c>
      <c r="I123" s="15" t="s">
        <v>785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877</v>
      </c>
      <c r="S123" s="15" t="s">
        <v>514</v>
      </c>
      <c r="T123" s="2">
        <v>46241</v>
      </c>
      <c r="U123" s="2">
        <v>46247</v>
      </c>
      <c r="V123" s="15" t="s">
        <v>955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851</v>
      </c>
      <c r="B124" s="15" t="s">
        <v>852</v>
      </c>
      <c r="C124" s="15" t="s">
        <v>853</v>
      </c>
      <c r="D124" s="15" t="s">
        <v>854</v>
      </c>
      <c r="E124" s="15">
        <v>96</v>
      </c>
      <c r="F124" s="15" t="s">
        <v>855</v>
      </c>
      <c r="G124" s="15" t="s">
        <v>856</v>
      </c>
      <c r="H124" s="15" t="s">
        <v>856</v>
      </c>
      <c r="I124" s="15" t="s">
        <v>856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857</v>
      </c>
      <c r="S124" s="15" t="s">
        <v>514</v>
      </c>
      <c r="U124" s="2">
        <v>46238</v>
      </c>
      <c r="V124" s="15" t="s">
        <v>873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858</v>
      </c>
      <c r="B125" s="15" t="s">
        <v>859</v>
      </c>
      <c r="C125" s="15" t="s">
        <v>872</v>
      </c>
      <c r="D125" s="15" t="s">
        <v>1107</v>
      </c>
      <c r="E125" s="15">
        <v>97</v>
      </c>
      <c r="F125" s="15" t="s">
        <v>860</v>
      </c>
      <c r="G125" s="15" t="s">
        <v>861</v>
      </c>
      <c r="H125" s="15" t="s">
        <v>861</v>
      </c>
      <c r="I125" s="15" t="s">
        <v>861</v>
      </c>
      <c r="J125" s="15" t="s">
        <v>30</v>
      </c>
      <c r="K125" s="5"/>
      <c r="L125" s="5" t="s">
        <v>31</v>
      </c>
      <c r="M125" s="15" t="s">
        <v>928</v>
      </c>
      <c r="N125" s="15" t="s">
        <v>862</v>
      </c>
      <c r="O125" s="15" t="s">
        <v>197</v>
      </c>
      <c r="P125" s="15" t="s">
        <v>124</v>
      </c>
      <c r="Q125" s="15" t="s">
        <v>59</v>
      </c>
      <c r="R125" s="15" t="s">
        <v>1108</v>
      </c>
      <c r="S125" s="15" t="s">
        <v>514</v>
      </c>
      <c r="V125" s="15" t="s">
        <v>1034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858</v>
      </c>
      <c r="B126" s="15" t="s">
        <v>859</v>
      </c>
      <c r="C126" s="15" t="s">
        <v>872</v>
      </c>
      <c r="D126" s="15" t="s">
        <v>1109</v>
      </c>
      <c r="E126" s="15">
        <v>97</v>
      </c>
      <c r="F126" s="15" t="s">
        <v>860</v>
      </c>
      <c r="G126" s="15" t="s">
        <v>861</v>
      </c>
      <c r="H126" s="15" t="s">
        <v>861</v>
      </c>
      <c r="I126" s="15" t="s">
        <v>861</v>
      </c>
      <c r="J126" s="15" t="s">
        <v>30</v>
      </c>
      <c r="K126" s="5"/>
      <c r="L126" s="5" t="s">
        <v>31</v>
      </c>
      <c r="M126" s="15" t="s">
        <v>937</v>
      </c>
      <c r="N126" s="15" t="s">
        <v>862</v>
      </c>
      <c r="O126" s="15" t="s">
        <v>197</v>
      </c>
      <c r="P126" s="15" t="s">
        <v>124</v>
      </c>
      <c r="Q126" s="15" t="s">
        <v>59</v>
      </c>
      <c r="R126" s="15" t="s">
        <v>1110</v>
      </c>
      <c r="S126" s="15" t="s">
        <v>514</v>
      </c>
      <c r="V126" s="15" t="s">
        <v>1034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863</v>
      </c>
      <c r="B127" s="15" t="s">
        <v>864</v>
      </c>
      <c r="C127" s="15" t="s">
        <v>878</v>
      </c>
      <c r="D127" s="15" t="s">
        <v>879</v>
      </c>
      <c r="E127" s="15">
        <v>98</v>
      </c>
      <c r="F127" s="15" t="s">
        <v>865</v>
      </c>
      <c r="G127" s="15" t="s">
        <v>866</v>
      </c>
      <c r="H127" s="15" t="s">
        <v>866</v>
      </c>
      <c r="I127" s="15" t="s">
        <v>866</v>
      </c>
      <c r="J127" s="15" t="s">
        <v>39</v>
      </c>
      <c r="K127" s="5"/>
      <c r="L127" s="5" t="s">
        <v>31</v>
      </c>
      <c r="M127" s="15" t="s">
        <v>880</v>
      </c>
      <c r="N127" s="15" t="s">
        <v>219</v>
      </c>
      <c r="O127" s="15" t="s">
        <v>867</v>
      </c>
      <c r="P127" s="15" t="s">
        <v>124</v>
      </c>
      <c r="Q127" s="15" t="s">
        <v>94</v>
      </c>
      <c r="R127" s="15" t="s">
        <v>881</v>
      </c>
      <c r="S127" s="15" t="s">
        <v>514</v>
      </c>
      <c r="T127" s="2">
        <v>46248</v>
      </c>
      <c r="U127" s="2">
        <v>46252</v>
      </c>
      <c r="V127" s="15" t="s">
        <v>1032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868</v>
      </c>
      <c r="B128" s="15" t="s">
        <v>869</v>
      </c>
      <c r="C128" s="15" t="s">
        <v>893</v>
      </c>
      <c r="D128" s="15" t="s">
        <v>924</v>
      </c>
      <c r="E128" s="15">
        <v>99</v>
      </c>
      <c r="F128" s="15" t="s">
        <v>870</v>
      </c>
      <c r="G128" s="15" t="s">
        <v>871</v>
      </c>
      <c r="H128" s="15" t="s">
        <v>871</v>
      </c>
      <c r="I128" s="15" t="s">
        <v>871</v>
      </c>
      <c r="J128" s="15" t="s">
        <v>39</v>
      </c>
      <c r="K128" s="5">
        <v>430820</v>
      </c>
      <c r="L128" s="5" t="s">
        <v>55</v>
      </c>
      <c r="M128" s="15" t="s">
        <v>925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926</v>
      </c>
      <c r="S128" s="15" t="s">
        <v>514</v>
      </c>
      <c r="T128" s="2">
        <v>46248</v>
      </c>
      <c r="U128" s="2">
        <v>46251</v>
      </c>
      <c r="V128" s="15" t="s">
        <v>1035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868</v>
      </c>
      <c r="B129" s="15" t="s">
        <v>869</v>
      </c>
      <c r="C129" s="15" t="s">
        <v>893</v>
      </c>
      <c r="D129" s="15" t="s">
        <v>927</v>
      </c>
      <c r="E129" s="15">
        <v>99</v>
      </c>
      <c r="F129" s="15" t="s">
        <v>870</v>
      </c>
      <c r="G129" s="15" t="s">
        <v>871</v>
      </c>
      <c r="H129" s="15" t="s">
        <v>871</v>
      </c>
      <c r="I129" s="15" t="s">
        <v>871</v>
      </c>
      <c r="J129" s="15" t="s">
        <v>30</v>
      </c>
      <c r="K129" s="5">
        <v>175893</v>
      </c>
      <c r="L129" s="5" t="s">
        <v>55</v>
      </c>
      <c r="M129" s="15" t="s">
        <v>928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929</v>
      </c>
      <c r="S129" s="15" t="s">
        <v>514</v>
      </c>
      <c r="T129" s="2">
        <v>46248</v>
      </c>
      <c r="U129" s="2">
        <v>46251</v>
      </c>
      <c r="V129" s="15" t="s">
        <v>1035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868</v>
      </c>
      <c r="B130" s="15" t="s">
        <v>869</v>
      </c>
      <c r="C130" s="15" t="s">
        <v>893</v>
      </c>
      <c r="D130" s="15" t="s">
        <v>930</v>
      </c>
      <c r="E130" s="15">
        <v>99</v>
      </c>
      <c r="F130" s="15" t="s">
        <v>870</v>
      </c>
      <c r="G130" s="15" t="s">
        <v>871</v>
      </c>
      <c r="H130" s="15" t="s">
        <v>871</v>
      </c>
      <c r="I130" s="15" t="s">
        <v>871</v>
      </c>
      <c r="J130" s="15" t="s">
        <v>39</v>
      </c>
      <c r="K130" s="5">
        <v>582990</v>
      </c>
      <c r="L130" s="5" t="s">
        <v>55</v>
      </c>
      <c r="M130" s="15" t="s">
        <v>931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932</v>
      </c>
      <c r="S130" s="15" t="s">
        <v>514</v>
      </c>
      <c r="T130" s="2">
        <v>46248</v>
      </c>
      <c r="U130" s="2">
        <v>46251</v>
      </c>
      <c r="V130" s="15" t="s">
        <v>1035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868</v>
      </c>
      <c r="B131" s="15" t="s">
        <v>869</v>
      </c>
      <c r="C131" s="15" t="s">
        <v>893</v>
      </c>
      <c r="D131" s="15" t="s">
        <v>933</v>
      </c>
      <c r="E131" s="15">
        <v>99</v>
      </c>
      <c r="F131" s="15" t="s">
        <v>870</v>
      </c>
      <c r="G131" s="15" t="s">
        <v>871</v>
      </c>
      <c r="H131" s="15" t="s">
        <v>871</v>
      </c>
      <c r="I131" s="15" t="s">
        <v>871</v>
      </c>
      <c r="J131" s="15" t="s">
        <v>39</v>
      </c>
      <c r="K131" s="5">
        <v>259391</v>
      </c>
      <c r="L131" s="5" t="s">
        <v>55</v>
      </c>
      <c r="M131" s="15" t="s">
        <v>934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935</v>
      </c>
      <c r="S131" s="15" t="s">
        <v>514</v>
      </c>
      <c r="T131" s="2">
        <v>46248</v>
      </c>
      <c r="U131" s="2">
        <v>46251</v>
      </c>
      <c r="V131" s="15" t="s">
        <v>1035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882</v>
      </c>
      <c r="B132" s="15" t="s">
        <v>883</v>
      </c>
      <c r="C132" s="15" t="s">
        <v>892</v>
      </c>
      <c r="D132" s="15" t="s">
        <v>884</v>
      </c>
      <c r="E132" s="15">
        <v>100</v>
      </c>
      <c r="F132" s="15" t="s">
        <v>885</v>
      </c>
      <c r="G132" s="15" t="s">
        <v>886</v>
      </c>
      <c r="H132" s="15" t="s">
        <v>886</v>
      </c>
      <c r="I132" s="15" t="s">
        <v>886</v>
      </c>
      <c r="J132" s="15" t="s">
        <v>30</v>
      </c>
      <c r="K132" s="5">
        <v>536000</v>
      </c>
      <c r="L132" s="5" t="s">
        <v>55</v>
      </c>
      <c r="M132" s="15" t="s">
        <v>887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888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889</v>
      </c>
      <c r="B133" s="15" t="s">
        <v>890</v>
      </c>
      <c r="C133" s="15" t="s">
        <v>894</v>
      </c>
      <c r="D133" s="15" t="s">
        <v>936</v>
      </c>
      <c r="E133" s="15">
        <v>101</v>
      </c>
      <c r="F133" s="15" t="s">
        <v>891</v>
      </c>
      <c r="G133" s="15" t="s">
        <v>886</v>
      </c>
      <c r="H133" s="15" t="s">
        <v>886</v>
      </c>
      <c r="I133" s="15" t="s">
        <v>886</v>
      </c>
      <c r="J133" s="15" t="s">
        <v>30</v>
      </c>
      <c r="K133" s="5"/>
      <c r="L133" s="5" t="s">
        <v>31</v>
      </c>
      <c r="M133" s="15" t="s">
        <v>937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938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895</v>
      </c>
      <c r="B134" s="15" t="s">
        <v>896</v>
      </c>
      <c r="C134" s="15" t="s">
        <v>897</v>
      </c>
      <c r="D134" s="15" t="s">
        <v>958</v>
      </c>
      <c r="E134" s="15">
        <v>102</v>
      </c>
      <c r="F134" s="15" t="s">
        <v>898</v>
      </c>
      <c r="G134" s="15" t="s">
        <v>899</v>
      </c>
      <c r="H134" s="15" t="s">
        <v>899</v>
      </c>
      <c r="I134" s="15" t="s">
        <v>899</v>
      </c>
      <c r="J134" s="15" t="s">
        <v>39</v>
      </c>
      <c r="K134" s="5"/>
      <c r="L134" s="5" t="s">
        <v>31</v>
      </c>
      <c r="M134" s="15" t="s">
        <v>959</v>
      </c>
      <c r="N134" s="15" t="s">
        <v>219</v>
      </c>
      <c r="O134" s="15" t="s">
        <v>867</v>
      </c>
      <c r="P134" s="15"/>
      <c r="Q134" s="15" t="s">
        <v>36</v>
      </c>
      <c r="R134" s="15" t="s">
        <v>960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900</v>
      </c>
      <c r="B135" s="15" t="s">
        <v>901</v>
      </c>
      <c r="C135" s="15" t="s">
        <v>902</v>
      </c>
      <c r="D135" s="15" t="s">
        <v>961</v>
      </c>
      <c r="E135" s="15">
        <v>103</v>
      </c>
      <c r="F135" s="15" t="s">
        <v>903</v>
      </c>
      <c r="G135" s="15" t="s">
        <v>899</v>
      </c>
      <c r="H135" s="15" t="s">
        <v>899</v>
      </c>
      <c r="I135" s="15" t="s">
        <v>899</v>
      </c>
      <c r="J135" s="15" t="s">
        <v>39</v>
      </c>
      <c r="K135" s="5">
        <v>1662073</v>
      </c>
      <c r="L135" s="5" t="s">
        <v>55</v>
      </c>
      <c r="M135" s="15" t="s">
        <v>962</v>
      </c>
      <c r="N135" s="15" t="s">
        <v>904</v>
      </c>
      <c r="O135" s="15" t="s">
        <v>384</v>
      </c>
      <c r="P135" s="15" t="s">
        <v>58</v>
      </c>
      <c r="Q135" s="15" t="s">
        <v>36</v>
      </c>
      <c r="R135" s="15" t="s">
        <v>963</v>
      </c>
      <c r="S135" s="15" t="s">
        <v>514</v>
      </c>
      <c r="T135" s="2">
        <v>46248</v>
      </c>
      <c r="V135" s="15" t="s">
        <v>1036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905</v>
      </c>
      <c r="B136" s="15" t="s">
        <v>906</v>
      </c>
      <c r="C136" s="15" t="s">
        <v>907</v>
      </c>
      <c r="D136" s="15" t="s">
        <v>946</v>
      </c>
      <c r="E136" s="15">
        <v>104</v>
      </c>
      <c r="F136" s="15" t="s">
        <v>908</v>
      </c>
      <c r="G136" s="15" t="s">
        <v>909</v>
      </c>
      <c r="H136" s="15" t="s">
        <v>909</v>
      </c>
      <c r="I136" s="15" t="s">
        <v>909</v>
      </c>
      <c r="J136" s="15" t="s">
        <v>30</v>
      </c>
      <c r="K136" s="5"/>
      <c r="L136" s="5" t="s">
        <v>31</v>
      </c>
      <c r="M136" s="15" t="s">
        <v>937</v>
      </c>
      <c r="N136" s="15" t="s">
        <v>910</v>
      </c>
      <c r="O136" s="15" t="s">
        <v>34</v>
      </c>
      <c r="P136" s="15" t="s">
        <v>273</v>
      </c>
      <c r="Q136" s="15" t="s">
        <v>36</v>
      </c>
      <c r="R136" s="15" t="s">
        <v>947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911</v>
      </c>
      <c r="B137" s="15" t="s">
        <v>912</v>
      </c>
      <c r="C137" s="15" t="s">
        <v>913</v>
      </c>
      <c r="D137" s="15" t="s">
        <v>964</v>
      </c>
      <c r="E137" s="15">
        <v>105</v>
      </c>
      <c r="F137" s="15" t="s">
        <v>914</v>
      </c>
      <c r="G137" s="15" t="s">
        <v>909</v>
      </c>
      <c r="H137" s="15" t="s">
        <v>909</v>
      </c>
      <c r="I137" s="15" t="s">
        <v>909</v>
      </c>
      <c r="J137" s="15" t="s">
        <v>39</v>
      </c>
      <c r="K137" s="5">
        <v>353930</v>
      </c>
      <c r="L137" s="5" t="s">
        <v>55</v>
      </c>
      <c r="M137" s="15" t="s">
        <v>965</v>
      </c>
      <c r="N137" s="15" t="s">
        <v>904</v>
      </c>
      <c r="O137" s="15" t="s">
        <v>384</v>
      </c>
      <c r="P137" s="15" t="s">
        <v>58</v>
      </c>
      <c r="Q137" s="15" t="s">
        <v>36</v>
      </c>
      <c r="R137" s="15" t="s">
        <v>966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939</v>
      </c>
      <c r="B138" s="15" t="s">
        <v>940</v>
      </c>
      <c r="C138" s="15" t="s">
        <v>967</v>
      </c>
      <c r="D138" s="15" t="s">
        <v>1111</v>
      </c>
      <c r="E138" s="15">
        <v>106</v>
      </c>
      <c r="F138" s="15" t="s">
        <v>941</v>
      </c>
      <c r="G138" s="15" t="s">
        <v>942</v>
      </c>
      <c r="H138" s="15" t="s">
        <v>942</v>
      </c>
      <c r="I138" s="15" t="s">
        <v>942</v>
      </c>
      <c r="J138" s="15" t="s">
        <v>39</v>
      </c>
      <c r="K138" s="5"/>
      <c r="L138" s="5" t="s">
        <v>31</v>
      </c>
      <c r="M138" s="15" t="s">
        <v>1112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1113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939</v>
      </c>
      <c r="B139" s="15" t="s">
        <v>940</v>
      </c>
      <c r="C139" s="15" t="s">
        <v>967</v>
      </c>
      <c r="D139" s="15" t="s">
        <v>1114</v>
      </c>
      <c r="E139" s="15">
        <v>106</v>
      </c>
      <c r="F139" s="15" t="s">
        <v>941</v>
      </c>
      <c r="G139" s="15" t="s">
        <v>942</v>
      </c>
      <c r="H139" s="15" t="s">
        <v>942</v>
      </c>
      <c r="I139" s="15" t="s">
        <v>942</v>
      </c>
      <c r="J139" s="15" t="s">
        <v>30</v>
      </c>
      <c r="K139" s="5"/>
      <c r="L139" s="5" t="s">
        <v>31</v>
      </c>
      <c r="M139" s="15" t="s">
        <v>1115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1116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939</v>
      </c>
      <c r="B140" s="15" t="s">
        <v>940</v>
      </c>
      <c r="C140" s="15" t="s">
        <v>967</v>
      </c>
      <c r="D140" s="15" t="s">
        <v>1117</v>
      </c>
      <c r="E140" s="15">
        <v>106</v>
      </c>
      <c r="F140" s="15" t="s">
        <v>941</v>
      </c>
      <c r="G140" s="15" t="s">
        <v>942</v>
      </c>
      <c r="H140" s="15" t="s">
        <v>942</v>
      </c>
      <c r="I140" s="15" t="s">
        <v>942</v>
      </c>
      <c r="J140" s="15" t="s">
        <v>39</v>
      </c>
      <c r="K140" s="5"/>
      <c r="L140" s="5" t="s">
        <v>31</v>
      </c>
      <c r="M140" s="15" t="s">
        <v>925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1118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939</v>
      </c>
      <c r="B141" s="15" t="s">
        <v>940</v>
      </c>
      <c r="C141" s="15" t="s">
        <v>967</v>
      </c>
      <c r="D141" s="15" t="s">
        <v>995</v>
      </c>
      <c r="E141" s="15">
        <v>106</v>
      </c>
      <c r="F141" s="15" t="s">
        <v>941</v>
      </c>
      <c r="G141" s="15" t="s">
        <v>942</v>
      </c>
      <c r="H141" s="15" t="s">
        <v>942</v>
      </c>
      <c r="I141" s="15" t="s">
        <v>942</v>
      </c>
      <c r="J141" s="15" t="s">
        <v>30</v>
      </c>
      <c r="K141" s="5"/>
      <c r="L141" s="5" t="s">
        <v>31</v>
      </c>
      <c r="M141" s="15" t="s">
        <v>928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996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939</v>
      </c>
      <c r="B142" s="15" t="s">
        <v>940</v>
      </c>
      <c r="C142" s="15" t="s">
        <v>967</v>
      </c>
      <c r="D142" s="15" t="s">
        <v>1119</v>
      </c>
      <c r="E142" s="15">
        <v>106</v>
      </c>
      <c r="F142" s="15" t="s">
        <v>941</v>
      </c>
      <c r="G142" s="15" t="s">
        <v>942</v>
      </c>
      <c r="H142" s="15" t="s">
        <v>942</v>
      </c>
      <c r="I142" s="15" t="s">
        <v>942</v>
      </c>
      <c r="J142" s="15" t="s">
        <v>39</v>
      </c>
      <c r="K142" s="5"/>
      <c r="L142" s="5" t="s">
        <v>31</v>
      </c>
      <c r="M142" s="15" t="s">
        <v>931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1120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943</v>
      </c>
      <c r="B143" s="15" t="s">
        <v>944</v>
      </c>
      <c r="C143" s="15" t="s">
        <v>968</v>
      </c>
      <c r="D143" s="15" t="s">
        <v>997</v>
      </c>
      <c r="E143" s="15">
        <v>107</v>
      </c>
      <c r="F143" s="15" t="s">
        <v>945</v>
      </c>
      <c r="G143" s="15" t="s">
        <v>942</v>
      </c>
      <c r="H143" s="15" t="s">
        <v>942</v>
      </c>
      <c r="I143" s="15" t="s">
        <v>942</v>
      </c>
      <c r="J143" s="15" t="s">
        <v>30</v>
      </c>
      <c r="K143" s="5">
        <v>1672516</v>
      </c>
      <c r="L143" s="5" t="s">
        <v>55</v>
      </c>
      <c r="M143" s="15" t="s">
        <v>998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999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948</v>
      </c>
      <c r="B144" s="15" t="s">
        <v>949</v>
      </c>
      <c r="C144" s="15" t="s">
        <v>950</v>
      </c>
      <c r="D144" s="15" t="s">
        <v>956</v>
      </c>
      <c r="E144" s="15">
        <v>109</v>
      </c>
      <c r="F144" s="15" t="s">
        <v>951</v>
      </c>
      <c r="G144" s="15" t="s">
        <v>952</v>
      </c>
      <c r="H144" s="15" t="s">
        <v>952</v>
      </c>
      <c r="I144" s="15" t="s">
        <v>952</v>
      </c>
      <c r="J144" s="15" t="s">
        <v>39</v>
      </c>
      <c r="K144" s="5"/>
      <c r="L144" s="5" t="s">
        <v>31</v>
      </c>
      <c r="M144" s="15" t="s">
        <v>571</v>
      </c>
      <c r="N144" s="15" t="s">
        <v>219</v>
      </c>
      <c r="O144" s="15" t="s">
        <v>867</v>
      </c>
      <c r="P144" s="15" t="s">
        <v>124</v>
      </c>
      <c r="Q144" s="15" t="s">
        <v>36</v>
      </c>
      <c r="R144" s="15" t="s">
        <v>957</v>
      </c>
      <c r="S144" s="15" t="s">
        <v>514</v>
      </c>
      <c r="T144" s="2">
        <v>46248</v>
      </c>
      <c r="U144" s="2">
        <v>46251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3</v>
      </c>
      <c r="Z144" s="15"/>
      <c r="AA144" s="13">
        <f>+_xlfn.ISOWEEKNUM(Control[[#This Row],[Fecha Requisición]])</f>
        <v>33</v>
      </c>
    </row>
    <row r="145" spans="1:27">
      <c r="A145" s="15" t="s">
        <v>969</v>
      </c>
      <c r="B145" s="15" t="s">
        <v>970</v>
      </c>
      <c r="C145" s="15" t="s">
        <v>971</v>
      </c>
      <c r="D145" s="15" t="s">
        <v>1000</v>
      </c>
      <c r="E145" s="15">
        <v>110</v>
      </c>
      <c r="F145" s="15" t="s">
        <v>972</v>
      </c>
      <c r="G145" s="15" t="s">
        <v>952</v>
      </c>
      <c r="H145" s="15" t="s">
        <v>952</v>
      </c>
      <c r="I145" s="15" t="s">
        <v>952</v>
      </c>
      <c r="J145" s="15" t="s">
        <v>30</v>
      </c>
      <c r="K145" s="5">
        <v>1431345</v>
      </c>
      <c r="L145" s="5" t="s">
        <v>55</v>
      </c>
      <c r="M145" s="15" t="s">
        <v>916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1001</v>
      </c>
      <c r="S145" s="15" t="s">
        <v>514</v>
      </c>
      <c r="U145" s="2">
        <v>46251</v>
      </c>
      <c r="V145" s="15" t="s">
        <v>1095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3</v>
      </c>
      <c r="Z145" s="15"/>
      <c r="AA145" s="13">
        <f>+_xlfn.ISOWEEKNUM(Control[[#This Row],[Fecha Requisición]])</f>
        <v>33</v>
      </c>
    </row>
    <row r="146" spans="1:27">
      <c r="A146" s="15" t="s">
        <v>973</v>
      </c>
      <c r="B146" s="15" t="s">
        <v>974</v>
      </c>
      <c r="C146" s="15" t="s">
        <v>975</v>
      </c>
      <c r="D146" s="15" t="s">
        <v>1002</v>
      </c>
      <c r="E146" s="15">
        <v>111</v>
      </c>
      <c r="F146" s="15" t="s">
        <v>976</v>
      </c>
      <c r="G146" s="15" t="s">
        <v>952</v>
      </c>
      <c r="H146" s="15" t="s">
        <v>952</v>
      </c>
      <c r="I146" s="15" t="s">
        <v>952</v>
      </c>
      <c r="J146" s="15" t="s">
        <v>30</v>
      </c>
      <c r="K146" s="5"/>
      <c r="L146" s="5" t="s">
        <v>31</v>
      </c>
      <c r="M146" s="15" t="s">
        <v>1003</v>
      </c>
      <c r="N146" s="15" t="s">
        <v>977</v>
      </c>
      <c r="O146" s="15" t="s">
        <v>57</v>
      </c>
      <c r="P146" s="15" t="s">
        <v>124</v>
      </c>
      <c r="Q146" s="15" t="s">
        <v>36</v>
      </c>
      <c r="R146" s="15" t="s">
        <v>1004</v>
      </c>
      <c r="S146" s="15" t="s">
        <v>514</v>
      </c>
      <c r="U146" s="2">
        <v>46251</v>
      </c>
      <c r="V146" s="15" t="s">
        <v>1095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3</v>
      </c>
      <c r="Z146" s="15"/>
      <c r="AA146" s="13">
        <f>+_xlfn.ISOWEEKNUM(Control[[#This Row],[Fecha Requisición]])</f>
        <v>33</v>
      </c>
    </row>
    <row r="147" spans="1:27">
      <c r="A147" s="15" t="s">
        <v>978</v>
      </c>
      <c r="B147" s="15" t="s">
        <v>979</v>
      </c>
      <c r="C147" s="15" t="s">
        <v>980</v>
      </c>
      <c r="D147" s="15" t="s">
        <v>1005</v>
      </c>
      <c r="E147" s="15">
        <v>112</v>
      </c>
      <c r="F147" s="15" t="s">
        <v>981</v>
      </c>
      <c r="G147" s="15" t="s">
        <v>952</v>
      </c>
      <c r="H147" s="15" t="s">
        <v>952</v>
      </c>
      <c r="I147" s="15" t="s">
        <v>952</v>
      </c>
      <c r="J147" s="15" t="s">
        <v>30</v>
      </c>
      <c r="K147" s="5"/>
      <c r="L147" s="5" t="s">
        <v>31</v>
      </c>
      <c r="M147" s="15" t="s">
        <v>1003</v>
      </c>
      <c r="N147" s="15" t="s">
        <v>977</v>
      </c>
      <c r="O147" s="15" t="s">
        <v>101</v>
      </c>
      <c r="P147" s="15" t="s">
        <v>124</v>
      </c>
      <c r="Q147" s="15" t="s">
        <v>36</v>
      </c>
      <c r="R147" s="15" t="s">
        <v>1006</v>
      </c>
      <c r="S147" s="15" t="s">
        <v>514</v>
      </c>
      <c r="U147" s="2">
        <v>46251</v>
      </c>
      <c r="V147" s="15" t="s">
        <v>1095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3</v>
      </c>
      <c r="Z147" s="15"/>
      <c r="AA147" s="13">
        <f>+_xlfn.ISOWEEKNUM(Control[[#This Row],[Fecha Requisición]])</f>
        <v>33</v>
      </c>
    </row>
    <row r="148" spans="1:27">
      <c r="A148" s="15" t="s">
        <v>982</v>
      </c>
      <c r="B148" s="15" t="s">
        <v>983</v>
      </c>
      <c r="C148" s="15" t="s">
        <v>984</v>
      </c>
      <c r="D148" s="15" t="s">
        <v>1007</v>
      </c>
      <c r="E148" s="15">
        <v>113</v>
      </c>
      <c r="F148" s="15" t="s">
        <v>985</v>
      </c>
      <c r="G148" s="15" t="s">
        <v>952</v>
      </c>
      <c r="H148" s="15" t="s">
        <v>952</v>
      </c>
      <c r="I148" s="15" t="s">
        <v>952</v>
      </c>
      <c r="J148" s="15" t="s">
        <v>30</v>
      </c>
      <c r="K148" s="5"/>
      <c r="L148" s="5" t="s">
        <v>31</v>
      </c>
      <c r="M148" s="15" t="s">
        <v>1003</v>
      </c>
      <c r="N148" s="15" t="s">
        <v>977</v>
      </c>
      <c r="O148" s="15" t="s">
        <v>123</v>
      </c>
      <c r="P148" s="15" t="s">
        <v>124</v>
      </c>
      <c r="Q148" s="15" t="s">
        <v>36</v>
      </c>
      <c r="R148" s="15" t="s">
        <v>1008</v>
      </c>
      <c r="S148" s="15" t="s">
        <v>514</v>
      </c>
      <c r="U148" s="2">
        <v>46251</v>
      </c>
      <c r="V148" s="15" t="s">
        <v>1095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986</v>
      </c>
      <c r="B149" s="15" t="s">
        <v>987</v>
      </c>
      <c r="C149" s="15" t="s">
        <v>994</v>
      </c>
      <c r="D149" s="15" t="s">
        <v>1009</v>
      </c>
      <c r="E149" s="15">
        <v>114</v>
      </c>
      <c r="F149" s="15" t="s">
        <v>988</v>
      </c>
      <c r="G149" s="15" t="s">
        <v>989</v>
      </c>
      <c r="H149" s="15" t="s">
        <v>989</v>
      </c>
      <c r="I149" s="15" t="s">
        <v>989</v>
      </c>
      <c r="J149" s="15" t="s">
        <v>30</v>
      </c>
      <c r="K149" s="5"/>
      <c r="L149" s="5" t="s">
        <v>31</v>
      </c>
      <c r="M149" s="15" t="s">
        <v>1003</v>
      </c>
      <c r="N149" s="15" t="s">
        <v>766</v>
      </c>
      <c r="O149" s="15" t="s">
        <v>57</v>
      </c>
      <c r="P149" s="15" t="s">
        <v>35</v>
      </c>
      <c r="Q149" s="15" t="s">
        <v>94</v>
      </c>
      <c r="R149" s="15" t="s">
        <v>1010</v>
      </c>
      <c r="S149" s="15" t="s">
        <v>514</v>
      </c>
      <c r="U149" s="2">
        <v>46251</v>
      </c>
      <c r="V149" s="15" t="s">
        <v>1096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2</v>
      </c>
      <c r="Z149" s="15"/>
      <c r="AA149" s="13">
        <f>+_xlfn.ISOWEEKNUM(Control[[#This Row],[Fecha Requisición]])</f>
        <v>33</v>
      </c>
    </row>
    <row r="150" spans="1:27">
      <c r="A150" s="15" t="s">
        <v>990</v>
      </c>
      <c r="B150" s="15" t="s">
        <v>991</v>
      </c>
      <c r="C150" s="15" t="s">
        <v>992</v>
      </c>
      <c r="D150" s="15" t="s">
        <v>1011</v>
      </c>
      <c r="E150" s="15">
        <v>115</v>
      </c>
      <c r="F150" s="15" t="s">
        <v>993</v>
      </c>
      <c r="G150" s="15" t="s">
        <v>989</v>
      </c>
      <c r="H150" s="15" t="s">
        <v>989</v>
      </c>
      <c r="I150" s="15" t="s">
        <v>989</v>
      </c>
      <c r="J150" s="15" t="s">
        <v>30</v>
      </c>
      <c r="K150" s="5">
        <v>150000</v>
      </c>
      <c r="L150" s="5" t="s">
        <v>55</v>
      </c>
      <c r="M150" s="15" t="s">
        <v>1012</v>
      </c>
      <c r="N150" s="15" t="s">
        <v>904</v>
      </c>
      <c r="O150" s="15" t="s">
        <v>384</v>
      </c>
      <c r="P150" s="15" t="s">
        <v>58</v>
      </c>
      <c r="Q150" s="15" t="s">
        <v>36</v>
      </c>
      <c r="R150" s="15" t="s">
        <v>1013</v>
      </c>
      <c r="S150" s="15" t="s">
        <v>514</v>
      </c>
      <c r="T150" s="2">
        <v>46252</v>
      </c>
      <c r="U150" s="2">
        <v>46251</v>
      </c>
      <c r="V150" s="15" t="s">
        <v>642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2</v>
      </c>
      <c r="Z150" s="15"/>
      <c r="AA150" s="13">
        <f>+_xlfn.ISOWEEKNUM(Control[[#This Row],[Fecha Requisición]])</f>
        <v>33</v>
      </c>
    </row>
    <row r="151" spans="1:27">
      <c r="A151" s="15" t="s">
        <v>1014</v>
      </c>
      <c r="B151" s="15" t="s">
        <v>1015</v>
      </c>
      <c r="C151" s="15" t="s">
        <v>1016</v>
      </c>
      <c r="D151" s="15" t="s">
        <v>1121</v>
      </c>
      <c r="E151" s="15">
        <v>116</v>
      </c>
      <c r="F151" s="15" t="s">
        <v>1017</v>
      </c>
      <c r="G151" s="15" t="s">
        <v>1018</v>
      </c>
      <c r="H151" s="15" t="s">
        <v>1018</v>
      </c>
      <c r="I151" s="15" t="s">
        <v>1018</v>
      </c>
      <c r="J151" s="15" t="s">
        <v>30</v>
      </c>
      <c r="K151" s="5"/>
      <c r="L151" s="5" t="s">
        <v>31</v>
      </c>
      <c r="M151" s="15" t="s">
        <v>1122</v>
      </c>
      <c r="N151" s="15" t="s">
        <v>219</v>
      </c>
      <c r="O151" s="15" t="s">
        <v>384</v>
      </c>
      <c r="P151" s="15"/>
      <c r="Q151" s="15" t="s">
        <v>94</v>
      </c>
      <c r="R151" s="15" t="s">
        <v>1123</v>
      </c>
      <c r="S151" s="15" t="s">
        <v>514</v>
      </c>
      <c r="V151" s="15" t="s">
        <v>1097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1" s="9">
        <f>+DATE(YEAR(Control[[#This Row],[Fecha Requisición]]),MONTH(Control[[#This Row],[Fecha Requisición]]),1)</f>
        <v>46235</v>
      </c>
      <c r="Y151" s="14" t="str">
        <f>+IF(Control[[#This Row],[Fecha de entrega]]="","",NETWORKDAYS(Control[[#This Row],[Fecha Requisición]],Control[[#This Row],[Fecha de entrega]]))</f>
        <v/>
      </c>
      <c r="Z151" s="15"/>
      <c r="AA151" s="13">
        <f>+_xlfn.ISOWEEKNUM(Control[[#This Row],[Fecha Requisición]])</f>
        <v>34</v>
      </c>
    </row>
    <row r="152" spans="1:27">
      <c r="A152" s="15" t="s">
        <v>1024</v>
      </c>
      <c r="B152" s="15" t="s">
        <v>1025</v>
      </c>
      <c r="C152" s="15" t="s">
        <v>1026</v>
      </c>
      <c r="D152" s="15" t="s">
        <v>1124</v>
      </c>
      <c r="E152" s="15">
        <v>118</v>
      </c>
      <c r="F152" s="15" t="s">
        <v>1027</v>
      </c>
      <c r="G152" s="15" t="s">
        <v>1023</v>
      </c>
      <c r="H152" s="15" t="s">
        <v>1023</v>
      </c>
      <c r="I152" s="15" t="s">
        <v>1023</v>
      </c>
      <c r="J152" s="15" t="s">
        <v>30</v>
      </c>
      <c r="K152" s="5"/>
      <c r="L152" s="5" t="s">
        <v>31</v>
      </c>
      <c r="M152" s="15" t="s">
        <v>1125</v>
      </c>
      <c r="N152" s="15" t="s">
        <v>204</v>
      </c>
      <c r="O152" s="15" t="s">
        <v>57</v>
      </c>
      <c r="P152" s="15" t="s">
        <v>58</v>
      </c>
      <c r="Q152" s="15" t="s">
        <v>36</v>
      </c>
      <c r="R152" s="15" t="s">
        <v>1126</v>
      </c>
      <c r="S152" s="15" t="s">
        <v>514</v>
      </c>
      <c r="V152" s="15" t="s">
        <v>1037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2" s="9">
        <f>+DATE(YEAR(Control[[#This Row],[Fecha Requisición]]),MONTH(Control[[#This Row],[Fecha Requisición]]),1)</f>
        <v>46235</v>
      </c>
      <c r="Y152" s="14" t="str">
        <f>+IF(Control[[#This Row],[Fecha de entrega]]="","",NETWORKDAYS(Control[[#This Row],[Fecha Requisición]],Control[[#This Row],[Fecha de entrega]]))</f>
        <v/>
      </c>
      <c r="Z152" s="15"/>
      <c r="AA152" s="13">
        <f>+_xlfn.ISOWEEKNUM(Control[[#This Row],[Fecha Requisición]])</f>
        <v>34</v>
      </c>
    </row>
    <row r="153" spans="1:27">
      <c r="A153" s="15" t="s">
        <v>1028</v>
      </c>
      <c r="B153" s="15" t="s">
        <v>1029</v>
      </c>
      <c r="C153" s="15" t="s">
        <v>1030</v>
      </c>
      <c r="D153" s="15" t="s">
        <v>1045</v>
      </c>
      <c r="E153" s="15">
        <v>119</v>
      </c>
      <c r="F153" s="15" t="s">
        <v>1031</v>
      </c>
      <c r="G153" s="15" t="s">
        <v>1023</v>
      </c>
      <c r="H153" s="15" t="s">
        <v>1023</v>
      </c>
      <c r="I153" s="15" t="s">
        <v>1023</v>
      </c>
      <c r="J153" s="15" t="s">
        <v>30</v>
      </c>
      <c r="K153" s="5">
        <v>602295</v>
      </c>
      <c r="L153" s="5" t="s">
        <v>55</v>
      </c>
      <c r="M153" s="15" t="s">
        <v>928</v>
      </c>
      <c r="N153" s="15" t="s">
        <v>204</v>
      </c>
      <c r="O153" s="15" t="s">
        <v>57</v>
      </c>
      <c r="P153" s="15" t="s">
        <v>58</v>
      </c>
      <c r="Q153" s="15" t="s">
        <v>36</v>
      </c>
      <c r="R153" s="15" t="s">
        <v>1046</v>
      </c>
      <c r="S153" s="15" t="s">
        <v>514</v>
      </c>
      <c r="V153" s="15" t="s">
        <v>1037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3" s="9">
        <f>+DATE(YEAR(Control[[#This Row],[Fecha Requisición]]),MONTH(Control[[#This Row],[Fecha Requisición]]),1)</f>
        <v>46235</v>
      </c>
      <c r="Y153" s="14" t="str">
        <f>+IF(Control[[#This Row],[Fecha de entrega]]="","",NETWORKDAYS(Control[[#This Row],[Fecha Requisición]],Control[[#This Row],[Fecha de entrega]]))</f>
        <v/>
      </c>
      <c r="Z153" s="15"/>
      <c r="AA153" s="13">
        <f>+_xlfn.ISOWEEKNUM(Control[[#This Row],[Fecha Requisición]])</f>
        <v>34</v>
      </c>
    </row>
    <row r="154" spans="1:27">
      <c r="A154" s="15" t="s">
        <v>1047</v>
      </c>
      <c r="B154" s="15" t="s">
        <v>1048</v>
      </c>
      <c r="C154" s="15" t="s">
        <v>1048</v>
      </c>
      <c r="D154" s="15" t="s">
        <v>1127</v>
      </c>
      <c r="E154" s="15">
        <v>121</v>
      </c>
      <c r="F154" s="15" t="s">
        <v>1049</v>
      </c>
      <c r="G154" s="15" t="s">
        <v>1050</v>
      </c>
      <c r="H154" s="15" t="s">
        <v>1050</v>
      </c>
      <c r="I154" s="15" t="s">
        <v>1050</v>
      </c>
      <c r="J154" s="15" t="s">
        <v>30</v>
      </c>
      <c r="K154" s="5"/>
      <c r="L154" s="5" t="s">
        <v>31</v>
      </c>
      <c r="M154" s="15" t="s">
        <v>831</v>
      </c>
      <c r="N154" s="15" t="s">
        <v>766</v>
      </c>
      <c r="O154" s="15" t="s">
        <v>57</v>
      </c>
      <c r="P154" s="15" t="s">
        <v>35</v>
      </c>
      <c r="Q154" s="15" t="s">
        <v>94</v>
      </c>
      <c r="R154" s="15" t="s">
        <v>1128</v>
      </c>
      <c r="S154" s="15" t="s">
        <v>514</v>
      </c>
      <c r="U154" s="2">
        <v>46255</v>
      </c>
      <c r="V154" s="15" t="s">
        <v>1089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1</v>
      </c>
      <c r="Z154" s="15"/>
      <c r="AA154" s="13">
        <f>+_xlfn.ISOWEEKNUM(Control[[#This Row],[Fecha Requisición]])</f>
        <v>34</v>
      </c>
    </row>
    <row r="155" spans="1:27">
      <c r="A155" s="15" t="s">
        <v>1071</v>
      </c>
      <c r="B155" s="15" t="s">
        <v>1072</v>
      </c>
      <c r="C155" s="15" t="s">
        <v>1073</v>
      </c>
      <c r="D155" s="15" t="s">
        <v>1129</v>
      </c>
      <c r="E155" s="15">
        <v>126</v>
      </c>
      <c r="F155" s="15" t="s">
        <v>1074</v>
      </c>
      <c r="G155" s="15" t="s">
        <v>1055</v>
      </c>
      <c r="H155" s="15" t="s">
        <v>1055</v>
      </c>
      <c r="I155" s="15" t="s">
        <v>1055</v>
      </c>
      <c r="J155" s="15" t="s">
        <v>39</v>
      </c>
      <c r="K155" s="5"/>
      <c r="L155" s="5" t="s">
        <v>31</v>
      </c>
      <c r="M155" s="15" t="s">
        <v>1130</v>
      </c>
      <c r="N155" s="15" t="s">
        <v>1075</v>
      </c>
      <c r="O155" s="15" t="s">
        <v>384</v>
      </c>
      <c r="P155" s="15" t="s">
        <v>124</v>
      </c>
      <c r="Q155" s="15" t="s">
        <v>59</v>
      </c>
      <c r="R155" s="15" t="s">
        <v>1131</v>
      </c>
      <c r="S155" s="15" t="s">
        <v>514</v>
      </c>
      <c r="V155" s="15" t="s">
        <v>1099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35</v>
      </c>
    </row>
    <row r="156" spans="1:27">
      <c r="A156" s="15" t="s">
        <v>199</v>
      </c>
      <c r="B156" s="15" t="s">
        <v>200</v>
      </c>
      <c r="C156" s="15" t="s">
        <v>201</v>
      </c>
      <c r="D156" s="15"/>
      <c r="E156" s="15">
        <v>18</v>
      </c>
      <c r="F156" s="15" t="s">
        <v>202</v>
      </c>
      <c r="G156" s="15" t="s">
        <v>203</v>
      </c>
      <c r="H156" s="15" t="s">
        <v>203</v>
      </c>
      <c r="I156" s="15"/>
      <c r="J156" s="15"/>
      <c r="K156" s="5"/>
      <c r="L156" s="5" t="s">
        <v>55</v>
      </c>
      <c r="M156" s="15"/>
      <c r="N156" s="15" t="s">
        <v>204</v>
      </c>
      <c r="O156" s="15" t="s">
        <v>86</v>
      </c>
      <c r="P156" s="15" t="s">
        <v>58</v>
      </c>
      <c r="Q156" s="15" t="s">
        <v>36</v>
      </c>
      <c r="R156" s="15"/>
      <c r="S156" s="15" t="s">
        <v>641</v>
      </c>
      <c r="V156" s="15" t="s">
        <v>641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6" s="9">
        <f>+DATE(YEAR(Control[[#This Row],[Fecha Requisición]]),MONTH(Control[[#This Row],[Fecha Requisición]]),1)</f>
        <v>46174</v>
      </c>
      <c r="Y156" s="14" t="str">
        <f>+IF(Control[[#This Row],[Fecha de entrega]]="","",NETWORKDAYS(Control[[#This Row],[Fecha Requisición]],Control[[#This Row],[Fecha de entrega]]))</f>
        <v/>
      </c>
      <c r="Z156" s="15"/>
      <c r="AA156" s="13">
        <f>+_xlfn.ISOWEEKNUM(Control[[#This Row],[Fecha Requisición]])</f>
        <v>23</v>
      </c>
    </row>
    <row r="157" spans="1:27">
      <c r="A157" s="15" t="s">
        <v>205</v>
      </c>
      <c r="B157" s="15" t="s">
        <v>206</v>
      </c>
      <c r="C157" s="15" t="s">
        <v>716</v>
      </c>
      <c r="D157" s="15"/>
      <c r="E157" s="15">
        <v>21</v>
      </c>
      <c r="F157" s="15" t="s">
        <v>207</v>
      </c>
      <c r="G157" s="15" t="s">
        <v>195</v>
      </c>
      <c r="H157" s="15" t="s">
        <v>195</v>
      </c>
      <c r="I157" s="15"/>
      <c r="J157" s="15"/>
      <c r="K157" s="5"/>
      <c r="L157" s="5" t="s">
        <v>31</v>
      </c>
      <c r="M157" s="15"/>
      <c r="N157" s="15" t="s">
        <v>167</v>
      </c>
      <c r="O157" s="15" t="s">
        <v>86</v>
      </c>
      <c r="P157" s="15" t="s">
        <v>35</v>
      </c>
      <c r="Q157" s="15" t="s">
        <v>36</v>
      </c>
      <c r="R157" s="15"/>
      <c r="S157" s="15" t="s">
        <v>641</v>
      </c>
      <c r="V157" s="15" t="s">
        <v>641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46174</v>
      </c>
      <c r="Y157" s="14" t="str">
        <f>+IF(Control[[#This Row],[Fecha de entrega]]="","",NETWORKDAYS(Control[[#This Row],[Fecha Requisición]],Control[[#This Row],[Fecha de entrega]]))</f>
        <v/>
      </c>
      <c r="Z157" s="15"/>
      <c r="AA157" s="13">
        <f>+_xlfn.ISOWEEKNUM(Control[[#This Row],[Fecha Requisición]])</f>
        <v>23</v>
      </c>
    </row>
    <row r="158" spans="1:27">
      <c r="A158" s="15" t="s">
        <v>208</v>
      </c>
      <c r="B158" s="15" t="s">
        <v>209</v>
      </c>
      <c r="C158" s="15" t="s">
        <v>210</v>
      </c>
      <c r="D158" s="15"/>
      <c r="E158" s="15">
        <v>26</v>
      </c>
      <c r="F158" s="15" t="s">
        <v>211</v>
      </c>
      <c r="G158" s="15" t="s">
        <v>212</v>
      </c>
      <c r="H158" s="15" t="s">
        <v>212</v>
      </c>
      <c r="I158" s="15"/>
      <c r="J158" s="15"/>
      <c r="K158" s="5"/>
      <c r="L158" s="5" t="s">
        <v>31</v>
      </c>
      <c r="M158" s="15"/>
      <c r="N158" s="15" t="s">
        <v>213</v>
      </c>
      <c r="O158" s="15" t="s">
        <v>101</v>
      </c>
      <c r="P158" s="15" t="s">
        <v>124</v>
      </c>
      <c r="Q158" s="15" t="s">
        <v>36</v>
      </c>
      <c r="R158" s="15"/>
      <c r="S158" s="15" t="s">
        <v>641</v>
      </c>
      <c r="V158" s="15" t="s">
        <v>641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8" s="9">
        <f>+DATE(YEAR(Control[[#This Row],[Fecha Requisición]]),MONTH(Control[[#This Row],[Fecha Requisición]]),1)</f>
        <v>46174</v>
      </c>
      <c r="Y158" s="14" t="str">
        <f>+IF(Control[[#This Row],[Fecha de entrega]]="","",NETWORKDAYS(Control[[#This Row],[Fecha Requisición]],Control[[#This Row],[Fecha de entrega]]))</f>
        <v/>
      </c>
      <c r="Z158" s="15"/>
      <c r="AA158" s="13">
        <f>+_xlfn.ISOWEEKNUM(Control[[#This Row],[Fecha Requisición]])</f>
        <v>25</v>
      </c>
    </row>
    <row r="159" spans="1:27">
      <c r="A159" s="15" t="s">
        <v>214</v>
      </c>
      <c r="B159" s="15" t="s">
        <v>215</v>
      </c>
      <c r="C159" s="15" t="s">
        <v>216</v>
      </c>
      <c r="D159" s="15"/>
      <c r="E159" s="15">
        <v>27</v>
      </c>
      <c r="F159" s="15" t="s">
        <v>217</v>
      </c>
      <c r="G159" s="15" t="s">
        <v>218</v>
      </c>
      <c r="H159" s="15" t="s">
        <v>218</v>
      </c>
      <c r="I159" s="15"/>
      <c r="J159" s="15"/>
      <c r="K159" s="5"/>
      <c r="L159" s="5" t="s">
        <v>31</v>
      </c>
      <c r="M159" s="15"/>
      <c r="N159" s="15" t="s">
        <v>219</v>
      </c>
      <c r="O159" s="15" t="s">
        <v>101</v>
      </c>
      <c r="P159" s="15" t="s">
        <v>124</v>
      </c>
      <c r="Q159" s="15" t="s">
        <v>36</v>
      </c>
      <c r="R159" s="15"/>
      <c r="S159" s="15" t="s">
        <v>641</v>
      </c>
      <c r="V159" s="15" t="s">
        <v>641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9" s="9">
        <f>+DATE(YEAR(Control[[#This Row],[Fecha Requisición]]),MONTH(Control[[#This Row],[Fecha Requisición]]),1)</f>
        <v>46174</v>
      </c>
      <c r="Y159" s="14" t="str">
        <f>+IF(Control[[#This Row],[Fecha de entrega]]="","",NETWORKDAYS(Control[[#This Row],[Fecha Requisición]],Control[[#This Row],[Fecha de entrega]]))</f>
        <v/>
      </c>
      <c r="Z159" s="15"/>
      <c r="AA159" s="13">
        <f>+_xlfn.ISOWEEKNUM(Control[[#This Row],[Fecha Requisición]])</f>
        <v>24</v>
      </c>
    </row>
    <row r="160" spans="1:27">
      <c r="A160" s="15" t="s">
        <v>220</v>
      </c>
      <c r="B160" s="15" t="s">
        <v>221</v>
      </c>
      <c r="C160" s="15" t="s">
        <v>222</v>
      </c>
      <c r="D160" s="15"/>
      <c r="E160" s="15">
        <v>28</v>
      </c>
      <c r="F160" s="15" t="s">
        <v>223</v>
      </c>
      <c r="G160" s="15" t="s">
        <v>218</v>
      </c>
      <c r="H160" s="15" t="s">
        <v>218</v>
      </c>
      <c r="I160" s="15"/>
      <c r="J160" s="15"/>
      <c r="K160" s="5"/>
      <c r="L160" s="5" t="s">
        <v>31</v>
      </c>
      <c r="M160" s="15"/>
      <c r="N160" s="15" t="s">
        <v>158</v>
      </c>
      <c r="O160" s="15" t="s">
        <v>57</v>
      </c>
      <c r="P160" s="15" t="s">
        <v>124</v>
      </c>
      <c r="Q160" s="15" t="s">
        <v>36</v>
      </c>
      <c r="R160" s="15"/>
      <c r="S160" s="15" t="s">
        <v>641</v>
      </c>
      <c r="V160" s="15" t="s">
        <v>641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0" s="9">
        <f>+DATE(YEAR(Control[[#This Row],[Fecha Requisición]]),MONTH(Control[[#This Row],[Fecha Requisición]]),1)</f>
        <v>46174</v>
      </c>
      <c r="Y160" s="14" t="str">
        <f>+IF(Control[[#This Row],[Fecha de entrega]]="","",NETWORKDAYS(Control[[#This Row],[Fecha Requisición]],Control[[#This Row],[Fecha de entrega]]))</f>
        <v/>
      </c>
      <c r="Z160" s="15"/>
      <c r="AA160" s="13">
        <f>+_xlfn.ISOWEEKNUM(Control[[#This Row],[Fecha Requisición]])</f>
        <v>24</v>
      </c>
    </row>
    <row r="161" spans="1:27">
      <c r="A161" s="15" t="s">
        <v>224</v>
      </c>
      <c r="B161" s="15" t="s">
        <v>225</v>
      </c>
      <c r="C161" s="15" t="s">
        <v>226</v>
      </c>
      <c r="D161" s="15"/>
      <c r="E161" s="15">
        <v>29</v>
      </c>
      <c r="F161" s="15" t="s">
        <v>227</v>
      </c>
      <c r="G161" s="15" t="s">
        <v>212</v>
      </c>
      <c r="H161" s="15" t="s">
        <v>212</v>
      </c>
      <c r="I161" s="15"/>
      <c r="J161" s="15"/>
      <c r="K161" s="5"/>
      <c r="L161" s="5" t="s">
        <v>31</v>
      </c>
      <c r="M161" s="15"/>
      <c r="N161" s="15" t="s">
        <v>219</v>
      </c>
      <c r="O161" s="15" t="s">
        <v>101</v>
      </c>
      <c r="P161" s="15" t="s">
        <v>124</v>
      </c>
      <c r="Q161" s="15" t="s">
        <v>36</v>
      </c>
      <c r="R161" s="15"/>
      <c r="S161" s="15" t="s">
        <v>641</v>
      </c>
      <c r="V161" s="15" t="s">
        <v>641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1" s="9">
        <f>+DATE(YEAR(Control[[#This Row],[Fecha Requisición]]),MONTH(Control[[#This Row],[Fecha Requisición]]),1)</f>
        <v>46174</v>
      </c>
      <c r="Y161" s="14" t="str">
        <f>+IF(Control[[#This Row],[Fecha de entrega]]="","",NETWORKDAYS(Control[[#This Row],[Fecha Requisición]],Control[[#This Row],[Fecha de entrega]]))</f>
        <v/>
      </c>
      <c r="Z161" s="15"/>
      <c r="AA161" s="13">
        <f>+_xlfn.ISOWEEKNUM(Control[[#This Row],[Fecha Requisición]])</f>
        <v>25</v>
      </c>
    </row>
    <row r="162" spans="1:27">
      <c r="A162" s="21" t="s">
        <v>379</v>
      </c>
      <c r="B162" s="21" t="s">
        <v>380</v>
      </c>
      <c r="C162" s="21" t="s">
        <v>602</v>
      </c>
      <c r="D162" s="21"/>
      <c r="E162" s="21">
        <v>47</v>
      </c>
      <c r="F162" s="21" t="s">
        <v>381</v>
      </c>
      <c r="G162" s="21" t="s">
        <v>382</v>
      </c>
      <c r="H162" s="21" t="s">
        <v>382</v>
      </c>
      <c r="I162" s="21"/>
      <c r="J162" s="21"/>
      <c r="K162" s="5"/>
      <c r="L162" s="5" t="s">
        <v>55</v>
      </c>
      <c r="M162" s="21"/>
      <c r="N162" s="21" t="s">
        <v>383</v>
      </c>
      <c r="O162" s="21" t="s">
        <v>384</v>
      </c>
      <c r="P162" s="21" t="s">
        <v>58</v>
      </c>
      <c r="Q162" s="21" t="s">
        <v>36</v>
      </c>
      <c r="R162" s="21"/>
      <c r="S162" s="21" t="s">
        <v>641</v>
      </c>
      <c r="V162" s="21" t="s">
        <v>641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2" s="9">
        <f>+DATE(YEAR(Control[[#This Row],[Fecha Requisición]]),MONTH(Control[[#This Row],[Fecha Requisición]]),1)</f>
        <v>46204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28</v>
      </c>
    </row>
    <row r="163" spans="1:27">
      <c r="A163" s="21" t="s">
        <v>385</v>
      </c>
      <c r="B163" s="21" t="s">
        <v>386</v>
      </c>
      <c r="C163" s="21" t="s">
        <v>603</v>
      </c>
      <c r="D163" s="21"/>
      <c r="E163" s="21">
        <v>48</v>
      </c>
      <c r="F163" s="21" t="s">
        <v>387</v>
      </c>
      <c r="G163" s="21" t="s">
        <v>382</v>
      </c>
      <c r="H163" s="21" t="s">
        <v>382</v>
      </c>
      <c r="I163" s="21"/>
      <c r="J163" s="21"/>
      <c r="K163" s="5"/>
      <c r="L163" s="5"/>
      <c r="M163" s="21"/>
      <c r="N163" s="21" t="s">
        <v>388</v>
      </c>
      <c r="O163" s="21" t="s">
        <v>176</v>
      </c>
      <c r="P163" s="21" t="s">
        <v>58</v>
      </c>
      <c r="Q163" s="21" t="s">
        <v>94</v>
      </c>
      <c r="R163" s="21"/>
      <c r="S163" s="21" t="s">
        <v>641</v>
      </c>
      <c r="V163" s="21" t="s">
        <v>641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3" s="9">
        <f>+DATE(YEAR(Control[[#This Row],[Fecha Requisición]]),MONTH(Control[[#This Row],[Fecha Requisición]]),1)</f>
        <v>46204</v>
      </c>
      <c r="Y163" s="14" t="str">
        <f>+IF(Control[[#This Row],[Fecha de entrega]]="","",NETWORKDAYS(Control[[#This Row],[Fecha Requisición]],Control[[#This Row],[Fecha de entrega]]))</f>
        <v/>
      </c>
      <c r="Z163" s="21"/>
      <c r="AA163" s="13">
        <f>+_xlfn.ISOWEEKNUM(Control[[#This Row],[Fecha Requisición]])</f>
        <v>28</v>
      </c>
    </row>
    <row r="164" spans="1:27">
      <c r="A164" s="21" t="s">
        <v>634</v>
      </c>
      <c r="B164" s="21" t="s">
        <v>635</v>
      </c>
      <c r="C164" s="21" t="s">
        <v>673</v>
      </c>
      <c r="D164" s="21"/>
      <c r="E164" s="21">
        <v>71</v>
      </c>
      <c r="F164" s="21" t="s">
        <v>636</v>
      </c>
      <c r="G164" s="21" t="s">
        <v>637</v>
      </c>
      <c r="H164" s="21" t="s">
        <v>637</v>
      </c>
      <c r="I164" s="21"/>
      <c r="J164" s="21"/>
      <c r="K164" s="5"/>
      <c r="L164" s="5" t="s">
        <v>31</v>
      </c>
      <c r="M164" s="21"/>
      <c r="N164" s="21" t="s">
        <v>307</v>
      </c>
      <c r="O164" s="21" t="s">
        <v>86</v>
      </c>
      <c r="P164" s="21" t="s">
        <v>124</v>
      </c>
      <c r="Q164" s="21" t="s">
        <v>36</v>
      </c>
      <c r="R164" s="21"/>
      <c r="S164" s="21" t="s">
        <v>724</v>
      </c>
      <c r="V164" s="21" t="s">
        <v>641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4" s="9">
        <f>+DATE(YEAR(Control[[#This Row],[Fecha Requisición]]),MONTH(Control[[#This Row],[Fecha Requisición]]),1)</f>
        <v>46204</v>
      </c>
      <c r="Y164" s="14" t="str">
        <f>+IF(Control[[#This Row],[Fecha de entrega]]="","",NETWORKDAYS(Control[[#This Row],[Fecha Requisición]],Control[[#This Row],[Fecha de entrega]]))</f>
        <v/>
      </c>
      <c r="Z164" s="21"/>
      <c r="AA164" s="13">
        <f>+_xlfn.ISOWEEKNUM(Control[[#This Row],[Fecha Requisición]])</f>
        <v>30</v>
      </c>
    </row>
    <row r="165" spans="1:27">
      <c r="A165" s="21" t="s">
        <v>638</v>
      </c>
      <c r="B165" s="21" t="s">
        <v>639</v>
      </c>
      <c r="C165" s="21" t="s">
        <v>674</v>
      </c>
      <c r="D165" s="21"/>
      <c r="E165" s="21">
        <v>72</v>
      </c>
      <c r="F165" s="21" t="s">
        <v>640</v>
      </c>
      <c r="G165" s="21" t="s">
        <v>637</v>
      </c>
      <c r="H165" s="21" t="s">
        <v>637</v>
      </c>
      <c r="I165" s="21"/>
      <c r="J165" s="21"/>
      <c r="K165" s="5"/>
      <c r="L165" s="5" t="s">
        <v>31</v>
      </c>
      <c r="M165" s="21"/>
      <c r="N165" s="21" t="s">
        <v>307</v>
      </c>
      <c r="O165" s="21" t="s">
        <v>86</v>
      </c>
      <c r="P165" s="21" t="s">
        <v>124</v>
      </c>
      <c r="Q165" s="21" t="s">
        <v>36</v>
      </c>
      <c r="R165" s="21"/>
      <c r="S165" s="21" t="s">
        <v>641</v>
      </c>
      <c r="V165" s="21" t="s">
        <v>641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5" s="9">
        <f>+DATE(YEAR(Control[[#This Row],[Fecha Requisición]]),MONTH(Control[[#This Row],[Fecha Requisición]]),1)</f>
        <v>46204</v>
      </c>
      <c r="Y165" s="14" t="str">
        <f>+IF(Control[[#This Row],[Fecha de entrega]]="","",NETWORKDAYS(Control[[#This Row],[Fecha Requisición]],Control[[#This Row],[Fecha de entrega]]))</f>
        <v/>
      </c>
      <c r="Z165" s="21"/>
      <c r="AA165" s="13">
        <f>+_xlfn.ISOWEEKNUM(Control[[#This Row],[Fecha Requisición]])</f>
        <v>30</v>
      </c>
    </row>
    <row r="166" spans="1:27">
      <c r="A166" s="21" t="s">
        <v>755</v>
      </c>
      <c r="B166" s="21" t="s">
        <v>756</v>
      </c>
      <c r="C166" s="21" t="s">
        <v>757</v>
      </c>
      <c r="D166" s="21"/>
      <c r="E166" s="21">
        <v>79</v>
      </c>
      <c r="F166" s="21" t="s">
        <v>758</v>
      </c>
      <c r="G166" s="21" t="s">
        <v>748</v>
      </c>
      <c r="H166" s="21" t="s">
        <v>748</v>
      </c>
      <c r="I166" s="21"/>
      <c r="J166" s="21"/>
      <c r="K166" s="5"/>
      <c r="L166" s="5" t="s">
        <v>55</v>
      </c>
      <c r="M166" s="21"/>
      <c r="N166" s="21" t="s">
        <v>705</v>
      </c>
      <c r="O166" s="21" t="s">
        <v>101</v>
      </c>
      <c r="P166" s="21" t="s">
        <v>58</v>
      </c>
      <c r="Q166" s="21" t="s">
        <v>36</v>
      </c>
      <c r="R166" s="21"/>
      <c r="S166" s="21" t="s">
        <v>514</v>
      </c>
      <c r="U166" s="2">
        <v>415134</v>
      </c>
      <c r="V166" s="21" t="s">
        <v>818</v>
      </c>
      <c r="W166" s="13" t="s">
        <v>440</v>
      </c>
      <c r="X166" s="9">
        <f>+DATE(YEAR(Control[[#This Row],[Fecha Requisición]]),MONTH(Control[[#This Row],[Fecha Requisición]]),1)</f>
        <v>46204</v>
      </c>
      <c r="Y166" s="14">
        <f>+IF(Control[[#This Row],[Fecha de entrega]]="","",NETWORKDAYS(Control[[#This Row],[Fecha Requisición]],Control[[#This Row],[Fecha de entrega]]))</f>
        <v>263502</v>
      </c>
      <c r="Z166" s="21"/>
      <c r="AA166" s="13">
        <f>+_xlfn.ISOWEEKNUM(Control[[#This Row],[Fecha Requisición]])</f>
        <v>31</v>
      </c>
    </row>
    <row r="167" spans="1:27">
      <c r="A167" s="21" t="s">
        <v>778</v>
      </c>
      <c r="B167" s="21" t="s">
        <v>779</v>
      </c>
      <c r="C167" s="21" t="s">
        <v>834</v>
      </c>
      <c r="D167" s="21"/>
      <c r="E167" s="21">
        <v>82</v>
      </c>
      <c r="F167" s="21" t="s">
        <v>780</v>
      </c>
      <c r="G167" s="21" t="s">
        <v>781</v>
      </c>
      <c r="H167" s="21" t="s">
        <v>781</v>
      </c>
      <c r="I167" s="21"/>
      <c r="J167" s="21"/>
      <c r="K167" s="5"/>
      <c r="L167" s="5"/>
      <c r="M167" s="21"/>
      <c r="N167" s="21"/>
      <c r="O167" s="21" t="s">
        <v>57</v>
      </c>
      <c r="P167" s="21" t="s">
        <v>35</v>
      </c>
      <c r="Q167" s="21" t="s">
        <v>94</v>
      </c>
      <c r="R167" s="21"/>
      <c r="S167" s="21" t="s">
        <v>514</v>
      </c>
      <c r="U167" s="2">
        <v>46239</v>
      </c>
      <c r="V167" s="21" t="s">
        <v>642</v>
      </c>
      <c r="W167" s="13" t="s">
        <v>440</v>
      </c>
      <c r="X167" s="9">
        <f>+DATE(YEAR(Control[[#This Row],[Fecha Requisición]]),MONTH(Control[[#This Row],[Fecha Requisición]]),1)</f>
        <v>46204</v>
      </c>
      <c r="Y167" s="14">
        <f>+IF(Control[[#This Row],[Fecha de entrega]]="","",NETWORKDAYS(Control[[#This Row],[Fecha Requisición]],Control[[#This Row],[Fecha de entrega]]))</f>
        <v>6</v>
      </c>
      <c r="Z167" s="21"/>
      <c r="AA167" s="13">
        <f>+_xlfn.ISOWEEKNUM(Control[[#This Row],[Fecha Requisición]])</f>
        <v>31</v>
      </c>
    </row>
    <row r="168" spans="1:27">
      <c r="A168" s="21" t="s">
        <v>805</v>
      </c>
      <c r="B168" s="21" t="s">
        <v>806</v>
      </c>
      <c r="C168" s="21"/>
      <c r="D168" s="21"/>
      <c r="E168" s="21">
        <v>90</v>
      </c>
      <c r="F168" s="21" t="s">
        <v>807</v>
      </c>
      <c r="G168" s="21" t="s">
        <v>808</v>
      </c>
      <c r="H168" s="21"/>
      <c r="I168" s="21"/>
      <c r="J168" s="21"/>
      <c r="K168" s="5"/>
      <c r="L168" s="5" t="s">
        <v>31</v>
      </c>
      <c r="M168" s="21"/>
      <c r="N168" s="21" t="s">
        <v>307</v>
      </c>
      <c r="O168" s="21" t="s">
        <v>57</v>
      </c>
      <c r="P168" s="21" t="s">
        <v>124</v>
      </c>
      <c r="Q168" s="21" t="s">
        <v>36</v>
      </c>
      <c r="R168" s="21"/>
      <c r="S168" s="21" t="s">
        <v>514</v>
      </c>
      <c r="U168" s="2">
        <v>46237</v>
      </c>
      <c r="V168" s="21" t="s">
        <v>820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68" s="9">
        <f>+DATE(YEAR(Control[[#This Row],[Fecha Requisición]]),MONTH(Control[[#This Row],[Fecha Requisición]]),1)</f>
        <v>46204</v>
      </c>
      <c r="Y168" s="14">
        <f>+IF(Control[[#This Row],[Fecha de entrega]]="","",NETWORKDAYS(Control[[#This Row],[Fecha Requisición]],Control[[#This Row],[Fecha de entrega]]))</f>
        <v>22</v>
      </c>
      <c r="Z168" s="21"/>
      <c r="AA168" s="13">
        <f>+_xlfn.ISOWEEKNUM(Control[[#This Row],[Fecha Requisición]])</f>
        <v>27</v>
      </c>
    </row>
    <row r="169" spans="1:27">
      <c r="A169" s="21" t="s">
        <v>809</v>
      </c>
      <c r="B169" s="21" t="s">
        <v>810</v>
      </c>
      <c r="C169" s="21"/>
      <c r="D169" s="21"/>
      <c r="E169" s="21">
        <v>91</v>
      </c>
      <c r="F169" s="21" t="s">
        <v>811</v>
      </c>
      <c r="G169" s="21" t="s">
        <v>808</v>
      </c>
      <c r="H169" s="21"/>
      <c r="I169" s="21"/>
      <c r="J169" s="21"/>
      <c r="K169" s="5"/>
      <c r="L169" s="5" t="s">
        <v>31</v>
      </c>
      <c r="M169" s="21"/>
      <c r="N169" s="21" t="s">
        <v>307</v>
      </c>
      <c r="O169" s="21" t="s">
        <v>57</v>
      </c>
      <c r="P169" s="21" t="s">
        <v>124</v>
      </c>
      <c r="Q169" s="21" t="s">
        <v>36</v>
      </c>
      <c r="R169" s="21"/>
      <c r="S169" s="21" t="s">
        <v>514</v>
      </c>
      <c r="U169" s="2">
        <v>46237</v>
      </c>
      <c r="V169" s="21" t="s">
        <v>820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69" s="9">
        <f>+DATE(YEAR(Control[[#This Row],[Fecha Requisición]]),MONTH(Control[[#This Row],[Fecha Requisición]]),1)</f>
        <v>46204</v>
      </c>
      <c r="Y169" s="14">
        <f>+IF(Control[[#This Row],[Fecha de entrega]]="","",NETWORKDAYS(Control[[#This Row],[Fecha Requisición]],Control[[#This Row],[Fecha de entrega]]))</f>
        <v>22</v>
      </c>
      <c r="Z169" s="21"/>
      <c r="AA169" s="13">
        <f>+_xlfn.ISOWEEKNUM(Control[[#This Row],[Fecha Requisición]])</f>
        <v>27</v>
      </c>
    </row>
    <row r="170" spans="1:27">
      <c r="A170" s="21" t="s">
        <v>815</v>
      </c>
      <c r="B170" s="21" t="s">
        <v>816</v>
      </c>
      <c r="C170" s="21" t="s">
        <v>842</v>
      </c>
      <c r="D170" s="21"/>
      <c r="E170" s="21">
        <v>93</v>
      </c>
      <c r="F170" s="21" t="s">
        <v>817</v>
      </c>
      <c r="G170" s="21" t="s">
        <v>772</v>
      </c>
      <c r="H170" s="21" t="s">
        <v>772</v>
      </c>
      <c r="I170" s="21"/>
      <c r="J170" s="21"/>
      <c r="K170" s="5"/>
      <c r="L170" s="5" t="s">
        <v>55</v>
      </c>
      <c r="M170" s="21"/>
      <c r="N170" s="21" t="s">
        <v>213</v>
      </c>
      <c r="O170" s="21" t="s">
        <v>197</v>
      </c>
      <c r="P170" s="21" t="s">
        <v>58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46204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31</v>
      </c>
    </row>
    <row r="171" spans="1:27">
      <c r="A171" s="21" t="s">
        <v>1019</v>
      </c>
      <c r="B171" s="21" t="s">
        <v>1020</v>
      </c>
      <c r="C171" s="21" t="s">
        <v>1021</v>
      </c>
      <c r="D171" s="21"/>
      <c r="E171" s="21">
        <v>117</v>
      </c>
      <c r="F171" s="21" t="s">
        <v>1022</v>
      </c>
      <c r="G171" s="21" t="s">
        <v>1023</v>
      </c>
      <c r="H171" s="21" t="s">
        <v>1023</v>
      </c>
      <c r="I171" s="21"/>
      <c r="J171" s="21"/>
      <c r="K171" s="5"/>
      <c r="L171" s="5" t="s">
        <v>55</v>
      </c>
      <c r="M171" s="21"/>
      <c r="N171" s="21" t="s">
        <v>93</v>
      </c>
      <c r="O171" s="21" t="s">
        <v>867</v>
      </c>
      <c r="P171" s="21" t="s">
        <v>58</v>
      </c>
      <c r="Q171" s="21" t="s">
        <v>94</v>
      </c>
      <c r="R171" s="21"/>
      <c r="S171" s="21" t="s">
        <v>514</v>
      </c>
      <c r="T171" s="2">
        <v>46254</v>
      </c>
      <c r="U171" s="2">
        <v>46259</v>
      </c>
      <c r="V171" s="21" t="s">
        <v>642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1" s="9">
        <f>+DATE(YEAR(Control[[#This Row],[Fecha Requisición]]),MONTH(Control[[#This Row],[Fecha Requisición]]),1)</f>
        <v>46235</v>
      </c>
      <c r="Y171" s="14">
        <f>+IF(Control[[#This Row],[Fecha de entrega]]="","",NETWORKDAYS(Control[[#This Row],[Fecha Requisición]],Control[[#This Row],[Fecha de entrega]]))</f>
        <v>6</v>
      </c>
      <c r="Z171" s="21"/>
      <c r="AA171" s="13">
        <f>+_xlfn.ISOWEEKNUM(Control[[#This Row],[Fecha Requisición]])</f>
        <v>34</v>
      </c>
    </row>
    <row r="172" spans="1:27">
      <c r="A172" s="21" t="s">
        <v>1038</v>
      </c>
      <c r="B172" s="21" t="s">
        <v>1039</v>
      </c>
      <c r="C172" s="21" t="s">
        <v>1040</v>
      </c>
      <c r="D172" s="21"/>
      <c r="E172" s="21">
        <v>120</v>
      </c>
      <c r="F172" s="21" t="s">
        <v>1041</v>
      </c>
      <c r="G172" s="21" t="s">
        <v>1042</v>
      </c>
      <c r="H172" s="21" t="s">
        <v>1042</v>
      </c>
      <c r="I172" s="21"/>
      <c r="J172" s="21"/>
      <c r="K172" s="5"/>
      <c r="L172" s="5" t="s">
        <v>31</v>
      </c>
      <c r="M172" s="21"/>
      <c r="N172" s="21" t="s">
        <v>910</v>
      </c>
      <c r="O172" s="21" t="s">
        <v>197</v>
      </c>
      <c r="P172" s="21" t="s">
        <v>273</v>
      </c>
      <c r="Q172" s="21" t="s">
        <v>59</v>
      </c>
      <c r="R172" s="21"/>
      <c r="S172" s="21" t="s">
        <v>517</v>
      </c>
      <c r="V172" s="21" t="s">
        <v>819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2" s="9">
        <f>+DATE(YEAR(Control[[#This Row],[Fecha Requisición]]),MONTH(Control[[#This Row],[Fecha Requisición]]),1)</f>
        <v>46235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34</v>
      </c>
    </row>
    <row r="173" spans="1:27">
      <c r="A173" s="21" t="s">
        <v>1051</v>
      </c>
      <c r="B173" s="21" t="s">
        <v>1052</v>
      </c>
      <c r="C173" s="21" t="s">
        <v>1053</v>
      </c>
      <c r="D173" s="21"/>
      <c r="E173" s="21">
        <v>122</v>
      </c>
      <c r="F173" s="21" t="s">
        <v>1054</v>
      </c>
      <c r="G173" s="21" t="s">
        <v>1055</v>
      </c>
      <c r="H173" s="21" t="s">
        <v>1055</v>
      </c>
      <c r="I173" s="21"/>
      <c r="J173" s="21"/>
      <c r="K173" s="5"/>
      <c r="L173" s="5" t="s">
        <v>55</v>
      </c>
      <c r="M173" s="21"/>
      <c r="N173" s="21" t="s">
        <v>93</v>
      </c>
      <c r="O173" s="21" t="s">
        <v>57</v>
      </c>
      <c r="P173" s="21" t="s">
        <v>58</v>
      </c>
      <c r="Q173" s="21" t="s">
        <v>94</v>
      </c>
      <c r="R173" s="21"/>
      <c r="S173" s="21" t="s">
        <v>514</v>
      </c>
      <c r="V173" s="21" t="s">
        <v>1090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3" s="9">
        <f>+DATE(YEAR(Control[[#This Row],[Fecha Requisición]]),MONTH(Control[[#This Row],[Fecha Requisición]]),1)</f>
        <v>46235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35</v>
      </c>
    </row>
    <row r="174" spans="1:27">
      <c r="A174" s="21" t="s">
        <v>1056</v>
      </c>
      <c r="B174" s="21" t="s">
        <v>1057</v>
      </c>
      <c r="C174" s="21" t="s">
        <v>1058</v>
      </c>
      <c r="D174" s="21"/>
      <c r="E174" s="21">
        <v>123</v>
      </c>
      <c r="F174" s="21" t="s">
        <v>1059</v>
      </c>
      <c r="G174" s="21" t="s">
        <v>1055</v>
      </c>
      <c r="H174" s="21" t="s">
        <v>1055</v>
      </c>
      <c r="I174" s="21"/>
      <c r="J174" s="21"/>
      <c r="K174" s="5"/>
      <c r="L174" s="5" t="s">
        <v>55</v>
      </c>
      <c r="M174" s="21"/>
      <c r="N174" s="21" t="s">
        <v>93</v>
      </c>
      <c r="O174" s="21" t="s">
        <v>101</v>
      </c>
      <c r="P174" s="21" t="s">
        <v>58</v>
      </c>
      <c r="Q174" s="21" t="s">
        <v>94</v>
      </c>
      <c r="R174" s="21"/>
      <c r="S174" s="21" t="s">
        <v>641</v>
      </c>
      <c r="V174" s="21" t="s">
        <v>1091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4" s="9">
        <f>+DATE(YEAR(Control[[#This Row],[Fecha Requisición]]),MONTH(Control[[#This Row],[Fecha Requisición]]),1)</f>
        <v>46235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35</v>
      </c>
    </row>
    <row r="175" spans="1:27">
      <c r="A175" s="21" t="s">
        <v>1060</v>
      </c>
      <c r="B175" s="21" t="s">
        <v>1061</v>
      </c>
      <c r="C175" s="21" t="s">
        <v>1062</v>
      </c>
      <c r="D175" s="21"/>
      <c r="E175" s="21">
        <v>124</v>
      </c>
      <c r="F175" s="21" t="s">
        <v>1063</v>
      </c>
      <c r="G175" s="21" t="s">
        <v>1055</v>
      </c>
      <c r="H175" s="21" t="s">
        <v>1055</v>
      </c>
      <c r="I175" s="21"/>
      <c r="J175" s="21"/>
      <c r="K175" s="5"/>
      <c r="L175" s="5"/>
      <c r="M175" s="21"/>
      <c r="N175" s="21"/>
      <c r="O175" s="21"/>
      <c r="P175" s="21"/>
      <c r="Q175" s="21"/>
      <c r="R175" s="21"/>
      <c r="S175" s="21" t="s">
        <v>514</v>
      </c>
      <c r="V175" s="21" t="s">
        <v>1098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5" s="9">
        <f>+DATE(YEAR(Control[[#This Row],[Fecha Requisición]]),MONTH(Control[[#This Row],[Fecha Requisición]]),1)</f>
        <v>46235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35</v>
      </c>
    </row>
    <row r="176" spans="1:27">
      <c r="A176" s="21" t="s">
        <v>1064</v>
      </c>
      <c r="B176" s="21" t="s">
        <v>1065</v>
      </c>
      <c r="C176" s="21" t="s">
        <v>1066</v>
      </c>
      <c r="D176" s="21"/>
      <c r="E176" s="21">
        <v>125</v>
      </c>
      <c r="F176" s="21" t="s">
        <v>1067</v>
      </c>
      <c r="G176" s="21" t="s">
        <v>1055</v>
      </c>
      <c r="H176" s="21" t="s">
        <v>1055</v>
      </c>
      <c r="I176" s="21"/>
      <c r="J176" s="21"/>
      <c r="K176" s="5"/>
      <c r="L176" s="5" t="s">
        <v>31</v>
      </c>
      <c r="M176" s="21"/>
      <c r="N176" s="21" t="s">
        <v>1068</v>
      </c>
      <c r="O176" s="21" t="s">
        <v>1069</v>
      </c>
      <c r="P176" s="21" t="s">
        <v>1070</v>
      </c>
      <c r="Q176" s="21" t="s">
        <v>94</v>
      </c>
      <c r="R176" s="21"/>
      <c r="S176" s="21" t="s">
        <v>514</v>
      </c>
      <c r="V176" s="21" t="s">
        <v>1149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6" s="9">
        <f>+DATE(YEAR(Control[[#This Row],[Fecha Requisición]]),MONTH(Control[[#This Row],[Fecha Requisición]]),1)</f>
        <v>46235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35</v>
      </c>
    </row>
    <row r="177" spans="1:27">
      <c r="A177" s="21" t="s">
        <v>1076</v>
      </c>
      <c r="B177" s="21" t="s">
        <v>1077</v>
      </c>
      <c r="C177" s="21" t="s">
        <v>1078</v>
      </c>
      <c r="D177" s="21"/>
      <c r="E177" s="21">
        <v>127</v>
      </c>
      <c r="F177" s="21" t="s">
        <v>1079</v>
      </c>
      <c r="G177" s="21" t="s">
        <v>1080</v>
      </c>
      <c r="H177" s="21" t="s">
        <v>1080</v>
      </c>
      <c r="I177" s="21"/>
      <c r="J177" s="21"/>
      <c r="K177" s="5"/>
      <c r="L177" s="5" t="s">
        <v>31</v>
      </c>
      <c r="M177" s="21"/>
      <c r="N177" s="21" t="s">
        <v>977</v>
      </c>
      <c r="O177" s="21" t="s">
        <v>57</v>
      </c>
      <c r="P177" s="21" t="s">
        <v>124</v>
      </c>
      <c r="Q177" s="21" t="s">
        <v>36</v>
      </c>
      <c r="R177" s="21"/>
      <c r="S177" s="21" t="s">
        <v>517</v>
      </c>
      <c r="V177" s="21" t="s">
        <v>819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7" s="9">
        <f>+DATE(YEAR(Control[[#This Row],[Fecha Requisición]]),MONTH(Control[[#This Row],[Fecha Requisición]]),1)</f>
        <v>46235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35</v>
      </c>
    </row>
    <row r="178" spans="1:27">
      <c r="A178" s="21" t="s">
        <v>1081</v>
      </c>
      <c r="B178" s="21" t="s">
        <v>1082</v>
      </c>
      <c r="C178" s="21" t="s">
        <v>1083</v>
      </c>
      <c r="D178" s="21"/>
      <c r="E178" s="21">
        <v>128</v>
      </c>
      <c r="F178" s="21" t="s">
        <v>1084</v>
      </c>
      <c r="G178" s="21" t="s">
        <v>1080</v>
      </c>
      <c r="H178" s="21" t="s">
        <v>1080</v>
      </c>
      <c r="I178" s="21"/>
      <c r="J178" s="21"/>
      <c r="K178" s="5"/>
      <c r="L178" s="5" t="s">
        <v>31</v>
      </c>
      <c r="M178" s="21"/>
      <c r="N178" s="21" t="s">
        <v>977</v>
      </c>
      <c r="O178" s="21" t="s">
        <v>101</v>
      </c>
      <c r="P178" s="21" t="s">
        <v>124</v>
      </c>
      <c r="Q178" s="21" t="s">
        <v>36</v>
      </c>
      <c r="R178" s="21"/>
      <c r="S178" s="21" t="s">
        <v>517</v>
      </c>
      <c r="V178" s="21" t="s">
        <v>819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8" s="9">
        <f>+DATE(YEAR(Control[[#This Row],[Fecha Requisición]]),MONTH(Control[[#This Row],[Fecha Requisición]]),1)</f>
        <v>46235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35</v>
      </c>
    </row>
    <row r="179" spans="1:27">
      <c r="A179" s="21" t="s">
        <v>1085</v>
      </c>
      <c r="B179" s="21" t="s">
        <v>1086</v>
      </c>
      <c r="C179" s="21" t="s">
        <v>1087</v>
      </c>
      <c r="D179" s="21"/>
      <c r="E179" s="21">
        <v>129</v>
      </c>
      <c r="F179" s="21" t="s">
        <v>1088</v>
      </c>
      <c r="G179" s="21" t="s">
        <v>1080</v>
      </c>
      <c r="H179" s="21" t="s">
        <v>1080</v>
      </c>
      <c r="I179" s="21"/>
      <c r="J179" s="21"/>
      <c r="K179" s="5"/>
      <c r="L179" s="5" t="s">
        <v>31</v>
      </c>
      <c r="M179" s="21"/>
      <c r="N179" s="21" t="s">
        <v>977</v>
      </c>
      <c r="O179" s="21" t="s">
        <v>123</v>
      </c>
      <c r="P179" s="21" t="s">
        <v>124</v>
      </c>
      <c r="Q179" s="21" t="s">
        <v>36</v>
      </c>
      <c r="R179" s="21"/>
      <c r="S179" s="21" t="s">
        <v>517</v>
      </c>
      <c r="V179" s="21" t="s">
        <v>819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9" s="9">
        <f>+DATE(YEAR(Control[[#This Row],[Fecha Requisición]]),MONTH(Control[[#This Row],[Fecha Requisición]]),1)</f>
        <v>46235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35</v>
      </c>
    </row>
    <row r="180" spans="1:27">
      <c r="A180" s="21" t="s">
        <v>1132</v>
      </c>
      <c r="B180" s="21" t="s">
        <v>1133</v>
      </c>
      <c r="C180" s="21" t="s">
        <v>1150</v>
      </c>
      <c r="D180" s="21"/>
      <c r="E180" s="21">
        <v>130</v>
      </c>
      <c r="F180" s="21" t="s">
        <v>1134</v>
      </c>
      <c r="G180" s="21" t="s">
        <v>1080</v>
      </c>
      <c r="H180" s="21" t="s">
        <v>1080</v>
      </c>
      <c r="I180" s="21"/>
      <c r="J180" s="21"/>
      <c r="K180" s="5"/>
      <c r="L180" s="5" t="s">
        <v>55</v>
      </c>
      <c r="M180" s="21"/>
      <c r="N180" s="21" t="s">
        <v>204</v>
      </c>
      <c r="O180" s="21" t="s">
        <v>101</v>
      </c>
      <c r="P180" s="21" t="s">
        <v>58</v>
      </c>
      <c r="Q180" s="21" t="s">
        <v>36</v>
      </c>
      <c r="R180" s="21"/>
      <c r="S180" s="21" t="s">
        <v>517</v>
      </c>
      <c r="V180" s="21" t="s">
        <v>819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0" s="9">
        <f>+DATE(YEAR(Control[[#This Row],[Fecha Requisición]]),MONTH(Control[[#This Row],[Fecha Requisición]]),1)</f>
        <v>46235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35</v>
      </c>
    </row>
    <row r="181" spans="1:27">
      <c r="A181" s="21" t="s">
        <v>1135</v>
      </c>
      <c r="B181" s="21" t="s">
        <v>1136</v>
      </c>
      <c r="C181" s="21" t="s">
        <v>1151</v>
      </c>
      <c r="D181" s="21"/>
      <c r="E181" s="21">
        <v>131</v>
      </c>
      <c r="F181" s="21" t="s">
        <v>1137</v>
      </c>
      <c r="G181" s="21" t="s">
        <v>1080</v>
      </c>
      <c r="H181" s="21" t="s">
        <v>1080</v>
      </c>
      <c r="I181" s="21"/>
      <c r="J181" s="21"/>
      <c r="K181" s="5"/>
      <c r="L181" s="5" t="s">
        <v>55</v>
      </c>
      <c r="M181" s="21"/>
      <c r="N181" s="21" t="s">
        <v>204</v>
      </c>
      <c r="O181" s="21" t="s">
        <v>101</v>
      </c>
      <c r="P181" s="21" t="s">
        <v>58</v>
      </c>
      <c r="Q181" s="21" t="s">
        <v>36</v>
      </c>
      <c r="R181" s="21"/>
      <c r="S181" s="21" t="s">
        <v>517</v>
      </c>
      <c r="V181" s="21" t="s">
        <v>819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1" s="9">
        <f>+DATE(YEAR(Control[[#This Row],[Fecha Requisición]]),MONTH(Control[[#This Row],[Fecha Requisición]]),1)</f>
        <v>46235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35</v>
      </c>
    </row>
    <row r="182" spans="1:27">
      <c r="A182" s="21" t="s">
        <v>1138</v>
      </c>
      <c r="B182" s="21" t="s">
        <v>1139</v>
      </c>
      <c r="C182" s="21" t="s">
        <v>1140</v>
      </c>
      <c r="D182" s="21"/>
      <c r="E182" s="21">
        <v>132</v>
      </c>
      <c r="F182" s="21" t="s">
        <v>1141</v>
      </c>
      <c r="G182" s="21" t="s">
        <v>1080</v>
      </c>
      <c r="H182" s="21" t="s">
        <v>1080</v>
      </c>
      <c r="I182" s="21"/>
      <c r="J182" s="21"/>
      <c r="K182" s="5"/>
      <c r="L182" s="5"/>
      <c r="M182" s="21"/>
      <c r="N182" s="21"/>
      <c r="O182" s="21"/>
      <c r="P182" s="21"/>
      <c r="Q182" s="21"/>
      <c r="R182" s="21"/>
      <c r="S182" s="21" t="s">
        <v>517</v>
      </c>
      <c r="V182" s="21" t="s">
        <v>819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>
      <c r="A183" s="21" t="s">
        <v>1142</v>
      </c>
      <c r="B183" s="21" t="s">
        <v>1143</v>
      </c>
      <c r="C183" s="21" t="s">
        <v>1152</v>
      </c>
      <c r="D183" s="21"/>
      <c r="E183" s="21">
        <v>133</v>
      </c>
      <c r="F183" s="21" t="s">
        <v>1144</v>
      </c>
      <c r="G183" s="21" t="s">
        <v>1080</v>
      </c>
      <c r="H183" s="21" t="s">
        <v>1080</v>
      </c>
      <c r="I183" s="21"/>
      <c r="J183" s="21"/>
      <c r="K183" s="5"/>
      <c r="L183" s="5" t="s">
        <v>55</v>
      </c>
      <c r="M183" s="21"/>
      <c r="N183" s="21" t="s">
        <v>204</v>
      </c>
      <c r="O183" s="21" t="s">
        <v>57</v>
      </c>
      <c r="P183" s="21" t="s">
        <v>58</v>
      </c>
      <c r="Q183" s="21" t="s">
        <v>36</v>
      </c>
      <c r="R183" s="21"/>
      <c r="S183" s="21" t="s">
        <v>517</v>
      </c>
      <c r="V183" s="21" t="s">
        <v>819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1145</v>
      </c>
      <c r="B184" s="21" t="s">
        <v>1146</v>
      </c>
      <c r="C184" s="21" t="s">
        <v>1153</v>
      </c>
      <c r="D184" s="21"/>
      <c r="E184" s="21">
        <v>134</v>
      </c>
      <c r="F184" s="21" t="s">
        <v>1147</v>
      </c>
      <c r="G184" s="21" t="s">
        <v>1080</v>
      </c>
      <c r="H184" s="21" t="s">
        <v>1080</v>
      </c>
      <c r="I184" s="21"/>
      <c r="J184" s="21"/>
      <c r="K184" s="5"/>
      <c r="L184" s="5" t="s">
        <v>55</v>
      </c>
      <c r="M184" s="21"/>
      <c r="N184" s="21" t="s">
        <v>204</v>
      </c>
      <c r="O184" s="21" t="s">
        <v>101</v>
      </c>
      <c r="P184" s="21" t="s">
        <v>58</v>
      </c>
      <c r="Q184" s="21" t="s">
        <v>36</v>
      </c>
      <c r="R184" s="21"/>
      <c r="S184" s="21" t="s">
        <v>517</v>
      </c>
      <c r="V184" s="21" t="s">
        <v>819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Z185" s="2"/>
    </row>
    <row r="186" spans="1:27">
      <c r="Z186" s="2"/>
    </row>
    <row r="187" spans="1:27">
      <c r="Z187" s="2"/>
    </row>
    <row r="192" spans="1:27">
      <c r="C192" s="29">
        <f>604800/64</f>
        <v>9450</v>
      </c>
    </row>
    <row r="200" spans="3:4">
      <c r="C200" s="21"/>
      <c r="D200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36"/>
  <sheetViews>
    <sheetView topLeftCell="A92" zoomScale="90" zoomScaleNormal="90" workbookViewId="0">
      <selection activeCell="K118" sqref="K118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2" t="s">
        <v>719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724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720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721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722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723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724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725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726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953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724</v>
      </c>
      <c r="C72" s="24" t="s">
        <v>724</v>
      </c>
      <c r="D72" s="24" t="s">
        <v>724</v>
      </c>
      <c r="E72" s="24" t="s">
        <v>724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773</v>
      </c>
      <c r="E76" s="23">
        <v>46232</v>
      </c>
      <c r="F76" s="21" t="s">
        <v>727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728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759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760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415134</v>
      </c>
      <c r="F80" s="21" t="s">
        <v>818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954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954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954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954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1092</v>
      </c>
      <c r="F88" s="21" t="s">
        <v>1093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 t="s">
        <v>1092</v>
      </c>
      <c r="F89" s="21" t="s">
        <v>1094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775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820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820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775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774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955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873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1033</v>
      </c>
      <c r="F98" s="21" t="s">
        <v>1034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1032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1035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1033</v>
      </c>
      <c r="F104" s="24" t="s">
        <v>1036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1095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1095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1095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1095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1096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21" t="s">
        <v>1097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2" t="s">
        <v>1033</v>
      </c>
      <c r="F119" s="21" t="s">
        <v>1037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2" t="s">
        <v>1033</v>
      </c>
      <c r="F120" s="21" t="s">
        <v>1037</v>
      </c>
      <c r="G120" s="19"/>
    </row>
    <row r="121" spans="1:7">
      <c r="A121" s="22">
        <v>120</v>
      </c>
      <c r="B121" s="21" t="s">
        <v>517</v>
      </c>
      <c r="C121" s="22" t="s">
        <v>515</v>
      </c>
      <c r="D121" s="22"/>
      <c r="E121" s="22" t="s">
        <v>1033</v>
      </c>
      <c r="F121" s="21" t="s">
        <v>819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1089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2" t="s">
        <v>1148</v>
      </c>
      <c r="E123" s="22" t="s">
        <v>773</v>
      </c>
      <c r="F123" s="21" t="s">
        <v>1090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/>
      <c r="E124" s="26"/>
      <c r="F124" s="24" t="s">
        <v>1091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2"/>
      <c r="E125" s="22" t="s">
        <v>517</v>
      </c>
      <c r="F125" s="21" t="s">
        <v>1098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2" t="s">
        <v>773</v>
      </c>
      <c r="E126" s="22" t="s">
        <v>773</v>
      </c>
      <c r="F126" s="21" t="s">
        <v>1149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1099</v>
      </c>
      <c r="G127" s="22"/>
    </row>
    <row r="128" spans="1:7">
      <c r="A128" s="22">
        <v>127</v>
      </c>
      <c r="B128" s="21" t="s">
        <v>517</v>
      </c>
      <c r="C128" s="22" t="s">
        <v>515</v>
      </c>
      <c r="D128" s="22"/>
      <c r="E128" s="22"/>
      <c r="F128" s="21" t="s">
        <v>819</v>
      </c>
      <c r="G128" s="22"/>
    </row>
    <row r="129" spans="1:7">
      <c r="A129" s="22">
        <v>128</v>
      </c>
      <c r="B129" s="21" t="s">
        <v>517</v>
      </c>
      <c r="C129" s="22" t="s">
        <v>515</v>
      </c>
      <c r="D129" s="22"/>
      <c r="E129" s="22"/>
      <c r="F129" s="21" t="s">
        <v>819</v>
      </c>
      <c r="G129" s="22"/>
    </row>
    <row r="130" spans="1:7">
      <c r="A130" s="22">
        <v>129</v>
      </c>
      <c r="B130" s="21" t="s">
        <v>517</v>
      </c>
      <c r="C130" s="22" t="s">
        <v>515</v>
      </c>
      <c r="D130" s="22"/>
      <c r="E130" s="22"/>
      <c r="F130" s="21" t="s">
        <v>819</v>
      </c>
      <c r="G130" s="22"/>
    </row>
    <row r="131" spans="1:7">
      <c r="A131" s="22">
        <v>130</v>
      </c>
      <c r="B131" s="21" t="s">
        <v>517</v>
      </c>
      <c r="C131" s="22" t="s">
        <v>516</v>
      </c>
      <c r="D131" s="22"/>
      <c r="E131" s="22"/>
      <c r="F131" s="21" t="s">
        <v>819</v>
      </c>
      <c r="G131" s="22"/>
    </row>
    <row r="132" spans="1:7">
      <c r="A132" s="22">
        <v>131</v>
      </c>
      <c r="B132" s="21" t="s">
        <v>517</v>
      </c>
      <c r="C132" s="22" t="s">
        <v>516</v>
      </c>
      <c r="D132" s="22"/>
      <c r="E132" s="22"/>
      <c r="F132" s="21" t="s">
        <v>819</v>
      </c>
      <c r="G132" s="22"/>
    </row>
    <row r="133" spans="1:7">
      <c r="A133" s="22">
        <v>132</v>
      </c>
      <c r="B133" s="21" t="s">
        <v>517</v>
      </c>
      <c r="C133" s="22" t="s">
        <v>516</v>
      </c>
      <c r="D133" s="22"/>
      <c r="E133" s="22"/>
      <c r="F133" s="21" t="s">
        <v>819</v>
      </c>
      <c r="G133" s="22"/>
    </row>
    <row r="134" spans="1:7">
      <c r="A134" s="22">
        <v>133</v>
      </c>
      <c r="B134" s="21" t="s">
        <v>517</v>
      </c>
      <c r="C134" s="22" t="s">
        <v>516</v>
      </c>
      <c r="D134" s="22"/>
      <c r="E134" s="22"/>
      <c r="F134" s="21" t="s">
        <v>819</v>
      </c>
      <c r="G134" s="22"/>
    </row>
    <row r="135" spans="1:7">
      <c r="A135" s="22">
        <v>134</v>
      </c>
      <c r="B135" s="21" t="s">
        <v>517</v>
      </c>
      <c r="C135" s="22" t="s">
        <v>516</v>
      </c>
      <c r="D135" s="22"/>
      <c r="E135" s="22"/>
      <c r="F135" s="21" t="s">
        <v>819</v>
      </c>
      <c r="G135" s="22"/>
    </row>
    <row r="136" spans="1:7">
      <c r="A136" s="22">
        <v>135</v>
      </c>
      <c r="B136" s="21" t="s">
        <v>517</v>
      </c>
      <c r="C136" s="22" t="s">
        <v>516</v>
      </c>
      <c r="D136" s="22"/>
      <c r="E136" s="22"/>
      <c r="F136" s="21" t="s">
        <v>819</v>
      </c>
      <c r="G136" s="22"/>
    </row>
  </sheetData>
  <conditionalFormatting sqref="B2:B136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2026-08-27T16:06:25Z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