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7FD8294C-A2DD-421C-83F3-0C0BD0B24541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<sst xmlns="http://schemas.openxmlformats.org/spreadsheetml/2006/main" count="4417" uniqueCount="742">
  <si>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</si>
  <si>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</si>
  <si>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</si>
  <si>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</si>
  <si>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</si>
  <si>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</si>
  <si>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</si>
  <si>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</si>
  <si>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</si>
  <si>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</si>
  <si>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</si>
  <si>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</si>
  <si>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</si>
  <si>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</si>
  <si>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</si>
  <si>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</si>
  <si>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</si>
  <si>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</si>
  <si>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</si>
  <si>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</si>
  <si>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</si>
  <si>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</si>
  <si>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</si>
  <si>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</si>
  <si>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</si>
  <si>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</si>
  <si>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</si>
  <si>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</si>
  <si>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</si>
  <si>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</si>
  <si>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</si>
  <si>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</si>
  <si>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</si>
  <si>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</si>
  <si>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</si>
  <si>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</si>
  <si>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</si>
  <si>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</si>
  <si>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</si>
  <si>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</si>
  <si>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</si>
  <si>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</si>
  <si>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</si>
  <si>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</si>
  <si>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</si>
  <si>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</si>
  <si>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</si>
  <si>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</si>
  <si>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</si>
  <si>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</si>
  <si>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</si>
  <si>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</si>
  <si>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</si>
  <si>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</si>
  <si>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</si>
  <si>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</si>
  <si>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</si>
  <si>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</si>
  <si>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</si>
  <si>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</si>
  <si>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</si>
  <si>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</si>
  <si>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</si>
  <si>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</si>
  <si>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</si>
  <si>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</si>
  <si>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</si>
  <si>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</si>
  <si>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</si>
  <si>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</si>
  <si>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</si>
  <si>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</si>
  <si>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</si>
  <si>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</si>
  <si>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</si>
  <si>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</si>
  <si>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</si>
  <si>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</si>
  <si>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</si>
  <si>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</si>
  <si>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</si>
  <si>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</si>
  <si>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</si>
  <si>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</si>
  <si>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</si>
  <si>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</si>
  <si>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</si>
  <si>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</si>
  <si>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</si>
  <si>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</si>
  <si>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</si>
  <si>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</si>
  <si>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</si>
  <si>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</si>
  <si>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</si>
  <si>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</si>
  <si>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</si>
  <si>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</si>
  <si>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</si>
  <si>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</si>
  <si>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</si>
  <si>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</si>
  <si>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</si>
  <si>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</si>
  <si>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</si>
  <si>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</si>
  <si>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</si>
  <si>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</si>
  <si>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</si>
  <si>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</si>
  <si>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</si>
  <si>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</si>
  <si>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</si>
  <si>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</si>
  <si>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</si>
  <si>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</si>
  <si>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</si>
  <si>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</si>
  <si>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</si>
  <si>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</si>
  <si>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</si>
  <si>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</si>
  <si>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</si>
  <si>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</si>
  <si>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</si>
  <si>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</si>
  <si>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</si>
  <si>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</si>
  <si>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</si>
  <si>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</si>
  <si>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</si>
  <si>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</si>
  <si>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</si>
  <si>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</si>
  <si>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</si>
  <si>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</si>
  <si>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</si>
  <si>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</si>
  <si>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</si>
  <si>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</si>
  <si>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</si>
  <si>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</si>
  <si>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</si>
  <si>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</si>
  <si>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</si>
  <si>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</si>
  <si>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</si>
  <si>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</si>
  <si>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</si>
  <si>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</si>
  <si>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</si>
  <si>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</si>
  <si>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</si>
  <si>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</si>
  <si>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</si>
  <si>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</si>
  <si>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</si>
  <si>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</si>
  <si>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</si>
  <si>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</si>
  <si>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</si>
  <si>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</si>
  <si>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</si>
  <si>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</si>
  <si>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</si>
  <si>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</si>
  <si>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</si>
  <si>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</si>
  <si>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</si>
  <si>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</si>
  <si>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</si>
  <si>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</si>
  <si>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</si>
  <si>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</si>
  <si>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</si>
  <si>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</si>
  <si>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</si>
  <si>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</si>
  <si>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</si>
  <si>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</si>
  <si>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</si>
  <si>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</si>
  <si>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</si>
  <si>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</si>
  <si>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</si>
  <si>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</si>
  <si>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</si>
  <si>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</si>
  <si>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</si>
  <si>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</si>
  <si>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</si>
  <si>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</si>
  <si>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</si>
  <si>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</si>
  <si>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</si>
  <si>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</si>
  <si>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</si>
  <si>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</si>
  <si>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</si>
  <si>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</si>
  <si>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</si>
  <si>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</si>
  <si>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</si>
  <si>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</si>
  <si>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</si>
  <si>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</si>
  <si>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</si>
  <si>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</si>
  <si>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</si>
  <si>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</si>
  <si>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</si>
  <si>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</si>
  <si>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</si>
  <si>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</si>
  <si>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</si>
  <si>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</si>
  <si>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</si>
  <si>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</si>
  <si>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</si>
  <si>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</si>
  <si>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</si>
  <si>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</si>
  <si>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</si>
  <si>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</si>
  <si>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</si>
  <si>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</si>
  <si>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</si>
  <si>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</si>
  <si>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</si>
  <si>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</si>
  <si>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</si>
  <si>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</si>
  <si>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</si>
  <si>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</si>
  <si>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</si>
  <si>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</si>
  <si>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</si>
  <si>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</si>
  <si>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</si>
  <si>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</si>
  <si>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</si>
  <si>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</si>
  <si>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</si>
  <si>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</si>
  <si>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</si>
  <si>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</si>
  <si>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</si>
  <si>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</si>
  <si>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</si>
  <si>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</si>
  <si>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</si>
  <si>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</si>
  <si>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</si>
  <si>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</si>
  <si>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</si>
  <si>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</si>
  <si>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</si>
  <si>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</si>
  <si>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</si>
  <si>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</si>
  <si>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</si>
  <si>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</si>
  <si>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</si>
  <si>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</si>
  <si>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</si>
  <si>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</si>
  <si>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</si>
  <si>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</si>
  <si>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</si>
  <si>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</si>
  <si>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</si>
  <si>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</si>
  <si>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</si>
  <si>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</si>
  <si>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</si>
  <si>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</si>
  <si>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</si>
  <si>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</si>
  <si>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</si>
  <si>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</si>
  <si>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</si>
  <si>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</si>
  <si>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</si>
  <si>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</si>
  <si>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</si>
  <si>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</si>
  <si>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</si>
  <si>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</si>
  <si>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</si>
  <si>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</si>
  <si>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</si>
  <si>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</si>
  <si>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</si>
  <si>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</si>
  <si>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</si>
  <si>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</si>
  <si>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</si>
  <si>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</si>
  <si>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</si>
  <si>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</si>
  <si>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</si>
  <si>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</si>
  <si>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</si>
  <si>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</si>
  <si>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</si>
  <si>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</si>
  <si>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</si>
  <si>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</si>
  <si>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</si>
  <si>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</si>
  <si>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</si>
  <si>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</si>
  <si>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</si>
  <si>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</si>
  <si>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</si>
  <si>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</si>
  <si>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</si>
  <si>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</si>
  <si>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</si>
  <si>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</si>
  <si>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</si>
  <si>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</si>
  <si>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</si>
  <si>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</si>
  <si>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</si>
  <si>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</si>
  <si>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</si>
  <si>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</si>
  <si>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</si>
  <si>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</si>
  <si>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</si>
  <si>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</si>
  <si>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</si>
  <si>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</si>
  <si>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</si>
  <si>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</si>
  <si>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</si>
  <si>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</si>
  <si>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</si>
  <si>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</si>
  <si>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</si>
  <si>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</si>
  <si>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</si>
  <si>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</si>
  <si>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</si>
  <si>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</si>
  <si>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</si>
  <si>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</si>
  <si>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</si>
  <si>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</si>
  <si>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</si>
  <si>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</si>
  <si>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</si>
  <si>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</si>
  <si>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</si>
  <si>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</si>
  <si>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</si>
  <si>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</si>
  <si>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</si>
  <si>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</si>
  <si>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</si>
  <si>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</si>
  <si>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</si>
  <si>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</si>
  <si>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</si>
  <si>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</si>
  <si>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</si>
  <si>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</si>
  <si>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</si>
  <si>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</si>
  <si>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</si>
  <si>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</si>
  <si>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</si>
  <si>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</si>
  <si>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</si>
  <si>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</si>
  <si>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</si>
  <si>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</si>
  <si>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</si>
  <si>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</si>
  <si>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</si>
  <si>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</si>
  <si>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</si>
  <si>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</si>
  <si>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</si>
  <si>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</si>
  <si>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</si>
  <si>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</si>
  <si>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</si>
  <si>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</si>
  <si>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</si>
  <si>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</si>
  <si>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</si>
  <si>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</si>
  <si>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</si>
  <si>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</si>
  <si>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</si>
  <si>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</si>
  <si>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</si>
  <si>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</si>
  <si>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</si>
  <si>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</si>
  <si>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</si>
  <si>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</si>
  <si>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</si>
  <si>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</si>
  <si>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</si>
  <si>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</si>
  <si>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</si>
  <si>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</si>
  <si>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</si>
  <si>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</si>
  <si>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</si>
  <si>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</si>
  <si>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</si>
  <si>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</si>
  <si>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</si>
  <si>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</si>
  <si>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</si>
  <si>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</si>
  <si>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</si>
  <si>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</si>
  <si>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</si>
  <si>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</si>
  <si>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</si>
  <si>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</si>
  <si>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</si>
  <si>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</si>
  <si>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</si>
  <si>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</si>
  <si>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</si>
  <si>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</si>
  <si>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</si>
  <si>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</si>
  <si>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</si>
  <si>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</si>
  <si>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</si>
  <si>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</si>
  <si>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</si>
  <si>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</si>
  <si>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</si>
  <si>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</si>
  <si>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</si>
  <si>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</si>
  <si>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</si>
  <si>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</si>
  <si>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</si>
  <si>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</si>
  <si>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</si>
  <si>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</si>
  <si>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</si>
  <si>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</si>
  <si>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</si>
  <si>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</si>
  <si>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</si>
  <si>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</si>
  <si>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</si>
  <si>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</si>
  <si>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</si>
  <si>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</si>
  <si>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</si>
  <si>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</si>
  <si>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</si>
  <si>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</si>
  <si>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</si>
  <si>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</si>
  <si>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</si>
  <si>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</si>
  <si>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</si>
  <si>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</si>
  <si>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</si>
  <si>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</si>
  <si>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</si>
  <si>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</si>
  <si>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</si>
  <si>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</si>
  <si>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</si>
  <si>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</si>
  <si>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</si>
  <si>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</si>
  <si>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</si>
  <si>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</si>
  <si>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</si>
  <si>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</si>
  <si>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</si>
  <si>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</si>
  <si>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</si>
  <si>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</si>
  <si>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</si>
  <si>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</si>
  <si>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</si>
  <si>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</si>
  <si>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</si>
  <si>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</si>
  <si>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</si>
  <si>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</si>
  <si>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</si>
  <si>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</si>
  <si>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</si>
  <si>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</si>
  <si>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</si>
  <si>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</si>
  <si>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</si>
  <si>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</si>
  <si>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</si>
  <si>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</si>
  <si>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</si>
  <si>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</si>
  <si>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</si>
  <si>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</si>
  <si>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</si>
  <si>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</si>
  <si>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</si>
  <si>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</si>
  <si>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</si>
  <si>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</si>
  <si>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</si>
  <si>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</si>
  <si>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</si>
  <si>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nula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</si>
  <si>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</si>
  <si>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</si>
  <si>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</si>
  <si>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</si>
  <si>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</si>
  <si>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</si>
  <si>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</si>
  <si>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</si>
  <si>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</si>
  <si>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</si>
  <si>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</si>
  <si>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</si>
  <si>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</si>
  <si>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</si>
  <si>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</si>
  <si>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</si>
  <si>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</si>
  <si>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</si>
  <si>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</si>
  <si>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</si>
  <si>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</si>
  <si>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</si>
  <si>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</si>
  <si>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</si>
  <si>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</si>
  <si>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</si>
  <si>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</si>
  <si>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</si>
  <si>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</si>
  <si>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</si>
  <si>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</si>
  <si>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</si>
  <si>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</si>
  <si>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</si>
  <si>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</si>
  <si>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</si>
  <si>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</si>
  <si>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</si>
  <si>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</si>
  <si>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</si>
  <si>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</si>
  <si>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</si>
  <si>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</si>
  <si>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</si>
  <si>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</si>
  <si>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</si>
  <si>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</si>
  <si>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</si>
  <si>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</si>
  <si>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</si>
  <si>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</si>
  <si>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</si>
  <si>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</si>
  <si>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</si>
  <si>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</si>
  <si>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</si>
  <si>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</si>
  <si>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</si>
  <si>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</si>
  <si>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</si>
  <si>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</si>
  <si>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</si>
  <si>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</si>
  <si>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</si>
  <si>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</si>
  <si>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</si>
  <si>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</si>
  <si>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</si>
  <si>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</si>
  <si>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</si>
  <si>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</si>
  <si>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</si>
  <si>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</si>
  <si>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</si>
  <si>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</si>
  <si>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</si>
  <si>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</si>
  <si>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</si>
  <si>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</si>
  <si>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</si>
  <si>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</si>
  <si>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</si>
  <si>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</si>
  <si>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</si>
  <si>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</si>
  <si>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</si>
  <si>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</si>
  <si>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</si>
  <si>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</si>
  <si>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</si>
  <si>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</si>
  <si>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</si>
  <si>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</si>
  <si>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</si>
  <si>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</si>
  <si>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</si>
  <si>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</si>
  <si>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</si>
  <si>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21-07-20267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</si>
  <si>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</si>
  <si>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</si>
  <si>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</si>
  <si>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</si>
  <si>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</si>
  <si>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</si>
  <si>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</si>
  <si>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</si>
  <si>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</si>
  <si>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</si>
  <si>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</si>
  <si>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</si>
  <si>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</si>
  <si>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</si>
  <si>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</si>
  <si>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</si>
  <si>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</si>
  <si>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</si>
  <si>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</si>
  <si>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</si>
  <si>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</si>
  <si>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</si>
  <si>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</si>
  <si>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</si>
  <si>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</si>
  <si>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</si>
  <si>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</si>
  <si>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</si>
  <si>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</si>
  <si>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</si>
  <si>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</si>
  <si>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</si>
  <si>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</si>
  <si>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</si>
  <si>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</si>
  <si>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</si>
  <si>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</si>
  <si>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</si>
  <si>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</si>
  <si>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</si>
  <si>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</si>
  <si>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</si>
  <si>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</si>
  <si>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</si>
  <si>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</si>
  <si>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</si>
  <si>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</si>
  <si>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</si>
  <si>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</si>
  <si>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</si>
  <si>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</si>
  <si>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</si>
  <si>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</si>
  <si>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</si>
  <si>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</si>
  <si>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</si>
  <si>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</si>
  <si>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</si>
  <si>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</si>
  <si>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</si>
  <si>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</si>
  <si>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</si>
  <si>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</si>
  <si>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</si>
  <si>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</si>
  <si>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</si>
  <si>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</si>
  <si>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</si>
  <si>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</si>
  <si>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</si>
  <si>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</si>
  <si>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</si>
  <si>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</si>
  <si>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</si>
  <si>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</si>
  <si>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</si>
  <si>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</si>
  <si>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</si>
  <si>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</si>
  <si>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</si>
  <si>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</si>
  <si>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</si>
  <si>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</si>
  <si>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</si>
  <si>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</si>
  <si>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</si>
  <si>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</si>
  <si>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</si>
  <si>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</si>
  <si>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</si>
  <si>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</si>
  <si>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</si>
  <si>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</si>
  <si>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</si>
  <si>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</si>
  <si>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</si>
  <si>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</si>
  <si>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</si>
  <si>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</si>
  <si>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</si>
  <si>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</si>
  <si>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</si>
  <si>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</si>
  <si>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</si>
  <si>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>pendiente de aprobacion  ( prevencion )</t>
  </si>
  <si>
    <t xml:space="preserve">kit antiderrame llego antess / la sonda optica aprox 10 julio </t>
  </si>
  <si>
    <t>pendiente de aprobacion ( prevencion riesgos)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</si>
  <si>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</si>
  <si>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</si>
  <si>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</si>
  <si>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</si>
  <si>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>Claudia revisara con linda solicitud</t>
  </si>
  <si>
    <t xml:space="preserve">pago enviado 29/07 aprox 5 dias para llegar </t>
  </si>
  <si>
    <t xml:space="preserve">ok, pago realizado, proveedor debe despachar </t>
  </si>
  <si>
    <t xml:space="preserve">ok, pendiente a llegar </t>
  </si>
  <si>
    <t>pendiente de revision x prevencion</t>
  </si>
  <si>
    <t xml:space="preserve">pendiente aprobacion x prevencion </t>
  </si>
  <si>
    <t>ok, oc enviadas / pendiente a despchar proveedor</t>
  </si>
  <si>
    <t xml:space="preserve">arriendo rotomartillo x 5 dias </t>
  </si>
  <si>
    <t>ok, se gestionar compra x pagina online con credito</t>
  </si>
  <si>
    <t>OC Anulada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</si>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</sst>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14" fontId="0" fillId="0" borderId="0" xfId="0" applyNumberFormat="1" applyAlignment="1">
      <alignment horizontal="center"/>
    </xf>
    <xf numFmtId="0" fontId="6" fillId="0" borderId="0" xfId="0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15" tableType="queryTable" totalsRowShown="0" headerRowDxfId="22">
  <autoFilter ref="A1:AA115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81" totalsRowShown="0" headerRowDxfId="17" dataDxfId="16">
  <autoFilter ref="A1:F81" xr:uid="{0EB08CB5-F347-46F6-A2BB-419FEB016475}"/>
  <tableColumns count="6">
    <tableColumn id="1" xr3:uid="{EA8F1E43-6EF0-43E9-B71B-98D3C4584ACC}" name="N° solicitud" dataDxfId="15"/>
    <tableColumn id="2" xr3:uid="{9FA8BFE5-861C-4596-A02E-A670F1BDB608}" name="Estado" dataDxfId="14"/>
    <tableColumn id="3" xr3:uid="{E58581DB-8B04-4C13-8B4F-27FC5E1AE281}" name="Empresa" dataDxfId="13"/>
    <tableColumn id="6" xr3:uid="{DAADF8D0-34FE-479B-9430-88C5F34DBAE2}" name="fecha pago " dataDxfId="12"/>
    <tableColumn id="7" xr3:uid="{7D80F5CD-A672-43F9-903B-537A4B66EACC}" name="fecha entrega" dataDxfId="11"/>
    <tableColumn id="5" xr3:uid="{16163A18-549A-4B29-B76F-2E153A8FC4F4}" name="Comentario" dataDxfId="10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9"/>
    <tableColumn id="9" xr3:uid="{64335130-2EC5-44A7-9C4C-F057150832C4}" name="Fecha de entrega" dataDxfId="8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31"/>
  <sheetViews>
    <sheetView tabSelected="1" topLeftCell="Q83" zoomScale="110" zoomScaleNormal="110" workbookViewId="0">
      <selection activeCell="S106" sqref="S106"/>
    </sheetView>
  </sheetViews>
  <sheetFormatPr baseColWidth="10" defaultColWidth="11.42578125" defaultRowHeight="15"/>
  <cols>
    <col min="1" max="1" width="13.42578125" customWidth="1"/>
    <col min="2" max="2" width="58.85546875" style="2" bestFit="1" customWidth="1"/>
    <col min="3" max="3" width="68.28515625" bestFit="1" customWidth="1"/>
    <col min="4" max="4" width="79.5703125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28515625" customWidth="1"/>
    <col min="12" max="12" width="20.7109375" customWidth="1"/>
    <col min="13" max="13" width="54.28515625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6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615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616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645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645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645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645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645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645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645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645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645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645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645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645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645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645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645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645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645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645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645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645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645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645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645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645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645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645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645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192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645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645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1">
        <f>+IF(Control[[#This Row],[Fecha de entrega]]="","",NETWORKDAYS(Control[[#This Row],[Fecha Requisición]],Control[[#This Row],[Fecha de entrega]]))</f>
        <v>14</v>
      </c>
      <c r="AA30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645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645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645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724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645</v>
      </c>
      <c r="W3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1">
        <f>+IF(Control[[#This Row],[Fecha de entrega]]="","",NETWORKDAYS(Control[[#This Row],[Fecha Requisición]],Control[[#This Row],[Fecha de entrega]]))</f>
        <v>21</v>
      </c>
      <c r="AA35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3" t="s">
        <v>514</v>
      </c>
      <c r="T36" s="2">
        <v>46198</v>
      </c>
      <c r="U36" s="2">
        <v>46204</v>
      </c>
      <c r="V36" s="13" t="s">
        <v>645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523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524</v>
      </c>
      <c r="S37" t="s">
        <v>514</v>
      </c>
      <c r="T37" s="2">
        <v>46198</v>
      </c>
      <c r="U37" s="2">
        <v>46204</v>
      </c>
      <c r="V37" t="s">
        <v>645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t="s">
        <v>514</v>
      </c>
      <c r="T38" s="2">
        <v>46198</v>
      </c>
      <c r="U38" s="2">
        <v>46204</v>
      </c>
      <c r="V38" t="s">
        <v>645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645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645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645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645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229</v>
      </c>
      <c r="D43" t="s">
        <v>525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526</v>
      </c>
      <c r="S43" t="s">
        <v>514</v>
      </c>
      <c r="U43" s="2">
        <v>46203</v>
      </c>
      <c r="V43" t="s">
        <v>645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229</v>
      </c>
      <c r="D44" t="s">
        <v>527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528</v>
      </c>
      <c r="S44" t="s">
        <v>514</v>
      </c>
      <c r="U44" s="2">
        <v>46203</v>
      </c>
      <c r="V44" t="s">
        <v>645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288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529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46571</v>
      </c>
      <c r="V45" t="s">
        <v>645</v>
      </c>
      <c r="W4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1">
        <f>+IF(Control[[#This Row],[Fecha de entrega]]="","",NETWORKDAYS(Control[[#This Row],[Fecha Requisición]],Control[[#This Row],[Fecha de entrega]]))</f>
        <v>274</v>
      </c>
      <c r="AA45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645</v>
      </c>
      <c r="W4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1">
        <f>+IF(Control[[#This Row],[Fecha de entrega]]="","",NETWORKDAYS(Control[[#This Row],[Fecha Requisición]],Control[[#This Row],[Fecha de entrega]]))</f>
        <v>1</v>
      </c>
      <c r="AA46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645</v>
      </c>
      <c r="W4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1">
        <f>+IF(Control[[#This Row],[Fecha de entrega]]="","",NETWORKDAYS(Control[[#This Row],[Fecha Requisición]],Control[[#This Row],[Fecha de entrega]]))</f>
        <v>7</v>
      </c>
      <c r="AA47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645</v>
      </c>
      <c r="W4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1">
        <f>+IF(Control[[#This Row],[Fecha de entrega]]="","",NETWORKDAYS(Control[[#This Row],[Fecha Requisición]],Control[[#This Row],[Fecha de entrega]]))</f>
        <v>12</v>
      </c>
      <c r="AA48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645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645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645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3" t="s">
        <v>514</v>
      </c>
      <c r="U52" s="2">
        <v>46209</v>
      </c>
      <c r="V52" s="13" t="s">
        <v>645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325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645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530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531</v>
      </c>
      <c r="S54" t="s">
        <v>514</v>
      </c>
      <c r="U54" s="2">
        <v>46211</v>
      </c>
      <c r="V54" t="s">
        <v>645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532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533</v>
      </c>
      <c r="S55" t="s">
        <v>514</v>
      </c>
      <c r="U55" s="2">
        <v>46209</v>
      </c>
      <c r="V55" t="s">
        <v>645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534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535</v>
      </c>
      <c r="S56" t="s">
        <v>514</v>
      </c>
      <c r="U56" s="2">
        <v>46209</v>
      </c>
      <c r="V56" t="s">
        <v>645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645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647</v>
      </c>
      <c r="D58" t="s">
        <v>536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537</v>
      </c>
      <c r="S58" t="s">
        <v>514</v>
      </c>
      <c r="U58" s="2">
        <v>46211</v>
      </c>
      <c r="V58" t="s">
        <v>645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648</v>
      </c>
      <c r="D59" t="s">
        <v>538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539</v>
      </c>
      <c r="S59" t="s">
        <v>514</v>
      </c>
      <c r="U59" s="2">
        <v>46217</v>
      </c>
      <c r="V59" t="s">
        <v>645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648</v>
      </c>
      <c r="D60" t="s">
        <v>540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541</v>
      </c>
      <c r="S60" t="s">
        <v>514</v>
      </c>
      <c r="U60" s="2">
        <v>46217</v>
      </c>
      <c r="V60" t="s">
        <v>645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681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682</v>
      </c>
      <c r="S61" t="s">
        <v>514</v>
      </c>
      <c r="V61" t="s">
        <v>726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542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543</v>
      </c>
      <c r="S62" t="s">
        <v>514</v>
      </c>
      <c r="T62" s="2">
        <v>46216</v>
      </c>
      <c r="U62" s="2">
        <v>46223</v>
      </c>
      <c r="V62" t="s">
        <v>645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544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545</v>
      </c>
      <c r="S63" t="s">
        <v>514</v>
      </c>
      <c r="T63" s="2">
        <v>46216</v>
      </c>
      <c r="U63" s="2">
        <v>46223</v>
      </c>
      <c r="V63" t="s">
        <v>645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546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547</v>
      </c>
      <c r="S64" s="14" t="s">
        <v>514</v>
      </c>
      <c r="T64" s="2">
        <v>46216</v>
      </c>
      <c r="U64" s="2">
        <v>46223</v>
      </c>
      <c r="V64" s="14" t="s">
        <v>645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548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549</v>
      </c>
      <c r="S65" s="14" t="s">
        <v>514</v>
      </c>
      <c r="T65" s="2">
        <v>46216</v>
      </c>
      <c r="U65" s="2">
        <v>46223</v>
      </c>
      <c r="V65" s="14" t="s">
        <v>645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674</v>
      </c>
      <c r="D66" t="s">
        <v>714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715</v>
      </c>
      <c r="S66" s="14" t="s">
        <v>514</v>
      </c>
      <c r="U66" s="2">
        <v>46218</v>
      </c>
      <c r="V66" s="14" t="s">
        <v>727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550</v>
      </c>
      <c r="D67" t="s">
        <v>551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552</v>
      </c>
      <c r="S67" s="13" t="s">
        <v>514</v>
      </c>
      <c r="U67" s="2">
        <v>46211</v>
      </c>
      <c r="V67" s="13" t="s">
        <v>645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553</v>
      </c>
      <c r="D68" t="s">
        <v>554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555</v>
      </c>
      <c r="S68" s="14" t="s">
        <v>517</v>
      </c>
      <c r="V68" s="14" t="s">
        <v>728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556</v>
      </c>
      <c r="D69" t="s">
        <v>557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558</v>
      </c>
      <c r="S69" s="14" t="s">
        <v>514</v>
      </c>
      <c r="U69" s="2">
        <v>46218</v>
      </c>
      <c r="V69" s="14" t="s">
        <v>645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559</v>
      </c>
      <c r="D70" t="s">
        <v>560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561</v>
      </c>
      <c r="S70" s="14" t="s">
        <v>514</v>
      </c>
      <c r="T70" s="2">
        <v>46213</v>
      </c>
      <c r="U70" s="2">
        <v>46217</v>
      </c>
      <c r="V70" s="14" t="s">
        <v>645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562</v>
      </c>
      <c r="D71" t="s">
        <v>563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564</v>
      </c>
      <c r="S71" s="14" t="s">
        <v>514</v>
      </c>
      <c r="U71" s="2">
        <v>46213</v>
      </c>
      <c r="V71" s="14" t="s">
        <v>645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565</v>
      </c>
      <c r="D72" t="s">
        <v>566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567</v>
      </c>
      <c r="S72" s="14" t="s">
        <v>514</v>
      </c>
      <c r="U72" s="2">
        <v>46218</v>
      </c>
      <c r="V72" s="14" t="s">
        <v>645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565</v>
      </c>
      <c r="D73" t="s">
        <v>568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569</v>
      </c>
      <c r="S73" t="s">
        <v>514</v>
      </c>
      <c r="U73" s="2">
        <v>46218</v>
      </c>
      <c r="V73" t="s">
        <v>645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570</v>
      </c>
      <c r="D74" t="s">
        <v>571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572</v>
      </c>
      <c r="N74" t="s">
        <v>196</v>
      </c>
      <c r="O74" t="s">
        <v>197</v>
      </c>
      <c r="P74" t="s">
        <v>75</v>
      </c>
      <c r="Q74" t="s">
        <v>36</v>
      </c>
      <c r="R74" t="s">
        <v>573</v>
      </c>
      <c r="S74" t="s">
        <v>514</v>
      </c>
      <c r="T74" s="2">
        <v>46213</v>
      </c>
      <c r="U74" s="2">
        <v>46218</v>
      </c>
      <c r="V74" t="s">
        <v>645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605</v>
      </c>
      <c r="D75" t="s">
        <v>649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650</v>
      </c>
      <c r="S75" t="s">
        <v>514</v>
      </c>
      <c r="U75" s="2">
        <v>46224</v>
      </c>
      <c r="V75" t="s">
        <v>645</v>
      </c>
      <c r="W7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1">
        <f>+IF(Control[[#This Row],[Fecha de entrega]]="","",NETWORKDAYS(Control[[#This Row],[Fecha Requisición]],Control[[#This Row],[Fecha de entrega]]))</f>
        <v>10</v>
      </c>
      <c r="AA75">
        <f>+_xlfn.ISOWEEKNUM(Control[[#This Row],[Fecha Requisición]])</f>
        <v>28</v>
      </c>
    </row>
    <row r="76" spans="1:27">
      <c r="A76" t="s">
        <v>414</v>
      </c>
      <c r="B76" t="s">
        <v>415</v>
      </c>
      <c r="C76" t="s">
        <v>574</v>
      </c>
      <c r="D76" t="s">
        <v>575</v>
      </c>
      <c r="E76">
        <v>56</v>
      </c>
      <c r="F76" t="s">
        <v>416</v>
      </c>
      <c r="G76" t="s">
        <v>417</v>
      </c>
      <c r="H76" t="s">
        <v>417</v>
      </c>
      <c r="I76" t="s">
        <v>417</v>
      </c>
      <c r="J76" t="s">
        <v>30</v>
      </c>
      <c r="K76" s="5">
        <v>170170</v>
      </c>
      <c r="L76" s="5" t="s">
        <v>55</v>
      </c>
      <c r="M76" t="s">
        <v>32</v>
      </c>
      <c r="N76" t="s">
        <v>204</v>
      </c>
      <c r="P76" t="s">
        <v>58</v>
      </c>
      <c r="Q76" t="s">
        <v>36</v>
      </c>
      <c r="R76" t="s">
        <v>576</v>
      </c>
      <c r="S76" t="s">
        <v>514</v>
      </c>
      <c r="U76" s="2">
        <v>46217</v>
      </c>
      <c r="V76" t="s">
        <v>645</v>
      </c>
      <c r="W7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1">
        <f>+IF(Control[[#This Row],[Fecha de entrega]]="","",NETWORKDAYS(Control[[#This Row],[Fecha Requisición]],Control[[#This Row],[Fecha de entrega]]))</f>
        <v>4</v>
      </c>
      <c r="AA76">
        <f>+_xlfn.ISOWEEKNUM(Control[[#This Row],[Fecha Requisición]])</f>
        <v>28</v>
      </c>
    </row>
    <row r="77" spans="1:27">
      <c r="A77" t="s">
        <v>418</v>
      </c>
      <c r="B77" t="s">
        <v>419</v>
      </c>
      <c r="C77" t="s">
        <v>607</v>
      </c>
      <c r="D77" t="s">
        <v>651</v>
      </c>
      <c r="E77">
        <v>57</v>
      </c>
      <c r="F77" t="s">
        <v>420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243</v>
      </c>
      <c r="N77" t="s">
        <v>421</v>
      </c>
      <c r="O77" t="s">
        <v>101</v>
      </c>
      <c r="P77" t="s">
        <v>124</v>
      </c>
      <c r="Q77" t="s">
        <v>36</v>
      </c>
      <c r="R77" t="s">
        <v>652</v>
      </c>
      <c r="S77" t="s">
        <v>514</v>
      </c>
      <c r="T77" s="2">
        <v>46225</v>
      </c>
      <c r="V77" t="s">
        <v>732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7" s="9">
        <f>+DATE(YEAR(Control[[#This Row],[Fecha Requisición]]),MONTH(Control[[#This Row],[Fecha Requisición]]),1)</f>
        <v>46204</v>
      </c>
      <c r="Y77" s="11" t="str">
        <f>+IF(Control[[#This Row],[Fecha de entrega]]="","",NETWORKDAYS(Control[[#This Row],[Fecha Requisición]],Control[[#This Row],[Fecha de entrega]]))</f>
        <v/>
      </c>
      <c r="AA77">
        <f>+_xlfn.ISOWEEKNUM(Control[[#This Row],[Fecha Requisición]])</f>
        <v>28</v>
      </c>
    </row>
    <row r="78" spans="1:27">
      <c r="A78" t="s">
        <v>418</v>
      </c>
      <c r="B78" t="s">
        <v>419</v>
      </c>
      <c r="C78" t="s">
        <v>607</v>
      </c>
      <c r="D78" t="s">
        <v>653</v>
      </c>
      <c r="E78">
        <v>57</v>
      </c>
      <c r="F78" t="s">
        <v>420</v>
      </c>
      <c r="G78" t="s">
        <v>407</v>
      </c>
      <c r="H78" t="s">
        <v>407</v>
      </c>
      <c r="I78" t="s">
        <v>407</v>
      </c>
      <c r="J78" t="s">
        <v>30</v>
      </c>
      <c r="K78" s="5"/>
      <c r="L78" s="5" t="s">
        <v>31</v>
      </c>
      <c r="M78" t="s">
        <v>243</v>
      </c>
      <c r="N78" t="s">
        <v>421</v>
      </c>
      <c r="O78" t="s">
        <v>101</v>
      </c>
      <c r="P78" t="s">
        <v>124</v>
      </c>
      <c r="Q78" t="s">
        <v>36</v>
      </c>
      <c r="R78" t="s">
        <v>654</v>
      </c>
      <c r="S78" t="s">
        <v>514</v>
      </c>
      <c r="T78" s="2">
        <v>46225</v>
      </c>
      <c r="V78" t="s">
        <v>732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8" s="9">
        <f>+DATE(YEAR(Control[[#This Row],[Fecha Requisición]]),MONTH(Control[[#This Row],[Fecha Requisición]]),1)</f>
        <v>46204</v>
      </c>
      <c r="Y78" s="11" t="str">
        <f>+IF(Control[[#This Row],[Fecha de entrega]]="","",NETWORKDAYS(Control[[#This Row],[Fecha Requisición]],Control[[#This Row],[Fecha de entrega]]))</f>
        <v/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607</v>
      </c>
      <c r="D79" t="s">
        <v>655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74</v>
      </c>
      <c r="N79" t="s">
        <v>421</v>
      </c>
      <c r="O79" t="s">
        <v>101</v>
      </c>
      <c r="P79" t="s">
        <v>124</v>
      </c>
      <c r="Q79" t="s">
        <v>36</v>
      </c>
      <c r="R79" t="s">
        <v>656</v>
      </c>
      <c r="S79" t="s">
        <v>514</v>
      </c>
      <c r="T79" s="2">
        <v>46225</v>
      </c>
      <c r="V79" t="s">
        <v>732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607</v>
      </c>
      <c r="D80" t="s">
        <v>657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39</v>
      </c>
      <c r="K80" s="5"/>
      <c r="L80" s="5" t="s">
        <v>31</v>
      </c>
      <c r="M80" t="s">
        <v>658</v>
      </c>
      <c r="N80" t="s">
        <v>421</v>
      </c>
      <c r="O80" t="s">
        <v>101</v>
      </c>
      <c r="P80" t="s">
        <v>124</v>
      </c>
      <c r="Q80" t="s">
        <v>36</v>
      </c>
      <c r="R80" t="s">
        <v>659</v>
      </c>
      <c r="S80" t="s">
        <v>514</v>
      </c>
      <c r="T80" s="2">
        <v>46225</v>
      </c>
      <c r="V80" t="s">
        <v>732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422</v>
      </c>
      <c r="B81" t="s">
        <v>423</v>
      </c>
      <c r="C81" t="s">
        <v>577</v>
      </c>
      <c r="D81" t="s">
        <v>578</v>
      </c>
      <c r="E81">
        <v>58</v>
      </c>
      <c r="F81" t="s">
        <v>424</v>
      </c>
      <c r="G81" t="s">
        <v>417</v>
      </c>
      <c r="H81" t="s">
        <v>417</v>
      </c>
      <c r="I81" t="s">
        <v>417</v>
      </c>
      <c r="J81" t="s">
        <v>39</v>
      </c>
      <c r="K81" s="5">
        <v>146581</v>
      </c>
      <c r="L81" s="5" t="s">
        <v>31</v>
      </c>
      <c r="M81" t="s">
        <v>174</v>
      </c>
      <c r="N81" t="s">
        <v>371</v>
      </c>
      <c r="O81" t="s">
        <v>176</v>
      </c>
      <c r="P81" t="s">
        <v>124</v>
      </c>
      <c r="Q81" t="s">
        <v>36</v>
      </c>
      <c r="R81" t="s">
        <v>579</v>
      </c>
      <c r="S81" t="s">
        <v>514</v>
      </c>
      <c r="T81" s="2">
        <v>46213</v>
      </c>
      <c r="U81" s="2">
        <v>46226</v>
      </c>
      <c r="V81" t="s">
        <v>645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11</v>
      </c>
      <c r="AA81">
        <f>+_xlfn.ISOWEEKNUM(Control[[#This Row],[Fecha Requisición]])</f>
        <v>28</v>
      </c>
    </row>
    <row r="82" spans="1:27">
      <c r="A82" t="s">
        <v>425</v>
      </c>
      <c r="B82" t="s">
        <v>426</v>
      </c>
      <c r="C82" t="s">
        <v>580</v>
      </c>
      <c r="D82" t="s">
        <v>581</v>
      </c>
      <c r="E82">
        <v>59</v>
      </c>
      <c r="F82" t="s">
        <v>427</v>
      </c>
      <c r="G82" t="s">
        <v>428</v>
      </c>
      <c r="H82" t="s">
        <v>428</v>
      </c>
      <c r="I82" t="s">
        <v>428</v>
      </c>
      <c r="J82" t="s">
        <v>39</v>
      </c>
      <c r="K82" s="5">
        <v>203395</v>
      </c>
      <c r="L82" s="5" t="s">
        <v>55</v>
      </c>
      <c r="M82" t="s">
        <v>582</v>
      </c>
      <c r="N82" t="s">
        <v>383</v>
      </c>
      <c r="O82" t="s">
        <v>384</v>
      </c>
      <c r="P82" t="s">
        <v>58</v>
      </c>
      <c r="Q82" t="s">
        <v>36</v>
      </c>
      <c r="R82" t="s">
        <v>583</v>
      </c>
      <c r="S82" t="s">
        <v>514</v>
      </c>
      <c r="T82" s="2">
        <v>46220</v>
      </c>
      <c r="U82" s="2">
        <v>46225</v>
      </c>
      <c r="V82" t="s">
        <v>645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9</v>
      </c>
      <c r="AA82">
        <f>+_xlfn.ISOWEEKNUM(Control[[#This Row],[Fecha Requisición]])</f>
        <v>28</v>
      </c>
    </row>
    <row r="83" spans="1:27">
      <c r="A83" t="s">
        <v>693</v>
      </c>
      <c r="B83" t="s">
        <v>694</v>
      </c>
      <c r="C83" t="s">
        <v>608</v>
      </c>
      <c r="D83" t="s">
        <v>683</v>
      </c>
      <c r="E83">
        <v>60</v>
      </c>
      <c r="F83" t="s">
        <v>429</v>
      </c>
      <c r="G83" t="s">
        <v>428</v>
      </c>
      <c r="H83" t="s">
        <v>430</v>
      </c>
      <c r="I83" t="s">
        <v>430</v>
      </c>
      <c r="J83" t="s">
        <v>39</v>
      </c>
      <c r="K83" s="5">
        <v>36990</v>
      </c>
      <c r="L83" s="5"/>
      <c r="M83" t="s">
        <v>74</v>
      </c>
      <c r="R83" t="s">
        <v>684</v>
      </c>
      <c r="S83" t="s">
        <v>514</v>
      </c>
      <c r="T83" s="2">
        <v>46227</v>
      </c>
      <c r="U83" s="2">
        <v>46231</v>
      </c>
      <c r="V83" t="s">
        <v>645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13</v>
      </c>
      <c r="AA83">
        <f>+_xlfn.ISOWEEKNUM(Control[[#This Row],[Fecha Requisición]])</f>
        <v>28</v>
      </c>
    </row>
    <row r="84" spans="1:27">
      <c r="A84" t="s">
        <v>431</v>
      </c>
      <c r="B84" t="s">
        <v>432</v>
      </c>
      <c r="C84" t="s">
        <v>584</v>
      </c>
      <c r="D84" t="s">
        <v>585</v>
      </c>
      <c r="E84">
        <v>61</v>
      </c>
      <c r="F84" t="s">
        <v>433</v>
      </c>
      <c r="G84" t="s">
        <v>434</v>
      </c>
      <c r="H84" t="s">
        <v>434</v>
      </c>
      <c r="I84" t="s">
        <v>434</v>
      </c>
      <c r="J84" t="s">
        <v>39</v>
      </c>
      <c r="K84" s="5"/>
      <c r="L84" s="5" t="s">
        <v>31</v>
      </c>
      <c r="M84" t="s">
        <v>586</v>
      </c>
      <c r="N84" t="s">
        <v>435</v>
      </c>
      <c r="P84" t="s">
        <v>57</v>
      </c>
      <c r="Q84">
        <v>46216</v>
      </c>
      <c r="R84" t="s">
        <v>587</v>
      </c>
      <c r="S84" t="s">
        <v>514</v>
      </c>
      <c r="T84" s="2">
        <v>46224</v>
      </c>
      <c r="U84" s="2">
        <v>46230</v>
      </c>
      <c r="V84" t="s">
        <v>645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11</v>
      </c>
      <c r="AA84">
        <f>+_xlfn.ISOWEEKNUM(Control[[#This Row],[Fecha Requisición]])</f>
        <v>29</v>
      </c>
    </row>
    <row r="85" spans="1:27">
      <c r="A85" t="s">
        <v>431</v>
      </c>
      <c r="B85" t="s">
        <v>432</v>
      </c>
      <c r="C85" t="s">
        <v>584</v>
      </c>
      <c r="D85" t="s">
        <v>585</v>
      </c>
      <c r="E85">
        <v>61</v>
      </c>
      <c r="F85" t="s">
        <v>433</v>
      </c>
      <c r="G85" t="s">
        <v>434</v>
      </c>
      <c r="H85" t="s">
        <v>434</v>
      </c>
      <c r="I85" t="s">
        <v>434</v>
      </c>
      <c r="J85" t="s">
        <v>39</v>
      </c>
      <c r="K85" s="5"/>
      <c r="L85" s="5" t="s">
        <v>31</v>
      </c>
      <c r="M85" t="s">
        <v>586</v>
      </c>
      <c r="N85" t="s">
        <v>435</v>
      </c>
      <c r="P85" t="s">
        <v>35</v>
      </c>
      <c r="Q85" t="s">
        <v>59</v>
      </c>
      <c r="R85" t="s">
        <v>587</v>
      </c>
      <c r="S85" t="s">
        <v>514</v>
      </c>
      <c r="T85" s="2">
        <v>46224</v>
      </c>
      <c r="U85" s="2">
        <v>46230</v>
      </c>
      <c r="V85" t="s">
        <v>645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11</v>
      </c>
      <c r="AA85">
        <f>+_xlfn.ISOWEEKNUM(Control[[#This Row],[Fecha Requisición]])</f>
        <v>29</v>
      </c>
    </row>
    <row r="86" spans="1:27">
      <c r="A86" t="s">
        <v>431</v>
      </c>
      <c r="B86" t="s">
        <v>432</v>
      </c>
      <c r="C86" t="s">
        <v>584</v>
      </c>
      <c r="D86" t="s">
        <v>588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174</v>
      </c>
      <c r="N86" t="s">
        <v>435</v>
      </c>
      <c r="P86" t="s">
        <v>57</v>
      </c>
      <c r="Q86">
        <v>46216</v>
      </c>
      <c r="R86" t="s">
        <v>589</v>
      </c>
      <c r="S86" t="s">
        <v>514</v>
      </c>
      <c r="T86" s="2">
        <v>46224</v>
      </c>
      <c r="U86" s="2">
        <v>46230</v>
      </c>
      <c r="V86" t="s">
        <v>645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584</v>
      </c>
      <c r="D87" t="s">
        <v>588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174</v>
      </c>
      <c r="N87" t="s">
        <v>435</v>
      </c>
      <c r="P87" t="s">
        <v>35</v>
      </c>
      <c r="Q87" t="s">
        <v>59</v>
      </c>
      <c r="R87" t="s">
        <v>589</v>
      </c>
      <c r="S87" t="s">
        <v>514</v>
      </c>
      <c r="T87" s="2">
        <v>46224</v>
      </c>
      <c r="U87" s="2">
        <v>46230</v>
      </c>
      <c r="V87" t="s">
        <v>645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436</v>
      </c>
      <c r="B88" t="s">
        <v>437</v>
      </c>
      <c r="C88" t="s">
        <v>609</v>
      </c>
      <c r="D88" t="s">
        <v>685</v>
      </c>
      <c r="E88">
        <v>62</v>
      </c>
      <c r="F88" t="s">
        <v>438</v>
      </c>
      <c r="G88" t="s">
        <v>439</v>
      </c>
      <c r="H88" t="s">
        <v>439</v>
      </c>
      <c r="I88" t="s">
        <v>439</v>
      </c>
      <c r="J88" t="s">
        <v>30</v>
      </c>
      <c r="K88" s="5">
        <v>251578</v>
      </c>
      <c r="L88" s="5" t="s">
        <v>55</v>
      </c>
      <c r="M88" t="s">
        <v>243</v>
      </c>
      <c r="N88" t="s">
        <v>204</v>
      </c>
      <c r="O88" t="s">
        <v>101</v>
      </c>
      <c r="P88" t="s">
        <v>58</v>
      </c>
      <c r="Q88" t="s">
        <v>36</v>
      </c>
      <c r="R88" t="s">
        <v>686</v>
      </c>
      <c r="S88" t="s">
        <v>514</v>
      </c>
      <c r="U88" s="2">
        <v>46220</v>
      </c>
      <c r="V88" t="s">
        <v>645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4</v>
      </c>
      <c r="AA88">
        <f>+_xlfn.ISOWEEKNUM(Control[[#This Row],[Fecha Requisición]])</f>
        <v>29</v>
      </c>
    </row>
    <row r="89" spans="1:27">
      <c r="A89" t="s">
        <v>590</v>
      </c>
      <c r="B89" t="s">
        <v>591</v>
      </c>
      <c r="C89" t="s">
        <v>592</v>
      </c>
      <c r="D89" t="s">
        <v>687</v>
      </c>
      <c r="E89">
        <v>63</v>
      </c>
      <c r="F89" t="s">
        <v>520</v>
      </c>
      <c r="G89" t="s">
        <v>594</v>
      </c>
      <c r="H89" t="s">
        <v>594</v>
      </c>
      <c r="I89" t="s">
        <v>594</v>
      </c>
      <c r="J89" t="s">
        <v>30</v>
      </c>
      <c r="K89" s="5">
        <v>100275</v>
      </c>
      <c r="L89" s="5" t="s">
        <v>55</v>
      </c>
      <c r="M89" t="s">
        <v>243</v>
      </c>
      <c r="N89" t="s">
        <v>358</v>
      </c>
      <c r="O89" t="s">
        <v>101</v>
      </c>
      <c r="P89" t="s">
        <v>58</v>
      </c>
      <c r="Q89" t="s">
        <v>36</v>
      </c>
      <c r="R89" t="s">
        <v>688</v>
      </c>
      <c r="S89" t="s">
        <v>514</v>
      </c>
      <c r="T89" s="2">
        <v>46227</v>
      </c>
      <c r="U89" s="2">
        <v>46232</v>
      </c>
      <c r="V89" t="s">
        <v>645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590</v>
      </c>
      <c r="B90" t="s">
        <v>591</v>
      </c>
      <c r="C90" t="s">
        <v>592</v>
      </c>
      <c r="D90" t="s">
        <v>689</v>
      </c>
      <c r="E90">
        <v>63</v>
      </c>
      <c r="F90" t="s">
        <v>520</v>
      </c>
      <c r="G90" t="s">
        <v>594</v>
      </c>
      <c r="H90" t="s">
        <v>594</v>
      </c>
      <c r="I90" t="s">
        <v>594</v>
      </c>
      <c r="J90" t="s">
        <v>39</v>
      </c>
      <c r="K90" s="5">
        <v>46686</v>
      </c>
      <c r="L90" s="5" t="s">
        <v>55</v>
      </c>
      <c r="M90" t="s">
        <v>148</v>
      </c>
      <c r="N90" t="s">
        <v>358</v>
      </c>
      <c r="O90" t="s">
        <v>101</v>
      </c>
      <c r="P90" t="s">
        <v>58</v>
      </c>
      <c r="Q90" t="s">
        <v>36</v>
      </c>
      <c r="R90" t="s">
        <v>690</v>
      </c>
      <c r="S90" t="s">
        <v>514</v>
      </c>
      <c r="T90" s="2">
        <v>46227</v>
      </c>
      <c r="U90" s="2">
        <v>46232</v>
      </c>
      <c r="V90" t="s">
        <v>645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11</v>
      </c>
      <c r="AA90">
        <f>+_xlfn.ISOWEEKNUM(Control[[#This Row],[Fecha Requisición]])</f>
        <v>29</v>
      </c>
    </row>
    <row r="91" spans="1:27">
      <c r="A91" t="s">
        <v>590</v>
      </c>
      <c r="B91" t="s">
        <v>591</v>
      </c>
      <c r="C91" t="s">
        <v>592</v>
      </c>
      <c r="D91" t="s">
        <v>593</v>
      </c>
      <c r="E91">
        <v>63</v>
      </c>
      <c r="F91" t="s">
        <v>520</v>
      </c>
      <c r="G91" t="s">
        <v>594</v>
      </c>
      <c r="H91" t="s">
        <v>594</v>
      </c>
      <c r="I91" t="s">
        <v>594</v>
      </c>
      <c r="J91" t="s">
        <v>30</v>
      </c>
      <c r="K91" s="5">
        <v>293249</v>
      </c>
      <c r="L91" s="5" t="s">
        <v>55</v>
      </c>
      <c r="M91" t="s">
        <v>32</v>
      </c>
      <c r="N91" t="s">
        <v>358</v>
      </c>
      <c r="O91" t="s">
        <v>101</v>
      </c>
      <c r="P91" t="s">
        <v>58</v>
      </c>
      <c r="Q91" t="s">
        <v>36</v>
      </c>
      <c r="R91" t="s">
        <v>595</v>
      </c>
      <c r="S91" t="s">
        <v>514</v>
      </c>
      <c r="T91" s="2">
        <v>46227</v>
      </c>
      <c r="U91" s="2">
        <v>46232</v>
      </c>
      <c r="V91" t="s">
        <v>645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596</v>
      </c>
      <c r="B92" t="s">
        <v>597</v>
      </c>
      <c r="C92" t="s">
        <v>598</v>
      </c>
      <c r="D92" t="s">
        <v>599</v>
      </c>
      <c r="E92">
        <v>64</v>
      </c>
      <c r="F92" t="s">
        <v>521</v>
      </c>
      <c r="G92" t="s">
        <v>594</v>
      </c>
      <c r="H92" t="s">
        <v>594</v>
      </c>
      <c r="I92" t="s">
        <v>594</v>
      </c>
      <c r="J92" t="s">
        <v>39</v>
      </c>
      <c r="K92" s="5">
        <v>293249</v>
      </c>
      <c r="L92" s="5"/>
      <c r="M92" t="s">
        <v>32</v>
      </c>
      <c r="R92" t="s">
        <v>600</v>
      </c>
      <c r="S92" t="s">
        <v>514</v>
      </c>
      <c r="T92" s="2">
        <v>46225</v>
      </c>
      <c r="U92" s="2">
        <v>46231</v>
      </c>
      <c r="V92" t="s">
        <v>645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10</v>
      </c>
      <c r="AA92">
        <f>+_xlfn.ISOWEEKNUM(Control[[#This Row],[Fecha Requisición]])</f>
        <v>29</v>
      </c>
    </row>
    <row r="93" spans="1:27">
      <c r="A93" t="s">
        <v>596</v>
      </c>
      <c r="B93" t="s">
        <v>597</v>
      </c>
      <c r="C93" t="s">
        <v>598</v>
      </c>
      <c r="D93" t="s">
        <v>601</v>
      </c>
      <c r="E93">
        <v>64</v>
      </c>
      <c r="F93" t="s">
        <v>521</v>
      </c>
      <c r="G93" t="s">
        <v>594</v>
      </c>
      <c r="H93" t="s">
        <v>594</v>
      </c>
      <c r="I93" t="s">
        <v>594</v>
      </c>
      <c r="J93" t="s">
        <v>30</v>
      </c>
      <c r="K93" s="5">
        <v>256788</v>
      </c>
      <c r="L93" s="5"/>
      <c r="M93" t="s">
        <v>32</v>
      </c>
      <c r="R93" t="s">
        <v>602</v>
      </c>
      <c r="S93" t="s">
        <v>514</v>
      </c>
      <c r="T93" s="2">
        <v>46225</v>
      </c>
      <c r="U93" s="2">
        <v>46231</v>
      </c>
      <c r="V93" t="s">
        <v>645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10</v>
      </c>
      <c r="AA93">
        <f>+_xlfn.ISOWEEKNUM(Control[[#This Row],[Fecha Requisición]])</f>
        <v>29</v>
      </c>
    </row>
    <row r="94" spans="1:27">
      <c r="A94" t="s">
        <v>610</v>
      </c>
      <c r="B94" t="s">
        <v>611</v>
      </c>
      <c r="C94" t="s">
        <v>612</v>
      </c>
      <c r="D94" t="s">
        <v>660</v>
      </c>
      <c r="E94">
        <v>65</v>
      </c>
      <c r="F94" t="s">
        <v>522</v>
      </c>
      <c r="G94" t="s">
        <v>613</v>
      </c>
      <c r="H94" t="s">
        <v>613</v>
      </c>
      <c r="I94" t="s">
        <v>613</v>
      </c>
      <c r="J94" t="s">
        <v>39</v>
      </c>
      <c r="K94" s="5"/>
      <c r="L94" s="5" t="s">
        <v>31</v>
      </c>
      <c r="M94" t="s">
        <v>661</v>
      </c>
      <c r="N94" t="s">
        <v>614</v>
      </c>
      <c r="O94" t="s">
        <v>57</v>
      </c>
      <c r="P94" t="s">
        <v>124</v>
      </c>
      <c r="Q94" t="s">
        <v>36</v>
      </c>
      <c r="R94" t="s">
        <v>662</v>
      </c>
      <c r="S94" t="s">
        <v>514</v>
      </c>
      <c r="U94" s="2">
        <v>46230</v>
      </c>
      <c r="V94" t="s">
        <v>713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6</v>
      </c>
      <c r="AA94">
        <f>+_xlfn.ISOWEEKNUM(Control[[#This Row],[Fecha Requisición]])</f>
        <v>30</v>
      </c>
    </row>
    <row r="95" spans="1:27">
      <c r="A95" t="s">
        <v>619</v>
      </c>
      <c r="B95" t="s">
        <v>620</v>
      </c>
      <c r="C95" t="s">
        <v>716</v>
      </c>
      <c r="D95" t="s">
        <v>663</v>
      </c>
      <c r="E95">
        <v>66</v>
      </c>
      <c r="F95" t="s">
        <v>621</v>
      </c>
      <c r="G95" t="s">
        <v>622</v>
      </c>
      <c r="H95" t="s">
        <v>622</v>
      </c>
      <c r="I95" t="s">
        <v>622</v>
      </c>
      <c r="J95" t="s">
        <v>30</v>
      </c>
      <c r="K95" s="5"/>
      <c r="L95" s="5" t="s">
        <v>31</v>
      </c>
      <c r="M95" t="s">
        <v>243</v>
      </c>
      <c r="N95" t="s">
        <v>623</v>
      </c>
      <c r="O95" t="s">
        <v>197</v>
      </c>
      <c r="P95" t="s">
        <v>124</v>
      </c>
      <c r="Q95" t="s">
        <v>36</v>
      </c>
      <c r="R95" t="s">
        <v>664</v>
      </c>
      <c r="S95" t="s">
        <v>514</v>
      </c>
      <c r="U95" s="2">
        <v>46224</v>
      </c>
      <c r="V95" t="s">
        <v>645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</v>
      </c>
      <c r="AA95">
        <f>+_xlfn.ISOWEEKNUM(Control[[#This Row],[Fecha Requisición]])</f>
        <v>30</v>
      </c>
    </row>
    <row r="96" spans="1:27">
      <c r="A96" t="s">
        <v>624</v>
      </c>
      <c r="B96" t="s">
        <v>625</v>
      </c>
      <c r="C96" t="s">
        <v>665</v>
      </c>
      <c r="D96" t="s">
        <v>666</v>
      </c>
      <c r="E96">
        <v>67</v>
      </c>
      <c r="F96" t="s">
        <v>626</v>
      </c>
      <c r="G96" t="s">
        <v>622</v>
      </c>
      <c r="H96" t="s">
        <v>622</v>
      </c>
      <c r="I96" t="s">
        <v>622</v>
      </c>
      <c r="J96" t="s">
        <v>30</v>
      </c>
      <c r="K96" s="5"/>
      <c r="L96" s="5" t="s">
        <v>31</v>
      </c>
      <c r="M96" t="s">
        <v>243</v>
      </c>
      <c r="N96" t="s">
        <v>623</v>
      </c>
      <c r="O96" t="s">
        <v>57</v>
      </c>
      <c r="P96" t="s">
        <v>124</v>
      </c>
      <c r="Q96" t="s">
        <v>36</v>
      </c>
      <c r="R96" t="s">
        <v>667</v>
      </c>
      <c r="S96" t="s">
        <v>514</v>
      </c>
      <c r="U96" s="2">
        <v>46224</v>
      </c>
      <c r="V96" t="s">
        <v>645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1</v>
      </c>
      <c r="AA96">
        <f>+_xlfn.ISOWEEKNUM(Control[[#This Row],[Fecha Requisición]])</f>
        <v>30</v>
      </c>
    </row>
    <row r="97" spans="1:27">
      <c r="A97" t="s">
        <v>627</v>
      </c>
      <c r="B97" t="s">
        <v>628</v>
      </c>
      <c r="C97" t="s">
        <v>668</v>
      </c>
      <c r="D97" t="s">
        <v>669</v>
      </c>
      <c r="E97">
        <v>68</v>
      </c>
      <c r="F97" t="s">
        <v>629</v>
      </c>
      <c r="G97" t="s">
        <v>630</v>
      </c>
      <c r="H97" t="s">
        <v>630</v>
      </c>
      <c r="I97" t="s">
        <v>630</v>
      </c>
      <c r="J97" t="s">
        <v>30</v>
      </c>
      <c r="K97" s="5"/>
      <c r="L97" s="5" t="s">
        <v>31</v>
      </c>
      <c r="M97" t="s">
        <v>243</v>
      </c>
      <c r="N97" t="s">
        <v>213</v>
      </c>
      <c r="O97" t="s">
        <v>197</v>
      </c>
      <c r="P97" t="s">
        <v>124</v>
      </c>
      <c r="Q97" t="s">
        <v>36</v>
      </c>
      <c r="R97" t="s">
        <v>670</v>
      </c>
      <c r="S97" t="s">
        <v>514</v>
      </c>
      <c r="U97" s="2">
        <v>46224</v>
      </c>
      <c r="V97" t="s">
        <v>645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-2</v>
      </c>
      <c r="AA97">
        <f>+_xlfn.ISOWEEKNUM(Control[[#This Row],[Fecha Requisición]])</f>
        <v>30</v>
      </c>
    </row>
    <row r="98" spans="1:27">
      <c r="A98" t="s">
        <v>631</v>
      </c>
      <c r="B98" t="s">
        <v>632</v>
      </c>
      <c r="C98" t="s">
        <v>671</v>
      </c>
      <c r="D98" t="s">
        <v>672</v>
      </c>
      <c r="E98">
        <v>69</v>
      </c>
      <c r="F98" t="s">
        <v>633</v>
      </c>
      <c r="G98" t="s">
        <v>622</v>
      </c>
      <c r="H98" t="s">
        <v>622</v>
      </c>
      <c r="I98" t="s">
        <v>622</v>
      </c>
      <c r="J98" t="s">
        <v>30</v>
      </c>
      <c r="K98" s="5"/>
      <c r="L98" s="5" t="s">
        <v>31</v>
      </c>
      <c r="M98" t="s">
        <v>243</v>
      </c>
      <c r="N98" t="s">
        <v>362</v>
      </c>
      <c r="O98" t="s">
        <v>123</v>
      </c>
      <c r="P98" t="s">
        <v>124</v>
      </c>
      <c r="Q98" t="s">
        <v>36</v>
      </c>
      <c r="R98" t="s">
        <v>673</v>
      </c>
      <c r="S98" t="s">
        <v>514</v>
      </c>
      <c r="U98" s="2">
        <v>46231</v>
      </c>
      <c r="V98" t="s">
        <v>646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6</v>
      </c>
      <c r="AA98">
        <f>+_xlfn.ISOWEEKNUM(Control[[#This Row],[Fecha Requisición]])</f>
        <v>30</v>
      </c>
    </row>
    <row r="99" spans="1:27">
      <c r="A99" t="s">
        <v>634</v>
      </c>
      <c r="B99" t="s">
        <v>635</v>
      </c>
      <c r="C99" t="s">
        <v>675</v>
      </c>
      <c r="D99" t="s">
        <v>691</v>
      </c>
      <c r="E99">
        <v>70</v>
      </c>
      <c r="F99" t="s">
        <v>636</v>
      </c>
      <c r="G99" t="s">
        <v>630</v>
      </c>
      <c r="H99" t="s">
        <v>630</v>
      </c>
      <c r="I99" t="s">
        <v>630</v>
      </c>
      <c r="J99" t="s">
        <v>39</v>
      </c>
      <c r="K99" s="5">
        <v>203972</v>
      </c>
      <c r="L99" s="5" t="s">
        <v>55</v>
      </c>
      <c r="M99" t="s">
        <v>74</v>
      </c>
      <c r="N99" t="s">
        <v>383</v>
      </c>
      <c r="O99" t="s">
        <v>384</v>
      </c>
      <c r="P99" t="s">
        <v>58</v>
      </c>
      <c r="Q99" t="s">
        <v>36</v>
      </c>
      <c r="R99" t="s">
        <v>692</v>
      </c>
      <c r="S99" t="s">
        <v>514</v>
      </c>
      <c r="T99" s="2">
        <v>46232</v>
      </c>
      <c r="U99" s="2">
        <v>46235</v>
      </c>
      <c r="V99" t="s">
        <v>733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7">
        <f>+IF(Control[[#This Row],[Fecha de entrega]]="","",NETWORKDAYS(Control[[#This Row],[Fecha Requisición]],Control[[#This Row],[Fecha de entrega]]))</f>
        <v>8</v>
      </c>
      <c r="AA99" s="16">
        <f>+_xlfn.ISOWEEKNUM(Control[[#This Row],[Fecha Requisición]])</f>
        <v>30</v>
      </c>
    </row>
    <row r="100" spans="1:27">
      <c r="A100" t="s">
        <v>704</v>
      </c>
      <c r="B100" t="s">
        <v>705</v>
      </c>
      <c r="C100" t="s">
        <v>705</v>
      </c>
      <c r="D100" t="s">
        <v>740</v>
      </c>
      <c r="E100">
        <v>74</v>
      </c>
      <c r="F100" t="s">
        <v>706</v>
      </c>
      <c r="G100" t="s">
        <v>707</v>
      </c>
      <c r="H100" t="s">
        <v>707</v>
      </c>
      <c r="I100" t="s">
        <v>707</v>
      </c>
      <c r="J100" t="s">
        <v>30</v>
      </c>
      <c r="K100" s="5">
        <v>64736</v>
      </c>
      <c r="L100" s="5" t="s">
        <v>55</v>
      </c>
      <c r="M100" t="s">
        <v>32</v>
      </c>
      <c r="N100" t="s">
        <v>708</v>
      </c>
      <c r="O100" t="s">
        <v>101</v>
      </c>
      <c r="P100" t="s">
        <v>58</v>
      </c>
      <c r="R100" t="s">
        <v>741</v>
      </c>
      <c r="S100" t="s">
        <v>514</v>
      </c>
      <c r="U100" s="2">
        <v>46237</v>
      </c>
      <c r="V100" t="s">
        <v>736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7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31</v>
      </c>
    </row>
    <row r="101" spans="1:27">
      <c r="A101" t="s">
        <v>704</v>
      </c>
      <c r="B101" t="s">
        <v>705</v>
      </c>
      <c r="C101" t="s">
        <v>721</v>
      </c>
      <c r="D101" t="s">
        <v>740</v>
      </c>
      <c r="E101">
        <v>74</v>
      </c>
      <c r="F101" t="s">
        <v>706</v>
      </c>
      <c r="G101" t="s">
        <v>707</v>
      </c>
      <c r="H101" t="s">
        <v>707</v>
      </c>
      <c r="I101" t="s">
        <v>707</v>
      </c>
      <c r="J101" t="s">
        <v>30</v>
      </c>
      <c r="K101" s="5">
        <v>64736</v>
      </c>
      <c r="L101" s="5" t="s">
        <v>55</v>
      </c>
      <c r="M101" t="s">
        <v>32</v>
      </c>
      <c r="N101" t="s">
        <v>708</v>
      </c>
      <c r="O101" t="s">
        <v>101</v>
      </c>
      <c r="P101" t="s">
        <v>58</v>
      </c>
      <c r="R101" t="s">
        <v>741</v>
      </c>
      <c r="S101" t="s">
        <v>514</v>
      </c>
      <c r="U101" s="2">
        <v>46237</v>
      </c>
      <c r="V101" t="s">
        <v>736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7">
        <f>+IF(Control[[#This Row],[Fecha de entrega]]="","",NETWORKDAYS(Control[[#This Row],[Fecha Requisición]],Control[[#This Row],[Fecha de entrega]]))</f>
        <v>6</v>
      </c>
      <c r="AA101" s="16">
        <f>+_xlfn.ISOWEEKNUM(Control[[#This Row],[Fecha Requisición]])</f>
        <v>31</v>
      </c>
    </row>
    <row r="102" spans="1:27">
      <c r="A102" t="s">
        <v>695</v>
      </c>
      <c r="B102" t="s">
        <v>696</v>
      </c>
      <c r="C102" t="s">
        <v>697</v>
      </c>
      <c r="D102" t="s">
        <v>698</v>
      </c>
      <c r="E102">
        <v>75</v>
      </c>
      <c r="F102" t="s">
        <v>699</v>
      </c>
      <c r="G102" t="s">
        <v>700</v>
      </c>
      <c r="H102" t="s">
        <v>700</v>
      </c>
      <c r="I102" t="s">
        <v>700</v>
      </c>
      <c r="J102" t="s">
        <v>39</v>
      </c>
      <c r="K102" s="5">
        <v>112990</v>
      </c>
      <c r="L102" s="5" t="s">
        <v>55</v>
      </c>
      <c r="M102" t="s">
        <v>701</v>
      </c>
      <c r="N102" t="s">
        <v>702</v>
      </c>
      <c r="O102" t="s">
        <v>57</v>
      </c>
      <c r="P102" t="s">
        <v>58</v>
      </c>
      <c r="Q102" t="s">
        <v>94</v>
      </c>
      <c r="R102" t="s">
        <v>703</v>
      </c>
      <c r="S102" t="s">
        <v>514</v>
      </c>
      <c r="U102" s="2">
        <v>46232</v>
      </c>
      <c r="V102" t="s">
        <v>737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7">
        <f>+IF(Control[[#This Row],[Fecha de entrega]]="","",NETWORKDAYS(Control[[#This Row],[Fecha Requisición]],Control[[#This Row],[Fecha de entrega]]))</f>
        <v>2</v>
      </c>
      <c r="AA102" s="16">
        <f>+_xlfn.ISOWEEKNUM(Control[[#This Row],[Fecha Requisición]])</f>
        <v>31</v>
      </c>
    </row>
    <row r="103" spans="1:27">
      <c r="A103" t="s">
        <v>709</v>
      </c>
      <c r="B103" t="s">
        <v>710</v>
      </c>
      <c r="C103" t="s">
        <v>711</v>
      </c>
      <c r="D103" t="s">
        <v>717</v>
      </c>
      <c r="E103">
        <v>76</v>
      </c>
      <c r="F103" t="s">
        <v>712</v>
      </c>
      <c r="G103" t="s">
        <v>700</v>
      </c>
      <c r="H103" t="s">
        <v>700</v>
      </c>
      <c r="I103" t="s">
        <v>700</v>
      </c>
      <c r="J103" t="s">
        <v>30</v>
      </c>
      <c r="K103" s="5">
        <v>117668</v>
      </c>
      <c r="L103" s="5" t="s">
        <v>55</v>
      </c>
      <c r="M103" t="s">
        <v>174</v>
      </c>
      <c r="N103" t="s">
        <v>93</v>
      </c>
      <c r="O103" t="s">
        <v>57</v>
      </c>
      <c r="P103" t="s">
        <v>58</v>
      </c>
      <c r="Q103" t="s">
        <v>94</v>
      </c>
      <c r="R103" t="s">
        <v>718</v>
      </c>
      <c r="S103" t="s">
        <v>514</v>
      </c>
      <c r="U103" s="2">
        <v>46239</v>
      </c>
      <c r="V103" t="s">
        <v>738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7">
        <f>+IF(Control[[#This Row],[Fecha de entrega]]="","",NETWORKDAYS(Control[[#This Row],[Fecha Requisición]],Control[[#This Row],[Fecha de entrega]]))</f>
        <v>7</v>
      </c>
      <c r="AA103" s="16">
        <f>+_xlfn.ISOWEEKNUM(Control[[#This Row],[Fecha Requisición]])</f>
        <v>31</v>
      </c>
    </row>
    <row r="104" spans="1:27">
      <c r="A104" t="s">
        <v>199</v>
      </c>
      <c r="B104" t="s">
        <v>200</v>
      </c>
      <c r="C104" t="s">
        <v>201</v>
      </c>
      <c r="E104">
        <v>18</v>
      </c>
      <c r="F104" t="s">
        <v>202</v>
      </c>
      <c r="G104" t="s">
        <v>203</v>
      </c>
      <c r="H104" t="s">
        <v>203</v>
      </c>
      <c r="K104" s="5"/>
      <c r="L104" s="5" t="s">
        <v>55</v>
      </c>
      <c r="N104" t="s">
        <v>204</v>
      </c>
      <c r="O104" t="s">
        <v>86</v>
      </c>
      <c r="P104" t="s">
        <v>58</v>
      </c>
      <c r="Q104" t="s">
        <v>36</v>
      </c>
      <c r="S104" t="s">
        <v>644</v>
      </c>
      <c r="V104" t="s">
        <v>519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4" s="9">
        <f>+DATE(YEAR(Control[[#This Row],[Fecha Requisición]]),MONTH(Control[[#This Row],[Fecha Requisición]]),1)</f>
        <v>46174</v>
      </c>
      <c r="Y104" s="17" t="str">
        <f>+IF(Control[[#This Row],[Fecha de entrega]]="","",NETWORKDAYS(Control[[#This Row],[Fecha Requisición]],Control[[#This Row],[Fecha de entrega]]))</f>
        <v/>
      </c>
      <c r="AA104" s="16">
        <f>+_xlfn.ISOWEEKNUM(Control[[#This Row],[Fecha Requisición]])</f>
        <v>23</v>
      </c>
    </row>
    <row r="105" spans="1:27">
      <c r="A105" t="s">
        <v>205</v>
      </c>
      <c r="B105" t="s">
        <v>206</v>
      </c>
      <c r="C105" t="s">
        <v>719</v>
      </c>
      <c r="E105">
        <v>21</v>
      </c>
      <c r="F105" t="s">
        <v>207</v>
      </c>
      <c r="G105" t="s">
        <v>195</v>
      </c>
      <c r="H105" t="s">
        <v>195</v>
      </c>
      <c r="K105" s="5"/>
      <c r="L105" s="5" t="s">
        <v>31</v>
      </c>
      <c r="N105" t="s">
        <v>167</v>
      </c>
      <c r="O105" t="s">
        <v>86</v>
      </c>
      <c r="P105" t="s">
        <v>35</v>
      </c>
      <c r="Q105" t="s">
        <v>36</v>
      </c>
      <c r="S105" t="s">
        <v>644</v>
      </c>
      <c r="V105" t="s">
        <v>723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5" s="9">
        <f>+DATE(YEAR(Control[[#This Row],[Fecha Requisición]]),MONTH(Control[[#This Row],[Fecha Requisición]]),1)</f>
        <v>46174</v>
      </c>
      <c r="Y105" s="17" t="str">
        <f>+IF(Control[[#This Row],[Fecha de entrega]]="","",NETWORKDAYS(Control[[#This Row],[Fecha Requisición]],Control[[#This Row],[Fecha de entrega]]))</f>
        <v/>
      </c>
      <c r="AA105" s="16">
        <f>+_xlfn.ISOWEEKNUM(Control[[#This Row],[Fecha Requisición]])</f>
        <v>23</v>
      </c>
    </row>
    <row r="106" spans="1:27">
      <c r="A106" t="s">
        <v>208</v>
      </c>
      <c r="B106" t="s">
        <v>209</v>
      </c>
      <c r="C106" t="s">
        <v>210</v>
      </c>
      <c r="E106">
        <v>26</v>
      </c>
      <c r="F106" t="s">
        <v>211</v>
      </c>
      <c r="G106" t="s">
        <v>212</v>
      </c>
      <c r="H106" t="s">
        <v>212</v>
      </c>
      <c r="K106" s="5"/>
      <c r="L106" s="5" t="s">
        <v>31</v>
      </c>
      <c r="N106" t="s">
        <v>213</v>
      </c>
      <c r="O106" t="s">
        <v>101</v>
      </c>
      <c r="P106" t="s">
        <v>124</v>
      </c>
      <c r="Q106" t="s">
        <v>36</v>
      </c>
      <c r="S106" t="s">
        <v>644</v>
      </c>
      <c r="V106" t="s">
        <v>644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6" s="9">
        <f>+DATE(YEAR(Control[[#This Row],[Fecha Requisición]]),MONTH(Control[[#This Row],[Fecha Requisición]]),1)</f>
        <v>46174</v>
      </c>
      <c r="Y106" s="17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25</v>
      </c>
    </row>
    <row r="107" spans="1:27">
      <c r="A107" t="s">
        <v>214</v>
      </c>
      <c r="B107" t="s">
        <v>215</v>
      </c>
      <c r="C107" t="s">
        <v>216</v>
      </c>
      <c r="E107">
        <v>27</v>
      </c>
      <c r="F107" t="s">
        <v>217</v>
      </c>
      <c r="G107" t="s">
        <v>218</v>
      </c>
      <c r="H107" t="s">
        <v>218</v>
      </c>
      <c r="K107" s="5"/>
      <c r="L107" s="5" t="s">
        <v>31</v>
      </c>
      <c r="N107" t="s">
        <v>219</v>
      </c>
      <c r="O107" t="s">
        <v>101</v>
      </c>
      <c r="P107" t="s">
        <v>124</v>
      </c>
      <c r="Q107" t="s">
        <v>36</v>
      </c>
      <c r="S107" t="s">
        <v>644</v>
      </c>
      <c r="V107" t="s">
        <v>644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7" s="9">
        <f>+DATE(YEAR(Control[[#This Row],[Fecha Requisición]]),MONTH(Control[[#This Row],[Fecha Requisición]]),1)</f>
        <v>46174</v>
      </c>
      <c r="Y107" s="17" t="str">
        <f>+IF(Control[[#This Row],[Fecha de entrega]]="","",NETWORKDAYS(Control[[#This Row],[Fecha Requisición]],Control[[#This Row],[Fecha de entrega]]))</f>
        <v/>
      </c>
      <c r="AA107" s="16">
        <f>+_xlfn.ISOWEEKNUM(Control[[#This Row],[Fecha Requisición]])</f>
        <v>24</v>
      </c>
    </row>
    <row r="108" spans="1:27">
      <c r="A108" t="s">
        <v>220</v>
      </c>
      <c r="B108" t="s">
        <v>221</v>
      </c>
      <c r="C108" t="s">
        <v>222</v>
      </c>
      <c r="E108">
        <v>28</v>
      </c>
      <c r="F108" t="s">
        <v>223</v>
      </c>
      <c r="G108" t="s">
        <v>218</v>
      </c>
      <c r="H108" t="s">
        <v>218</v>
      </c>
      <c r="K108" s="5"/>
      <c r="L108" s="5" t="s">
        <v>31</v>
      </c>
      <c r="N108" t="s">
        <v>158</v>
      </c>
      <c r="O108" t="s">
        <v>57</v>
      </c>
      <c r="P108" t="s">
        <v>124</v>
      </c>
      <c r="Q108" t="s">
        <v>36</v>
      </c>
      <c r="S108" t="s">
        <v>644</v>
      </c>
      <c r="V108" t="s">
        <v>644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08" s="9">
        <f>+DATE(YEAR(Control[[#This Row],[Fecha Requisición]]),MONTH(Control[[#This Row],[Fecha Requisición]]),1)</f>
        <v>46174</v>
      </c>
      <c r="Y108" s="17" t="str">
        <f>+IF(Control[[#This Row],[Fecha de entrega]]="","",NETWORKDAYS(Control[[#This Row],[Fecha Requisición]],Control[[#This Row],[Fecha de entrega]]))</f>
        <v/>
      </c>
      <c r="AA108" s="16">
        <f>+_xlfn.ISOWEEKNUM(Control[[#This Row],[Fecha Requisición]])</f>
        <v>24</v>
      </c>
    </row>
    <row r="109" spans="1:27">
      <c r="A109" t="s">
        <v>224</v>
      </c>
      <c r="B109" t="s">
        <v>225</v>
      </c>
      <c r="C109" t="s">
        <v>226</v>
      </c>
      <c r="E109">
        <v>29</v>
      </c>
      <c r="F109" t="s">
        <v>227</v>
      </c>
      <c r="G109" t="s">
        <v>212</v>
      </c>
      <c r="H109" t="s">
        <v>212</v>
      </c>
      <c r="K109" s="5"/>
      <c r="L109" s="5" t="s">
        <v>31</v>
      </c>
      <c r="N109" t="s">
        <v>219</v>
      </c>
      <c r="O109" t="s">
        <v>101</v>
      </c>
      <c r="P109" t="s">
        <v>124</v>
      </c>
      <c r="Q109" t="s">
        <v>36</v>
      </c>
      <c r="S109" t="s">
        <v>517</v>
      </c>
      <c r="V109" t="s">
        <v>725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09" s="9">
        <f>+DATE(YEAR(Control[[#This Row],[Fecha Requisición]]),MONTH(Control[[#This Row],[Fecha Requisición]]),1)</f>
        <v>46174</v>
      </c>
      <c r="Y109" s="17" t="str">
        <f>+IF(Control[[#This Row],[Fecha de entrega]]="","",NETWORKDAYS(Control[[#This Row],[Fecha Requisición]],Control[[#This Row],[Fecha de entrega]]))</f>
        <v/>
      </c>
      <c r="AA109" s="16">
        <f>+_xlfn.ISOWEEKNUM(Control[[#This Row],[Fecha Requisición]])</f>
        <v>25</v>
      </c>
    </row>
    <row r="110" spans="1:27">
      <c r="A110" t="s">
        <v>379</v>
      </c>
      <c r="B110" t="s">
        <v>380</v>
      </c>
      <c r="C110" t="s">
        <v>603</v>
      </c>
      <c r="E110">
        <v>47</v>
      </c>
      <c r="F110" t="s">
        <v>381</v>
      </c>
      <c r="G110" t="s">
        <v>382</v>
      </c>
      <c r="H110" t="s">
        <v>382</v>
      </c>
      <c r="K110" s="5"/>
      <c r="L110" s="5" t="s">
        <v>55</v>
      </c>
      <c r="N110" t="s">
        <v>383</v>
      </c>
      <c r="O110" t="s">
        <v>384</v>
      </c>
      <c r="P110" t="s">
        <v>58</v>
      </c>
      <c r="Q110" t="s">
        <v>36</v>
      </c>
      <c r="S110" t="s">
        <v>644</v>
      </c>
      <c r="V110" t="s">
        <v>729</v>
      </c>
      <c r="W110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0" s="9">
        <f>+DATE(YEAR(Control[[#This Row],[Fecha Requisición]]),MONTH(Control[[#This Row],[Fecha Requisición]]),1)</f>
        <v>46204</v>
      </c>
      <c r="Y110" s="17" t="str">
        <f>+IF(Control[[#This Row],[Fecha de entrega]]="","",NETWORKDAYS(Control[[#This Row],[Fecha Requisición]],Control[[#This Row],[Fecha de entrega]]))</f>
        <v/>
      </c>
      <c r="AA110" s="16">
        <f>+_xlfn.ISOWEEKNUM(Control[[#This Row],[Fecha Requisición]])</f>
        <v>28</v>
      </c>
    </row>
    <row r="111" spans="1:27">
      <c r="A111" t="s">
        <v>385</v>
      </c>
      <c r="B111" t="s">
        <v>386</v>
      </c>
      <c r="C111" t="s">
        <v>604</v>
      </c>
      <c r="E111">
        <v>48</v>
      </c>
      <c r="F111" t="s">
        <v>387</v>
      </c>
      <c r="G111" t="s">
        <v>382</v>
      </c>
      <c r="H111" t="s">
        <v>382</v>
      </c>
      <c r="K111" s="5"/>
      <c r="L111" s="5"/>
      <c r="N111" t="s">
        <v>388</v>
      </c>
      <c r="O111" t="s">
        <v>176</v>
      </c>
      <c r="P111" t="s">
        <v>58</v>
      </c>
      <c r="Q111" t="s">
        <v>94</v>
      </c>
      <c r="S111" t="s">
        <v>517</v>
      </c>
      <c r="V111" t="s">
        <v>730</v>
      </c>
      <c r="W111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1" s="9">
        <f>+DATE(YEAR(Control[[#This Row],[Fecha Requisición]]),MONTH(Control[[#This Row],[Fecha Requisición]]),1)</f>
        <v>46204</v>
      </c>
      <c r="Y111" s="17" t="str">
        <f>+IF(Control[[#This Row],[Fecha de entrega]]="","",NETWORKDAYS(Control[[#This Row],[Fecha Requisición]],Control[[#This Row],[Fecha de entrega]]))</f>
        <v/>
      </c>
      <c r="AA111" s="16">
        <f>+_xlfn.ISOWEEKNUM(Control[[#This Row],[Fecha Requisición]])</f>
        <v>28</v>
      </c>
    </row>
    <row r="112" spans="1:27">
      <c r="A112" t="s">
        <v>411</v>
      </c>
      <c r="B112" t="s">
        <v>412</v>
      </c>
      <c r="C112" t="s">
        <v>606</v>
      </c>
      <c r="E112">
        <v>55</v>
      </c>
      <c r="F112" t="s">
        <v>413</v>
      </c>
      <c r="G112" t="s">
        <v>407</v>
      </c>
      <c r="H112" t="s">
        <v>407</v>
      </c>
      <c r="K112" s="5"/>
      <c r="L112" s="5" t="s">
        <v>31</v>
      </c>
      <c r="N112" t="s">
        <v>307</v>
      </c>
      <c r="O112" t="s">
        <v>57</v>
      </c>
      <c r="P112" t="s">
        <v>124</v>
      </c>
      <c r="Q112" t="s">
        <v>36</v>
      </c>
      <c r="S112" t="s">
        <v>514</v>
      </c>
      <c r="T112" s="2">
        <v>46231</v>
      </c>
      <c r="U112" s="2">
        <v>46207</v>
      </c>
      <c r="V112" t="s">
        <v>731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2" s="9">
        <f>+DATE(YEAR(Control[[#This Row],[Fecha Requisición]]),MONTH(Control[[#This Row],[Fecha Requisición]]),1)</f>
        <v>46204</v>
      </c>
      <c r="Y112" s="17">
        <f>+IF(Control[[#This Row],[Fecha de entrega]]="","",NETWORKDAYS(Control[[#This Row],[Fecha Requisición]],Control[[#This Row],[Fecha de entrega]]))</f>
        <v>-3</v>
      </c>
      <c r="AA112" s="16">
        <f>+_xlfn.ISOWEEKNUM(Control[[#This Row],[Fecha Requisición]])</f>
        <v>28</v>
      </c>
    </row>
    <row r="113" spans="1:27">
      <c r="A113" t="s">
        <v>637</v>
      </c>
      <c r="B113" t="s">
        <v>638</v>
      </c>
      <c r="C113" t="s">
        <v>676</v>
      </c>
      <c r="E113">
        <v>71</v>
      </c>
      <c r="F113" t="s">
        <v>639</v>
      </c>
      <c r="G113" t="s">
        <v>640</v>
      </c>
      <c r="H113" t="s">
        <v>640</v>
      </c>
      <c r="K113" s="5"/>
      <c r="L113" s="5" t="s">
        <v>31</v>
      </c>
      <c r="N113" t="s">
        <v>307</v>
      </c>
      <c r="O113" t="s">
        <v>86</v>
      </c>
      <c r="P113" t="s">
        <v>124</v>
      </c>
      <c r="Q113" t="s">
        <v>36</v>
      </c>
      <c r="S113" t="s">
        <v>517</v>
      </c>
      <c r="V113" t="s">
        <v>734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3" s="9">
        <f>+DATE(YEAR(Control[[#This Row],[Fecha Requisición]]),MONTH(Control[[#This Row],[Fecha Requisición]]),1)</f>
        <v>46204</v>
      </c>
      <c r="Y113" s="17" t="str">
        <f>+IF(Control[[#This Row],[Fecha de entrega]]="","",NETWORKDAYS(Control[[#This Row],[Fecha Requisición]],Control[[#This Row],[Fecha de entrega]]))</f>
        <v/>
      </c>
      <c r="AA113" s="16">
        <f>+_xlfn.ISOWEEKNUM(Control[[#This Row],[Fecha Requisición]])</f>
        <v>30</v>
      </c>
    </row>
    <row r="114" spans="1:27">
      <c r="A114" t="s">
        <v>641</v>
      </c>
      <c r="B114" t="s">
        <v>642</v>
      </c>
      <c r="C114" t="s">
        <v>677</v>
      </c>
      <c r="E114">
        <v>72</v>
      </c>
      <c r="F114" t="s">
        <v>643</v>
      </c>
      <c r="G114" t="s">
        <v>640</v>
      </c>
      <c r="H114" t="s">
        <v>640</v>
      </c>
      <c r="K114" s="5"/>
      <c r="L114" s="5" t="s">
        <v>31</v>
      </c>
      <c r="N114" t="s">
        <v>307</v>
      </c>
      <c r="O114" t="s">
        <v>86</v>
      </c>
      <c r="P114" t="s">
        <v>124</v>
      </c>
      <c r="Q114" t="s">
        <v>36</v>
      </c>
      <c r="S114" t="s">
        <v>517</v>
      </c>
      <c r="V114" t="s">
        <v>735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4" s="9">
        <f>+DATE(YEAR(Control[[#This Row],[Fecha Requisición]]),MONTH(Control[[#This Row],[Fecha Requisición]]),1)</f>
        <v>46204</v>
      </c>
      <c r="Y114" s="17" t="str">
        <f>+IF(Control[[#This Row],[Fecha de entrega]]="","",NETWORKDAYS(Control[[#This Row],[Fecha Requisición]],Control[[#This Row],[Fecha de entrega]]))</f>
        <v/>
      </c>
      <c r="AA114" s="16">
        <f>+_xlfn.ISOWEEKNUM(Control[[#This Row],[Fecha Requisición]])</f>
        <v>30</v>
      </c>
    </row>
    <row r="115" spans="1:27">
      <c r="A115" t="s">
        <v>678</v>
      </c>
      <c r="B115" t="s">
        <v>720</v>
      </c>
      <c r="C115" t="s">
        <v>679</v>
      </c>
      <c r="E115">
        <v>73</v>
      </c>
      <c r="F115" t="s">
        <v>680</v>
      </c>
      <c r="G115" t="s">
        <v>630</v>
      </c>
      <c r="H115" t="s">
        <v>630</v>
      </c>
      <c r="K115" s="5"/>
      <c r="L115" s="5" t="s">
        <v>55</v>
      </c>
      <c r="N115" t="s">
        <v>67</v>
      </c>
      <c r="O115" t="s">
        <v>176</v>
      </c>
      <c r="P115" t="s">
        <v>58</v>
      </c>
      <c r="Q115" t="s">
        <v>59</v>
      </c>
      <c r="S115" t="s">
        <v>514</v>
      </c>
      <c r="T115" s="2">
        <v>46232</v>
      </c>
      <c r="U115" s="2">
        <v>46232</v>
      </c>
      <c r="V115" t="s">
        <v>645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15" s="9">
        <f>+DATE(YEAR(Control[[#This Row],[Fecha Requisición]]),MONTH(Control[[#This Row],[Fecha Requisición]]),1)</f>
        <v>46204</v>
      </c>
      <c r="Y115" s="17">
        <f>+IF(Control[[#This Row],[Fecha de entrega]]="","",NETWORKDAYS(Control[[#This Row],[Fecha Requisición]],Control[[#This Row],[Fecha de entrega]]))</f>
        <v>6</v>
      </c>
      <c r="AA115" s="16">
        <f>+_xlfn.ISOWEEKNUM(Control[[#This Row],[Fecha Requisición]])</f>
        <v>30</v>
      </c>
    </row>
    <row r="116" spans="1:27">
      <c r="Z116" s="2"/>
    </row>
    <row r="117" spans="1:27">
      <c r="Z117" s="2"/>
    </row>
    <row r="118" spans="1:27">
      <c r="Z118" s="2"/>
    </row>
    <row r="130" spans="3:4" ht="15.75" thickBot="1"/>
    <row r="131" spans="3:4" ht="15.75" thickBot="1">
      <c r="C131" s="15" t="s">
        <v>617</v>
      </c>
      <c r="D131" s="15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81"/>
  <sheetViews>
    <sheetView topLeftCell="A48" workbookViewId="0">
      <selection activeCell="B77" sqref="B77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>
      <c r="A2" s="3">
        <v>1</v>
      </c>
      <c r="B2" t="s">
        <v>514</v>
      </c>
      <c r="C2" s="1" t="s">
        <v>515</v>
      </c>
      <c r="D2" s="3"/>
      <c r="E2" s="12">
        <v>46177</v>
      </c>
      <c r="F2" t="s">
        <v>645</v>
      </c>
    </row>
    <row r="3" spans="1:6">
      <c r="A3" s="3">
        <v>2</v>
      </c>
      <c r="B3" t="s">
        <v>514</v>
      </c>
      <c r="C3" s="1" t="s">
        <v>516</v>
      </c>
      <c r="D3" s="3"/>
      <c r="E3" s="12">
        <v>46177</v>
      </c>
      <c r="F3" t="s">
        <v>645</v>
      </c>
    </row>
    <row r="4" spans="1:6">
      <c r="A4" s="3">
        <v>3</v>
      </c>
      <c r="B4" t="s">
        <v>514</v>
      </c>
      <c r="C4" s="1" t="s">
        <v>516</v>
      </c>
      <c r="D4" s="3"/>
      <c r="E4" s="12">
        <v>46171</v>
      </c>
      <c r="F4" t="s">
        <v>645</v>
      </c>
    </row>
    <row r="5" spans="1:6">
      <c r="A5" s="3">
        <v>4</v>
      </c>
      <c r="B5" t="s">
        <v>514</v>
      </c>
      <c r="C5" s="1" t="s">
        <v>515</v>
      </c>
      <c r="D5" s="3"/>
      <c r="E5" s="12">
        <v>46177</v>
      </c>
      <c r="F5" t="s">
        <v>645</v>
      </c>
    </row>
    <row r="6" spans="1:6">
      <c r="A6" s="3">
        <v>5</v>
      </c>
      <c r="B6" t="s">
        <v>514</v>
      </c>
      <c r="C6" s="1" t="s">
        <v>516</v>
      </c>
      <c r="D6" s="3"/>
      <c r="E6" s="12">
        <v>46171</v>
      </c>
      <c r="F6" t="s">
        <v>645</v>
      </c>
    </row>
    <row r="7" spans="1:6">
      <c r="A7" s="3">
        <v>6</v>
      </c>
      <c r="B7" t="s">
        <v>514</v>
      </c>
      <c r="C7" s="1" t="s">
        <v>516</v>
      </c>
      <c r="D7" s="12">
        <v>46170</v>
      </c>
      <c r="E7" s="12">
        <v>46175</v>
      </c>
      <c r="F7" t="s">
        <v>645</v>
      </c>
    </row>
    <row r="8" spans="1:6">
      <c r="A8" s="3">
        <v>7</v>
      </c>
      <c r="B8" t="s">
        <v>514</v>
      </c>
      <c r="C8" s="1" t="s">
        <v>516</v>
      </c>
      <c r="D8" s="12">
        <v>46171</v>
      </c>
      <c r="E8" s="12">
        <v>46175</v>
      </c>
      <c r="F8" t="s">
        <v>645</v>
      </c>
    </row>
    <row r="9" spans="1:6">
      <c r="A9" s="3">
        <v>8</v>
      </c>
      <c r="B9" t="s">
        <v>514</v>
      </c>
      <c r="C9" s="1" t="s">
        <v>516</v>
      </c>
      <c r="D9" s="3"/>
      <c r="E9" s="12">
        <v>46179</v>
      </c>
      <c r="F9" t="s">
        <v>645</v>
      </c>
    </row>
    <row r="10" spans="1:6">
      <c r="A10" s="3">
        <v>9</v>
      </c>
      <c r="B10" t="s">
        <v>514</v>
      </c>
      <c r="C10" s="1" t="s">
        <v>516</v>
      </c>
      <c r="D10" s="3"/>
      <c r="E10" s="12">
        <v>46179</v>
      </c>
      <c r="F10" t="s">
        <v>645</v>
      </c>
    </row>
    <row r="11" spans="1:6">
      <c r="A11" s="3">
        <v>10</v>
      </c>
      <c r="B11" t="s">
        <v>514</v>
      </c>
      <c r="C11" s="1" t="s">
        <v>515</v>
      </c>
      <c r="D11" s="12">
        <v>46170</v>
      </c>
      <c r="E11" s="12">
        <v>46181</v>
      </c>
      <c r="F11" t="s">
        <v>645</v>
      </c>
    </row>
    <row r="12" spans="1:6">
      <c r="A12" s="3">
        <v>11</v>
      </c>
      <c r="B12" t="s">
        <v>514</v>
      </c>
      <c r="C12" s="1" t="s">
        <v>515</v>
      </c>
      <c r="D12" s="12">
        <v>46170</v>
      </c>
      <c r="E12" s="3" t="s">
        <v>722</v>
      </c>
      <c r="F12" t="s">
        <v>645</v>
      </c>
    </row>
    <row r="13" spans="1:6">
      <c r="A13" s="3">
        <v>12</v>
      </c>
      <c r="B13" t="s">
        <v>514</v>
      </c>
      <c r="C13" s="1" t="s">
        <v>515</v>
      </c>
      <c r="D13" s="12">
        <v>46170</v>
      </c>
      <c r="E13" s="12">
        <v>46170</v>
      </c>
      <c r="F13" t="s">
        <v>645</v>
      </c>
    </row>
    <row r="14" spans="1:6">
      <c r="A14" s="3">
        <v>13</v>
      </c>
      <c r="B14" t="s">
        <v>514</v>
      </c>
      <c r="C14" s="1" t="s">
        <v>515</v>
      </c>
      <c r="D14" s="12">
        <v>46170</v>
      </c>
      <c r="E14" s="12">
        <v>46171</v>
      </c>
      <c r="F14" t="s">
        <v>645</v>
      </c>
    </row>
    <row r="15" spans="1:6">
      <c r="A15" s="3">
        <v>14</v>
      </c>
      <c r="B15" t="s">
        <v>514</v>
      </c>
      <c r="C15" s="1" t="s">
        <v>515</v>
      </c>
      <c r="D15" s="3"/>
      <c r="E15" s="12">
        <v>46176</v>
      </c>
      <c r="F15" t="s">
        <v>645</v>
      </c>
    </row>
    <row r="16" spans="1:6">
      <c r="A16" s="3">
        <v>15</v>
      </c>
      <c r="B16" t="s">
        <v>514</v>
      </c>
      <c r="C16" s="1" t="s">
        <v>515</v>
      </c>
      <c r="D16" s="3"/>
      <c r="E16" s="12">
        <v>46188</v>
      </c>
      <c r="F16" t="s">
        <v>645</v>
      </c>
    </row>
    <row r="17" spans="1:8">
      <c r="A17" s="3">
        <v>16</v>
      </c>
      <c r="B17" t="s">
        <v>514</v>
      </c>
      <c r="C17" s="1" t="s">
        <v>515</v>
      </c>
      <c r="D17" s="12">
        <v>46175</v>
      </c>
      <c r="E17" s="12">
        <v>46181</v>
      </c>
      <c r="F17" t="s">
        <v>645</v>
      </c>
    </row>
    <row r="18" spans="1:8">
      <c r="A18" s="3">
        <v>17</v>
      </c>
      <c r="B18" t="s">
        <v>514</v>
      </c>
      <c r="C18" s="1" t="s">
        <v>515</v>
      </c>
      <c r="D18" s="3"/>
      <c r="E18" s="12">
        <v>46189</v>
      </c>
      <c r="F18" t="s">
        <v>645</v>
      </c>
    </row>
    <row r="19" spans="1:8">
      <c r="A19" s="18">
        <v>18</v>
      </c>
      <c r="B19" s="13" t="s">
        <v>644</v>
      </c>
      <c r="C19" s="19" t="s">
        <v>515</v>
      </c>
      <c r="D19" s="18" t="s">
        <v>519</v>
      </c>
      <c r="E19" s="18" t="s">
        <v>519</v>
      </c>
      <c r="F19" s="13" t="s">
        <v>519</v>
      </c>
    </row>
    <row r="20" spans="1:8">
      <c r="A20" s="3">
        <v>19</v>
      </c>
      <c r="B20" t="s">
        <v>514</v>
      </c>
      <c r="C20" s="1" t="s">
        <v>516</v>
      </c>
      <c r="D20" s="12">
        <v>46191</v>
      </c>
      <c r="E20" s="12">
        <v>46192</v>
      </c>
      <c r="F20" t="s">
        <v>645</v>
      </c>
    </row>
    <row r="21" spans="1:8">
      <c r="A21" s="3">
        <v>20</v>
      </c>
      <c r="B21" t="s">
        <v>514</v>
      </c>
      <c r="C21" s="1" t="s">
        <v>515</v>
      </c>
      <c r="D21" s="3"/>
      <c r="E21" s="12">
        <v>46188</v>
      </c>
      <c r="F21" t="s">
        <v>645</v>
      </c>
    </row>
    <row r="22" spans="1:8">
      <c r="A22" s="3">
        <v>21</v>
      </c>
      <c r="B22" s="13" t="s">
        <v>644</v>
      </c>
      <c r="C22" s="1" t="s">
        <v>517</v>
      </c>
      <c r="D22" s="3" t="s">
        <v>517</v>
      </c>
      <c r="E22" s="3" t="s">
        <v>517</v>
      </c>
      <c r="F22" t="s">
        <v>723</v>
      </c>
    </row>
    <row r="23" spans="1:8">
      <c r="A23" s="3">
        <v>22</v>
      </c>
      <c r="B23" t="s">
        <v>514</v>
      </c>
      <c r="C23" s="1" t="s">
        <v>515</v>
      </c>
      <c r="D23" s="3"/>
      <c r="E23" s="12">
        <v>46190</v>
      </c>
      <c r="F23" t="s">
        <v>724</v>
      </c>
    </row>
    <row r="24" spans="1:8">
      <c r="A24" s="3">
        <v>23</v>
      </c>
      <c r="B24" t="s">
        <v>514</v>
      </c>
      <c r="C24" s="1" t="s">
        <v>515</v>
      </c>
      <c r="D24" s="12">
        <v>46198</v>
      </c>
      <c r="E24" s="12">
        <v>46204</v>
      </c>
      <c r="F24" t="s">
        <v>645</v>
      </c>
    </row>
    <row r="25" spans="1:8">
      <c r="A25" s="3">
        <v>24</v>
      </c>
      <c r="B25" t="s">
        <v>514</v>
      </c>
      <c r="C25" s="1" t="s">
        <v>515</v>
      </c>
      <c r="D25" s="3"/>
      <c r="E25" s="12">
        <v>46207</v>
      </c>
      <c r="F25" t="s">
        <v>645</v>
      </c>
      <c r="H25">
        <v>2</v>
      </c>
    </row>
    <row r="26" spans="1:8">
      <c r="A26" s="3">
        <v>25</v>
      </c>
      <c r="B26" t="s">
        <v>514</v>
      </c>
      <c r="C26" s="1" t="s">
        <v>515</v>
      </c>
      <c r="D26" s="3"/>
      <c r="E26" s="12">
        <v>46199</v>
      </c>
      <c r="F26" t="s">
        <v>645</v>
      </c>
    </row>
    <row r="27" spans="1:8">
      <c r="A27" s="3">
        <v>26</v>
      </c>
      <c r="B27" s="13" t="s">
        <v>644</v>
      </c>
      <c r="C27" s="18" t="s">
        <v>644</v>
      </c>
      <c r="D27" s="13" t="s">
        <v>644</v>
      </c>
      <c r="E27" s="13" t="s">
        <v>644</v>
      </c>
      <c r="F27" s="13" t="s">
        <v>644</v>
      </c>
    </row>
    <row r="28" spans="1:8">
      <c r="A28" s="3">
        <v>27</v>
      </c>
      <c r="B28" s="13" t="s">
        <v>644</v>
      </c>
      <c r="C28" s="18" t="s">
        <v>644</v>
      </c>
      <c r="D28" s="13" t="s">
        <v>644</v>
      </c>
      <c r="E28" s="13" t="s">
        <v>644</v>
      </c>
      <c r="F28" s="13" t="s">
        <v>644</v>
      </c>
    </row>
    <row r="29" spans="1:8">
      <c r="A29" s="3">
        <v>28</v>
      </c>
      <c r="B29" s="13" t="s">
        <v>644</v>
      </c>
      <c r="C29" s="18" t="s">
        <v>644</v>
      </c>
      <c r="D29" s="13" t="s">
        <v>644</v>
      </c>
      <c r="E29" s="13" t="s">
        <v>644</v>
      </c>
      <c r="F29" s="13" t="s">
        <v>644</v>
      </c>
    </row>
    <row r="30" spans="1:8">
      <c r="A30" s="3">
        <v>29</v>
      </c>
      <c r="B30" t="s">
        <v>517</v>
      </c>
      <c r="C30" s="1" t="s">
        <v>515</v>
      </c>
      <c r="D30" s="3"/>
      <c r="E30" s="3"/>
      <c r="F30" t="s">
        <v>725</v>
      </c>
    </row>
    <row r="31" spans="1:8">
      <c r="A31" s="3">
        <v>30</v>
      </c>
      <c r="B31" t="s">
        <v>514</v>
      </c>
      <c r="C31" s="1" t="s">
        <v>516</v>
      </c>
      <c r="D31" s="3"/>
      <c r="E31" s="12">
        <v>46203</v>
      </c>
      <c r="F31" t="s">
        <v>645</v>
      </c>
    </row>
    <row r="32" spans="1:8">
      <c r="A32" s="3">
        <v>31</v>
      </c>
      <c r="B32" t="s">
        <v>514</v>
      </c>
      <c r="C32" s="1" t="s">
        <v>516</v>
      </c>
      <c r="D32" s="3"/>
      <c r="E32" s="12">
        <v>46571</v>
      </c>
      <c r="F32" t="s">
        <v>645</v>
      </c>
    </row>
    <row r="33" spans="1:6">
      <c r="A33" s="3">
        <v>32</v>
      </c>
      <c r="B33" t="s">
        <v>514</v>
      </c>
      <c r="C33" s="1" t="s">
        <v>516</v>
      </c>
      <c r="D33" s="3"/>
      <c r="E33" s="12">
        <v>46191</v>
      </c>
      <c r="F33" t="s">
        <v>645</v>
      </c>
    </row>
    <row r="34" spans="1:6">
      <c r="A34" s="3">
        <v>33</v>
      </c>
      <c r="B34" t="s">
        <v>514</v>
      </c>
      <c r="C34" s="1" t="s">
        <v>515</v>
      </c>
      <c r="D34" s="3"/>
      <c r="E34" s="12">
        <v>46198</v>
      </c>
      <c r="F34" t="s">
        <v>645</v>
      </c>
    </row>
    <row r="35" spans="1:6">
      <c r="A35" s="3">
        <v>34</v>
      </c>
      <c r="B35" t="s">
        <v>514</v>
      </c>
      <c r="C35" s="1" t="s">
        <v>515</v>
      </c>
      <c r="D35" s="3"/>
      <c r="E35" s="12">
        <v>46209</v>
      </c>
      <c r="F35" t="s">
        <v>645</v>
      </c>
    </row>
    <row r="36" spans="1:6">
      <c r="A36" s="3">
        <v>35</v>
      </c>
      <c r="B36" t="s">
        <v>514</v>
      </c>
      <c r="C36" s="1" t="s">
        <v>516</v>
      </c>
      <c r="D36" s="3"/>
      <c r="E36" s="12">
        <v>46211</v>
      </c>
      <c r="F36" t="s">
        <v>645</v>
      </c>
    </row>
    <row r="37" spans="1:6">
      <c r="A37" s="3">
        <v>36</v>
      </c>
      <c r="B37" t="s">
        <v>514</v>
      </c>
      <c r="C37" s="1" t="s">
        <v>516</v>
      </c>
      <c r="D37" s="3"/>
      <c r="E37" s="12">
        <v>46211</v>
      </c>
      <c r="F37" t="s">
        <v>645</v>
      </c>
    </row>
    <row r="38" spans="1:6">
      <c r="A38" s="3">
        <v>37</v>
      </c>
      <c r="B38" t="s">
        <v>514</v>
      </c>
      <c r="C38" s="1" t="s">
        <v>516</v>
      </c>
      <c r="D38" s="3"/>
      <c r="E38" s="12">
        <v>46209</v>
      </c>
      <c r="F38" t="s">
        <v>645</v>
      </c>
    </row>
    <row r="39" spans="1:6">
      <c r="A39" s="3">
        <v>38</v>
      </c>
      <c r="B39" t="s">
        <v>514</v>
      </c>
      <c r="C39" s="1" t="s">
        <v>516</v>
      </c>
      <c r="D39" s="3"/>
      <c r="E39" s="12">
        <v>46209</v>
      </c>
      <c r="F39" t="s">
        <v>645</v>
      </c>
    </row>
    <row r="40" spans="1:6">
      <c r="A40" s="3">
        <v>39</v>
      </c>
      <c r="B40" t="s">
        <v>514</v>
      </c>
      <c r="C40" s="1" t="s">
        <v>515</v>
      </c>
      <c r="D40" s="3" t="s">
        <v>518</v>
      </c>
      <c r="E40" s="12">
        <v>46211</v>
      </c>
      <c r="F40" t="s">
        <v>645</v>
      </c>
    </row>
    <row r="41" spans="1:6">
      <c r="A41" s="3">
        <v>40</v>
      </c>
      <c r="B41" t="s">
        <v>514</v>
      </c>
      <c r="C41" s="1" t="s">
        <v>515</v>
      </c>
      <c r="D41" s="3" t="s">
        <v>518</v>
      </c>
      <c r="E41" s="12">
        <v>46211</v>
      </c>
      <c r="F41" t="s">
        <v>645</v>
      </c>
    </row>
    <row r="42" spans="1:6">
      <c r="A42" s="3">
        <v>41</v>
      </c>
      <c r="B42" t="s">
        <v>514</v>
      </c>
      <c r="C42" s="1" t="s">
        <v>515</v>
      </c>
      <c r="D42" s="3"/>
      <c r="E42" s="12">
        <v>46217</v>
      </c>
      <c r="F42" t="s">
        <v>645</v>
      </c>
    </row>
    <row r="43" spans="1:6">
      <c r="A43" s="3">
        <v>42</v>
      </c>
      <c r="B43" t="s">
        <v>514</v>
      </c>
      <c r="C43" s="1" t="s">
        <v>516</v>
      </c>
      <c r="D43" s="3" t="s">
        <v>517</v>
      </c>
      <c r="E43" s="3"/>
      <c r="F43" t="s">
        <v>726</v>
      </c>
    </row>
    <row r="44" spans="1:6">
      <c r="A44" s="3">
        <v>43</v>
      </c>
      <c r="B44" t="s">
        <v>514</v>
      </c>
      <c r="C44" s="1" t="s">
        <v>515</v>
      </c>
      <c r="D44" s="12">
        <v>46216</v>
      </c>
      <c r="E44" s="12">
        <v>46223</v>
      </c>
      <c r="F44" t="s">
        <v>645</v>
      </c>
    </row>
    <row r="45" spans="1:6">
      <c r="A45" s="3">
        <v>44</v>
      </c>
      <c r="B45" t="s">
        <v>514</v>
      </c>
      <c r="C45" s="1" t="s">
        <v>515</v>
      </c>
      <c r="D45" s="3" t="s">
        <v>517</v>
      </c>
      <c r="E45" s="12">
        <v>46218</v>
      </c>
      <c r="F45" t="s">
        <v>727</v>
      </c>
    </row>
    <row r="46" spans="1:6">
      <c r="A46" s="3">
        <v>45</v>
      </c>
      <c r="B46" t="s">
        <v>514</v>
      </c>
      <c r="C46" s="1" t="s">
        <v>515</v>
      </c>
      <c r="D46" s="3" t="s">
        <v>517</v>
      </c>
      <c r="E46" s="12">
        <v>46211</v>
      </c>
      <c r="F46" t="s">
        <v>645</v>
      </c>
    </row>
    <row r="47" spans="1:6">
      <c r="A47" s="3">
        <v>46</v>
      </c>
      <c r="B47" t="s">
        <v>517</v>
      </c>
      <c r="C47" s="1" t="s">
        <v>516</v>
      </c>
      <c r="D47" s="3" t="s">
        <v>517</v>
      </c>
      <c r="E47" s="3" t="s">
        <v>517</v>
      </c>
      <c r="F47" t="s">
        <v>728</v>
      </c>
    </row>
    <row r="48" spans="1:6">
      <c r="A48" s="18">
        <v>47</v>
      </c>
      <c r="B48" s="13" t="s">
        <v>644</v>
      </c>
      <c r="C48" s="18" t="s">
        <v>644</v>
      </c>
      <c r="D48" s="13" t="s">
        <v>644</v>
      </c>
      <c r="E48" s="13" t="s">
        <v>644</v>
      </c>
      <c r="F48" s="13" t="s">
        <v>729</v>
      </c>
    </row>
    <row r="49" spans="1:6">
      <c r="A49" s="3">
        <v>48</v>
      </c>
      <c r="B49" t="s">
        <v>517</v>
      </c>
      <c r="C49" s="1" t="s">
        <v>517</v>
      </c>
      <c r="D49" s="3" t="s">
        <v>517</v>
      </c>
      <c r="E49" s="3" t="s">
        <v>517</v>
      </c>
      <c r="F49" t="s">
        <v>730</v>
      </c>
    </row>
    <row r="50" spans="1:6">
      <c r="A50" s="3">
        <v>49</v>
      </c>
      <c r="B50" t="s">
        <v>514</v>
      </c>
      <c r="C50" s="1" t="s">
        <v>515</v>
      </c>
      <c r="D50" s="3"/>
      <c r="E50" s="12">
        <v>46218</v>
      </c>
      <c r="F50" t="s">
        <v>645</v>
      </c>
    </row>
    <row r="51" spans="1:6">
      <c r="A51" s="3">
        <v>50</v>
      </c>
      <c r="B51" t="s">
        <v>514</v>
      </c>
      <c r="C51" s="1" t="s">
        <v>516</v>
      </c>
      <c r="D51" s="12">
        <v>46213</v>
      </c>
      <c r="E51" s="12">
        <v>46217</v>
      </c>
      <c r="F51" t="s">
        <v>645</v>
      </c>
    </row>
    <row r="52" spans="1:6">
      <c r="A52" s="3">
        <v>51</v>
      </c>
      <c r="B52" t="s">
        <v>514</v>
      </c>
      <c r="C52" s="1" t="s">
        <v>515</v>
      </c>
      <c r="D52" s="3"/>
      <c r="E52" s="12">
        <v>46213</v>
      </c>
      <c r="F52" t="s">
        <v>645</v>
      </c>
    </row>
    <row r="53" spans="1:6">
      <c r="A53" s="3">
        <v>52</v>
      </c>
      <c r="B53" t="s">
        <v>514</v>
      </c>
      <c r="C53" s="1" t="s">
        <v>516</v>
      </c>
      <c r="D53" s="3"/>
      <c r="E53" s="12">
        <v>46218</v>
      </c>
      <c r="F53" t="s">
        <v>645</v>
      </c>
    </row>
    <row r="54" spans="1:6">
      <c r="A54" s="3">
        <v>53</v>
      </c>
      <c r="B54" t="s">
        <v>514</v>
      </c>
      <c r="C54" s="1" t="s">
        <v>515</v>
      </c>
      <c r="D54" s="12">
        <v>46213</v>
      </c>
      <c r="E54" s="12">
        <v>46218</v>
      </c>
      <c r="F54" t="s">
        <v>645</v>
      </c>
    </row>
    <row r="55" spans="1:6">
      <c r="A55" s="3">
        <v>54</v>
      </c>
      <c r="B55" t="s">
        <v>514</v>
      </c>
      <c r="C55" s="1" t="s">
        <v>515</v>
      </c>
      <c r="D55" s="3"/>
      <c r="E55" s="12">
        <v>46224</v>
      </c>
      <c r="F55" t="s">
        <v>645</v>
      </c>
    </row>
    <row r="56" spans="1:6">
      <c r="A56" s="3">
        <v>55</v>
      </c>
      <c r="B56" t="s">
        <v>514</v>
      </c>
      <c r="C56" s="1" t="s">
        <v>515</v>
      </c>
      <c r="D56" s="12">
        <v>46231</v>
      </c>
      <c r="E56" s="12">
        <v>46207</v>
      </c>
      <c r="F56" t="s">
        <v>731</v>
      </c>
    </row>
    <row r="57" spans="1:6">
      <c r="A57" s="3">
        <v>56</v>
      </c>
      <c r="B57" t="s">
        <v>514</v>
      </c>
      <c r="C57" s="1" t="s">
        <v>516</v>
      </c>
      <c r="D57" s="3"/>
      <c r="E57" s="12">
        <v>46217</v>
      </c>
      <c r="F57" t="s">
        <v>645</v>
      </c>
    </row>
    <row r="58" spans="1:6">
      <c r="A58" s="3">
        <v>57</v>
      </c>
      <c r="B58" t="s">
        <v>514</v>
      </c>
      <c r="C58" s="1" t="s">
        <v>515</v>
      </c>
      <c r="D58" s="12">
        <v>46225</v>
      </c>
      <c r="E58" s="12" t="s">
        <v>517</v>
      </c>
      <c r="F58" t="s">
        <v>732</v>
      </c>
    </row>
    <row r="59" spans="1:6">
      <c r="A59" s="3">
        <v>58</v>
      </c>
      <c r="B59" t="s">
        <v>514</v>
      </c>
      <c r="C59" s="1" t="s">
        <v>515</v>
      </c>
      <c r="D59" s="12">
        <v>46213</v>
      </c>
      <c r="E59" s="12">
        <v>46226</v>
      </c>
      <c r="F59" t="s">
        <v>645</v>
      </c>
    </row>
    <row r="60" spans="1:6">
      <c r="A60" s="3">
        <v>59</v>
      </c>
      <c r="B60" t="s">
        <v>514</v>
      </c>
      <c r="C60" s="1" t="s">
        <v>516</v>
      </c>
      <c r="D60" s="12">
        <v>46220</v>
      </c>
      <c r="E60" s="12">
        <v>46225</v>
      </c>
      <c r="F60" t="s">
        <v>645</v>
      </c>
    </row>
    <row r="61" spans="1:6">
      <c r="A61" s="3">
        <v>60</v>
      </c>
      <c r="B61" t="s">
        <v>514</v>
      </c>
      <c r="C61" s="1" t="s">
        <v>516</v>
      </c>
      <c r="D61" s="12">
        <v>46227</v>
      </c>
      <c r="E61" s="12">
        <v>46231</v>
      </c>
      <c r="F61" t="s">
        <v>645</v>
      </c>
    </row>
    <row r="62" spans="1:6">
      <c r="A62" s="3">
        <v>61</v>
      </c>
      <c r="B62" t="s">
        <v>514</v>
      </c>
      <c r="C62" s="1" t="s">
        <v>515</v>
      </c>
      <c r="D62" s="12">
        <v>46224</v>
      </c>
      <c r="E62" s="12">
        <v>46230</v>
      </c>
      <c r="F62" t="s">
        <v>645</v>
      </c>
    </row>
    <row r="63" spans="1:6">
      <c r="A63" s="3">
        <v>62</v>
      </c>
      <c r="B63" t="s">
        <v>514</v>
      </c>
      <c r="C63" s="1" t="s">
        <v>516</v>
      </c>
      <c r="D63" s="3"/>
      <c r="E63" s="12">
        <v>46220</v>
      </c>
      <c r="F63" t="s">
        <v>645</v>
      </c>
    </row>
    <row r="64" spans="1:6">
      <c r="A64" s="3">
        <v>63</v>
      </c>
      <c r="B64" t="s">
        <v>514</v>
      </c>
      <c r="C64" s="1" t="s">
        <v>516</v>
      </c>
      <c r="D64" s="12">
        <v>46227</v>
      </c>
      <c r="E64" s="12">
        <v>46232</v>
      </c>
      <c r="F64" t="s">
        <v>645</v>
      </c>
    </row>
    <row r="65" spans="1:6">
      <c r="A65" s="3">
        <v>64</v>
      </c>
      <c r="B65" t="s">
        <v>514</v>
      </c>
      <c r="C65" s="1" t="s">
        <v>516</v>
      </c>
      <c r="D65" s="12">
        <v>46225</v>
      </c>
      <c r="E65" s="12">
        <v>46231</v>
      </c>
      <c r="F65" t="s">
        <v>645</v>
      </c>
    </row>
    <row r="66" spans="1:6">
      <c r="A66" s="3">
        <v>65</v>
      </c>
      <c r="B66" t="s">
        <v>514</v>
      </c>
      <c r="C66" s="1" t="s">
        <v>515</v>
      </c>
      <c r="D66" s="3" t="s">
        <v>618</v>
      </c>
      <c r="E66" s="12">
        <v>46230</v>
      </c>
      <c r="F66" t="s">
        <v>713</v>
      </c>
    </row>
    <row r="67" spans="1:6">
      <c r="A67" s="3">
        <v>66</v>
      </c>
      <c r="B67" t="s">
        <v>514</v>
      </c>
      <c r="C67" s="1" t="s">
        <v>515</v>
      </c>
      <c r="D67" s="3"/>
      <c r="E67" s="12">
        <v>46224</v>
      </c>
      <c r="F67" t="s">
        <v>645</v>
      </c>
    </row>
    <row r="68" spans="1:6">
      <c r="A68" s="3">
        <v>67</v>
      </c>
      <c r="B68" t="s">
        <v>514</v>
      </c>
      <c r="C68" s="1" t="s">
        <v>515</v>
      </c>
      <c r="D68" s="3"/>
      <c r="E68" s="12">
        <v>46224</v>
      </c>
      <c r="F68" t="s">
        <v>645</v>
      </c>
    </row>
    <row r="69" spans="1:6">
      <c r="A69" s="3">
        <v>68</v>
      </c>
      <c r="B69" t="s">
        <v>514</v>
      </c>
      <c r="C69" s="1" t="s">
        <v>515</v>
      </c>
      <c r="D69" s="3"/>
      <c r="E69" s="12">
        <v>46224</v>
      </c>
      <c r="F69" t="s">
        <v>645</v>
      </c>
    </row>
    <row r="70" spans="1:6">
      <c r="A70" s="3">
        <v>69</v>
      </c>
      <c r="B70" t="s">
        <v>514</v>
      </c>
      <c r="C70" s="1" t="s">
        <v>515</v>
      </c>
      <c r="D70" s="3"/>
      <c r="E70" s="12">
        <v>46231</v>
      </c>
      <c r="F70" t="s">
        <v>646</v>
      </c>
    </row>
    <row r="71" spans="1:6">
      <c r="A71" s="3">
        <v>70</v>
      </c>
      <c r="B71" t="s">
        <v>514</v>
      </c>
      <c r="C71" s="1" t="s">
        <v>516</v>
      </c>
      <c r="D71" s="12">
        <v>46232</v>
      </c>
      <c r="E71" s="12">
        <v>46235</v>
      </c>
      <c r="F71" t="s">
        <v>733</v>
      </c>
    </row>
    <row r="72" spans="1:6">
      <c r="A72" s="3">
        <v>71</v>
      </c>
      <c r="B72" t="s">
        <v>517</v>
      </c>
      <c r="C72" s="1" t="s">
        <v>515</v>
      </c>
      <c r="D72" s="3" t="s">
        <v>517</v>
      </c>
      <c r="E72" s="3"/>
      <c r="F72" t="s">
        <v>734</v>
      </c>
    </row>
    <row r="73" spans="1:6">
      <c r="A73" s="3">
        <v>72</v>
      </c>
      <c r="B73" t="s">
        <v>517</v>
      </c>
      <c r="C73" s="1" t="s">
        <v>515</v>
      </c>
      <c r="D73" s="3" t="s">
        <v>517</v>
      </c>
      <c r="E73" s="3"/>
      <c r="F73" t="s">
        <v>735</v>
      </c>
    </row>
    <row r="74" spans="1:6">
      <c r="A74" s="3">
        <v>73</v>
      </c>
      <c r="B74" t="s">
        <v>514</v>
      </c>
      <c r="C74" s="3" t="s">
        <v>516</v>
      </c>
      <c r="D74" s="12">
        <v>46232</v>
      </c>
      <c r="E74" s="12">
        <v>46232</v>
      </c>
      <c r="F74" t="s">
        <v>645</v>
      </c>
    </row>
    <row r="75" spans="1:6">
      <c r="A75" s="3">
        <v>74</v>
      </c>
      <c r="B75" t="s">
        <v>514</v>
      </c>
      <c r="C75" s="3" t="s">
        <v>516</v>
      </c>
      <c r="D75" s="3"/>
      <c r="E75" s="12">
        <v>46237</v>
      </c>
      <c r="F75" t="s">
        <v>736</v>
      </c>
    </row>
    <row r="76" spans="1:6">
      <c r="A76" s="3">
        <v>75</v>
      </c>
      <c r="B76" t="s">
        <v>514</v>
      </c>
      <c r="C76" s="3" t="s">
        <v>516</v>
      </c>
      <c r="D76" s="3"/>
      <c r="E76" s="12">
        <v>46232</v>
      </c>
      <c r="F76" t="s">
        <v>737</v>
      </c>
    </row>
    <row r="77" spans="1:6">
      <c r="A77" s="3">
        <v>76</v>
      </c>
      <c r="B77" t="s">
        <v>514</v>
      </c>
      <c r="C77" s="3" t="s">
        <v>516</v>
      </c>
      <c r="D77" s="3"/>
      <c r="E77" s="12">
        <v>46239</v>
      </c>
      <c r="F77" t="s">
        <v>738</v>
      </c>
    </row>
    <row r="78" spans="1:6">
      <c r="A78" s="3">
        <v>77</v>
      </c>
      <c r="B78" t="s">
        <v>517</v>
      </c>
      <c r="C78" s="3"/>
      <c r="D78" s="3"/>
      <c r="E78" s="3"/>
    </row>
    <row r="79" spans="1:6">
      <c r="A79" s="3">
        <v>78</v>
      </c>
      <c r="B79" t="s">
        <v>517</v>
      </c>
      <c r="C79" s="3"/>
      <c r="D79" s="3"/>
      <c r="E79" s="3"/>
    </row>
    <row r="80" spans="1:6">
      <c r="A80" s="3">
        <v>79</v>
      </c>
      <c r="B80" t="s">
        <v>517</v>
      </c>
      <c r="C80" s="3"/>
      <c r="D80" s="3"/>
      <c r="E80" s="3"/>
    </row>
    <row r="81" spans="1:5">
      <c r="A81" s="3">
        <v>80</v>
      </c>
      <c r="B81" t="s">
        <v>517</v>
      </c>
      <c r="C81" s="3"/>
      <c r="D81" s="3"/>
      <c r="E81" s="3"/>
    </row>
  </sheetData>
  <conditionalFormatting sqref="C27:F29 C48:F48 B2:B81">
    <cfRule type="cellIs" dxfId="21" priority="1" operator="equal">
      <formula>"gestionado"</formula>
    </cfRule>
    <cfRule type="cellIs" dxfId="20" priority="2" operator="equal">
      <formula>"procesado"</formula>
    </cfRule>
    <cfRule type="cellIs" dxfId="19" priority="3" operator="equal">
      <formula>"pendiente"</formula>
    </cfRule>
    <cfRule type="cellIs" dxfId="1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2026-07-30T14:38:59Z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