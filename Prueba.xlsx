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B8545F44-1771-4808-B656-96BDAFB7734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<sst xmlns="http://schemas.openxmlformats.org/spreadsheetml/2006/main" count="2942" uniqueCount="900">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</sst>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2" tableType="queryTable" totalsRowShown="0" headerRowDxfId="22">
  <autoFilter ref="A1:AA14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1" dataCellStyle="Moneda [0]"/>
    <tableColumn id="5" xr3:uid="{E65A88A5-24CE-4A80-9F7D-8FCEFFDDBC10}" uniqueName="5" name="Empresa solicitante" queryTableFieldId="42" dataDxfId="2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19"/>
    <tableColumn id="31" xr3:uid="{C3500460-C4F6-4AB4-B89B-8B9CA9A8E046}" uniqueName="31" name="Fecha de entrega" queryTableFieldId="64" dataDxfId="18"/>
    <tableColumn id="27" xr3:uid="{F40F4A80-1B77-4557-9BE7-9B79092A2C5A}" uniqueName="27" name="Comentario" queryTableFieldId="57"/>
    <tableColumn id="6" xr3:uid="{A141DB03-FB77-4FCC-95E0-DEDE9DBFE217}" uniqueName="6" name="Estado" queryTableFieldId="6" dataDxfId="17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6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9" dataDxfId="8">
  <autoFilter ref="A1:F102" xr:uid="{0EB08CB5-F347-46F6-A2BB-419FEB016475}"/>
  <tableColumns count="6">
    <tableColumn id="1" xr3:uid="{EA8F1E43-6EF0-43E9-B71B-98D3C4584ACC}" name="N° solicitud" dataDxfId="7"/>
    <tableColumn id="2" xr3:uid="{9FA8BFE5-861C-4596-A02E-A670F1BDB608}" name="Estado" dataDxfId="6"/>
    <tableColumn id="3" xr3:uid="{E58581DB-8B04-4C13-8B4F-27FC5E1AE281}" name="Empresa" dataDxfId="5"/>
    <tableColumn id="6" xr3:uid="{DAADF8D0-34FE-479B-9430-88C5F34DBAE2}" name="fecha pago " dataDxfId="4"/>
    <tableColumn id="7" xr3:uid="{7D80F5CD-A672-43F9-903B-537A4B66EACC}" name="fecha entrega" dataDxfId="3"/>
    <tableColumn id="5" xr3:uid="{16163A18-549A-4B29-B76F-2E153A8FC4F4}" name="Comentario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8"/>
  <sheetViews>
    <sheetView tabSelected="1" topLeftCell="A114" zoomScaleNormal="100" workbookViewId="0">
      <selection activeCell="C119" sqref="C11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733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735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735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736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734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737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738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739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740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744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741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742</v>
      </c>
      <c r="N102" t="s">
        <v>67</v>
      </c>
      <c r="O102" t="s">
        <v>176</v>
      </c>
      <c r="P102" t="s">
        <v>58</v>
      </c>
      <c r="Q102" t="s">
        <v>59</v>
      </c>
      <c r="R102" t="s">
        <v>743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731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732</v>
      </c>
      <c r="S103" t="s">
        <v>514</v>
      </c>
      <c r="U103" s="2">
        <v>46237</v>
      </c>
      <c r="V103" t="s">
        <v>644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729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730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745</v>
      </c>
      <c r="B106" t="s">
        <v>746</v>
      </c>
      <c r="C106" t="s">
        <v>747</v>
      </c>
      <c r="D106" t="s">
        <v>748</v>
      </c>
      <c r="E106">
        <v>77</v>
      </c>
      <c r="F106" t="s">
        <v>749</v>
      </c>
      <c r="G106" t="s">
        <v>750</v>
      </c>
      <c r="H106" t="s">
        <v>750</v>
      </c>
      <c r="I106" t="s">
        <v>750</v>
      </c>
      <c r="J106" t="s">
        <v>30</v>
      </c>
      <c r="K106" s="5">
        <v>48995</v>
      </c>
      <c r="L106" s="5" t="s">
        <v>55</v>
      </c>
      <c r="M106" t="s">
        <v>751</v>
      </c>
      <c r="N106" t="s">
        <v>707</v>
      </c>
      <c r="O106" t="s">
        <v>57</v>
      </c>
      <c r="P106" t="s">
        <v>58</v>
      </c>
      <c r="Q106" t="s">
        <v>59</v>
      </c>
      <c r="R106" t="s">
        <v>752</v>
      </c>
      <c r="S106" t="s">
        <v>514</v>
      </c>
      <c r="V106" t="s">
        <v>761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753</v>
      </c>
      <c r="B107" t="s">
        <v>754</v>
      </c>
      <c r="C107" t="s">
        <v>755</v>
      </c>
      <c r="D107" t="s">
        <v>779</v>
      </c>
      <c r="E107">
        <v>78</v>
      </c>
      <c r="F107" t="s">
        <v>756</v>
      </c>
      <c r="G107" t="s">
        <v>750</v>
      </c>
      <c r="H107" t="s">
        <v>750</v>
      </c>
      <c r="I107" t="s">
        <v>750</v>
      </c>
      <c r="J107" t="s">
        <v>30</v>
      </c>
      <c r="K107" s="5"/>
      <c r="L107" s="5" t="s">
        <v>55</v>
      </c>
      <c r="M107" t="s">
        <v>751</v>
      </c>
      <c r="N107" t="s">
        <v>707</v>
      </c>
      <c r="O107" t="s">
        <v>57</v>
      </c>
      <c r="P107" t="s">
        <v>58</v>
      </c>
      <c r="Q107" t="s">
        <v>59</v>
      </c>
      <c r="R107" t="s">
        <v>780</v>
      </c>
      <c r="S107" t="s">
        <v>514</v>
      </c>
      <c r="V107" t="s">
        <v>762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763</v>
      </c>
      <c r="B108" t="s">
        <v>764</v>
      </c>
      <c r="C108" t="s">
        <v>765</v>
      </c>
      <c r="D108" t="s">
        <v>766</v>
      </c>
      <c r="E108">
        <v>80</v>
      </c>
      <c r="F108" t="s">
        <v>767</v>
      </c>
      <c r="G108" t="s">
        <v>750</v>
      </c>
      <c r="H108" t="s">
        <v>750</v>
      </c>
      <c r="I108" t="s">
        <v>750</v>
      </c>
      <c r="J108" t="s">
        <v>39</v>
      </c>
      <c r="K108" s="5"/>
      <c r="L108" s="5" t="s">
        <v>31</v>
      </c>
      <c r="M108" t="s">
        <v>74</v>
      </c>
      <c r="N108" t="s">
        <v>768</v>
      </c>
      <c r="O108" t="s">
        <v>57</v>
      </c>
      <c r="P108" t="s">
        <v>35</v>
      </c>
      <c r="Q108" t="s">
        <v>36</v>
      </c>
      <c r="R108" t="s">
        <v>769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770</v>
      </c>
      <c r="B109" t="s">
        <v>771</v>
      </c>
      <c r="C109" t="s">
        <v>772</v>
      </c>
      <c r="D109" t="s">
        <v>882</v>
      </c>
      <c r="E109">
        <v>81</v>
      </c>
      <c r="F109" t="s">
        <v>773</v>
      </c>
      <c r="G109" t="s">
        <v>774</v>
      </c>
      <c r="H109" t="s">
        <v>774</v>
      </c>
      <c r="I109" t="s">
        <v>774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883</v>
      </c>
      <c r="S109" t="s">
        <v>514</v>
      </c>
      <c r="V109" t="s">
        <v>877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>
      <c r="A110" t="s">
        <v>770</v>
      </c>
      <c r="B110" t="s">
        <v>771</v>
      </c>
      <c r="C110" t="s">
        <v>772</v>
      </c>
      <c r="D110" t="s">
        <v>882</v>
      </c>
      <c r="E110">
        <v>81</v>
      </c>
      <c r="F110" t="s">
        <v>773</v>
      </c>
      <c r="G110" t="s">
        <v>774</v>
      </c>
      <c r="H110" t="s">
        <v>774</v>
      </c>
      <c r="I110" t="s">
        <v>774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883</v>
      </c>
      <c r="S110" t="s">
        <v>514</v>
      </c>
      <c r="V110" t="s">
        <v>877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>
      <c r="A111" t="s">
        <v>805</v>
      </c>
      <c r="B111" t="s">
        <v>806</v>
      </c>
      <c r="C111" t="s">
        <v>825</v>
      </c>
      <c r="D111" t="s">
        <v>826</v>
      </c>
      <c r="E111">
        <v>89</v>
      </c>
      <c r="F111" t="s">
        <v>807</v>
      </c>
      <c r="G111" t="s">
        <v>788</v>
      </c>
      <c r="H111" t="s">
        <v>788</v>
      </c>
      <c r="I111" t="s">
        <v>788</v>
      </c>
      <c r="J111" t="s">
        <v>39</v>
      </c>
      <c r="K111" s="5">
        <v>299800</v>
      </c>
      <c r="L111" s="5" t="s">
        <v>55</v>
      </c>
      <c r="M111" t="s">
        <v>827</v>
      </c>
      <c r="N111" t="s">
        <v>383</v>
      </c>
      <c r="O111" t="s">
        <v>384</v>
      </c>
      <c r="P111" t="s">
        <v>58</v>
      </c>
      <c r="Q111" t="s">
        <v>36</v>
      </c>
      <c r="R111" t="s">
        <v>828</v>
      </c>
      <c r="S111" t="s">
        <v>514</v>
      </c>
      <c r="T111" s="2">
        <v>46237</v>
      </c>
      <c r="U111" s="2">
        <v>46238</v>
      </c>
      <c r="V111" t="s">
        <v>778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2</v>
      </c>
      <c r="AA111" s="14">
        <f>+_xlfn.ISOWEEKNUM(Control[[#This Row],[Fecha Requisición]])</f>
        <v>32</v>
      </c>
    </row>
    <row r="112" spans="1:27">
      <c r="A112" t="s">
        <v>815</v>
      </c>
      <c r="B112" t="s">
        <v>816</v>
      </c>
      <c r="C112" t="s">
        <v>845</v>
      </c>
      <c r="D112" t="s">
        <v>850</v>
      </c>
      <c r="E112">
        <v>92</v>
      </c>
      <c r="F112" t="s">
        <v>817</v>
      </c>
      <c r="G112" t="s">
        <v>788</v>
      </c>
      <c r="H112" t="s">
        <v>788</v>
      </c>
      <c r="I112" t="s">
        <v>788</v>
      </c>
      <c r="J112" t="s">
        <v>39</v>
      </c>
      <c r="K112" s="5"/>
      <c r="L112" s="5" t="s">
        <v>31</v>
      </c>
      <c r="M112" t="s">
        <v>121</v>
      </c>
      <c r="N112" t="s">
        <v>768</v>
      </c>
      <c r="O112" t="s">
        <v>57</v>
      </c>
      <c r="P112" t="s">
        <v>35</v>
      </c>
      <c r="Q112" t="s">
        <v>94</v>
      </c>
      <c r="R112" t="s">
        <v>851</v>
      </c>
      <c r="S112" t="s">
        <v>514</v>
      </c>
      <c r="V112" t="s">
        <v>878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>
      <c r="A113" t="s">
        <v>815</v>
      </c>
      <c r="B113" t="s">
        <v>816</v>
      </c>
      <c r="C113" t="s">
        <v>845</v>
      </c>
      <c r="D113" t="s">
        <v>852</v>
      </c>
      <c r="E113">
        <v>92</v>
      </c>
      <c r="F113" t="s">
        <v>817</v>
      </c>
      <c r="G113" t="s">
        <v>788</v>
      </c>
      <c r="H113" t="s">
        <v>788</v>
      </c>
      <c r="I113" t="s">
        <v>788</v>
      </c>
      <c r="J113" t="s">
        <v>30</v>
      </c>
      <c r="K113" s="5"/>
      <c r="L113" s="5" t="s">
        <v>31</v>
      </c>
      <c r="M113" t="s">
        <v>243</v>
      </c>
      <c r="N113" t="s">
        <v>768</v>
      </c>
      <c r="O113" t="s">
        <v>57</v>
      </c>
      <c r="P113" t="s">
        <v>35</v>
      </c>
      <c r="Q113" t="s">
        <v>94</v>
      </c>
      <c r="R113" t="s">
        <v>853</v>
      </c>
      <c r="S113" t="s">
        <v>514</v>
      </c>
      <c r="V113" t="s">
        <v>878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829</v>
      </c>
      <c r="B114" t="s">
        <v>830</v>
      </c>
      <c r="C114" t="s">
        <v>831</v>
      </c>
      <c r="D114" t="s">
        <v>832</v>
      </c>
      <c r="E114">
        <v>94</v>
      </c>
      <c r="F114" t="s">
        <v>833</v>
      </c>
      <c r="G114" t="s">
        <v>834</v>
      </c>
      <c r="H114" t="s">
        <v>834</v>
      </c>
      <c r="I114" t="s">
        <v>834</v>
      </c>
      <c r="J114" t="s">
        <v>39</v>
      </c>
      <c r="K114" s="5"/>
      <c r="L114" s="5" t="s">
        <v>31</v>
      </c>
      <c r="M114" t="s">
        <v>835</v>
      </c>
      <c r="N114" t="s">
        <v>836</v>
      </c>
      <c r="O114" t="s">
        <v>57</v>
      </c>
      <c r="P114" t="s">
        <v>35</v>
      </c>
      <c r="Q114" t="s">
        <v>59</v>
      </c>
      <c r="R114" t="s">
        <v>837</v>
      </c>
      <c r="S114" t="s">
        <v>514</v>
      </c>
      <c r="V114" t="s">
        <v>776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46569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30</v>
      </c>
    </row>
    <row r="115" spans="1:27">
      <c r="A115" t="s">
        <v>847</v>
      </c>
      <c r="B115" t="s">
        <v>848</v>
      </c>
      <c r="C115" t="s">
        <v>854</v>
      </c>
      <c r="D115" t="s">
        <v>884</v>
      </c>
      <c r="E115">
        <v>95</v>
      </c>
      <c r="F115" t="s">
        <v>849</v>
      </c>
      <c r="G115" t="s">
        <v>788</v>
      </c>
      <c r="H115" t="s">
        <v>788</v>
      </c>
      <c r="I115" t="s">
        <v>788</v>
      </c>
      <c r="J115" t="s">
        <v>39</v>
      </c>
      <c r="K115" s="5">
        <v>135898</v>
      </c>
      <c r="L115" s="5"/>
      <c r="M115" t="s">
        <v>121</v>
      </c>
      <c r="R115" t="s">
        <v>885</v>
      </c>
      <c r="S115" t="s">
        <v>514</v>
      </c>
      <c r="V115" t="s">
        <v>879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5" s="9">
        <f>+DATE(YEAR(Control[[#This Row],[Fecha Requisición]]),MONTH(Control[[#This Row],[Fecha Requisición]]),1)</f>
        <v>46235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32</v>
      </c>
    </row>
    <row r="116" spans="1:27">
      <c r="A116" s="16" t="s">
        <v>855</v>
      </c>
      <c r="B116" s="16" t="s">
        <v>856</v>
      </c>
      <c r="C116" s="16" t="s">
        <v>857</v>
      </c>
      <c r="D116" s="16" t="s">
        <v>858</v>
      </c>
      <c r="E116" s="16">
        <v>96</v>
      </c>
      <c r="F116" s="16" t="s">
        <v>859</v>
      </c>
      <c r="G116" s="16" t="s">
        <v>860</v>
      </c>
      <c r="H116" s="16" t="s">
        <v>860</v>
      </c>
      <c r="I116" s="16" t="s">
        <v>860</v>
      </c>
      <c r="J116" s="16" t="s">
        <v>30</v>
      </c>
      <c r="K116" s="5">
        <v>129472</v>
      </c>
      <c r="L116" s="5" t="s">
        <v>55</v>
      </c>
      <c r="M116" s="16" t="s">
        <v>32</v>
      </c>
      <c r="N116" s="16" t="s">
        <v>204</v>
      </c>
      <c r="O116" s="16" t="s">
        <v>57</v>
      </c>
      <c r="P116" s="16" t="s">
        <v>58</v>
      </c>
      <c r="Q116" s="16" t="s">
        <v>36</v>
      </c>
      <c r="R116" s="16" t="s">
        <v>861</v>
      </c>
      <c r="S116" s="16" t="s">
        <v>514</v>
      </c>
      <c r="U116" s="2">
        <v>46238</v>
      </c>
      <c r="V116" s="16" t="s">
        <v>880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1</v>
      </c>
      <c r="Z116" s="16"/>
      <c r="AA116" s="14">
        <f>+_xlfn.ISOWEEKNUM(Control[[#This Row],[Fecha Requisición]])</f>
        <v>32</v>
      </c>
    </row>
    <row r="117" spans="1:27">
      <c r="A117" s="16" t="s">
        <v>867</v>
      </c>
      <c r="B117" s="16" t="s">
        <v>868</v>
      </c>
      <c r="C117" s="16" t="s">
        <v>886</v>
      </c>
      <c r="D117" s="16" t="s">
        <v>887</v>
      </c>
      <c r="E117" s="16">
        <v>98</v>
      </c>
      <c r="F117" s="16" t="s">
        <v>869</v>
      </c>
      <c r="G117" s="16" t="s">
        <v>870</v>
      </c>
      <c r="H117" s="16" t="s">
        <v>870</v>
      </c>
      <c r="I117" s="16" t="s">
        <v>870</v>
      </c>
      <c r="J117" s="16" t="s">
        <v>39</v>
      </c>
      <c r="K117" s="5"/>
      <c r="L117" s="5" t="s">
        <v>31</v>
      </c>
      <c r="M117" s="16" t="s">
        <v>888</v>
      </c>
      <c r="N117" s="16" t="s">
        <v>219</v>
      </c>
      <c r="O117" s="16" t="s">
        <v>871</v>
      </c>
      <c r="P117" s="16" t="s">
        <v>124</v>
      </c>
      <c r="Q117" s="16" t="s">
        <v>94</v>
      </c>
      <c r="R117" s="16" t="s">
        <v>889</v>
      </c>
      <c r="S117" s="16" t="s">
        <v>514</v>
      </c>
      <c r="V117" s="16" t="s">
        <v>879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>
      <c r="A118" s="16" t="s">
        <v>890</v>
      </c>
      <c r="B118" s="16" t="s">
        <v>891</v>
      </c>
      <c r="C118" s="16" t="s">
        <v>891</v>
      </c>
      <c r="D118" s="16" t="s">
        <v>892</v>
      </c>
      <c r="E118" s="16">
        <v>100</v>
      </c>
      <c r="F118" s="16" t="s">
        <v>893</v>
      </c>
      <c r="G118" s="16" t="s">
        <v>894</v>
      </c>
      <c r="H118" s="16" t="s">
        <v>894</v>
      </c>
      <c r="I118" s="16" t="s">
        <v>894</v>
      </c>
      <c r="J118" s="16" t="s">
        <v>30</v>
      </c>
      <c r="K118" s="5">
        <v>536000</v>
      </c>
      <c r="L118" s="5" t="s">
        <v>55</v>
      </c>
      <c r="M118" s="16" t="s">
        <v>895</v>
      </c>
      <c r="N118" s="16" t="s">
        <v>383</v>
      </c>
      <c r="O118" s="16" t="s">
        <v>384</v>
      </c>
      <c r="P118" s="16" t="s">
        <v>58</v>
      </c>
      <c r="Q118" s="16" t="s">
        <v>36</v>
      </c>
      <c r="R118" s="16" t="s">
        <v>896</v>
      </c>
      <c r="S118" s="16" t="s">
        <v>514</v>
      </c>
      <c r="V118" s="16" t="s">
        <v>881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32</v>
      </c>
    </row>
    <row r="119" spans="1:27">
      <c r="A119" s="16" t="s">
        <v>199</v>
      </c>
      <c r="B119" s="16" t="s">
        <v>200</v>
      </c>
      <c r="C119" s="16" t="s">
        <v>201</v>
      </c>
      <c r="D119" s="16"/>
      <c r="E119" s="16">
        <v>18</v>
      </c>
      <c r="F119" s="16" t="s">
        <v>202</v>
      </c>
      <c r="G119" s="16" t="s">
        <v>203</v>
      </c>
      <c r="H119" s="16" t="s">
        <v>203</v>
      </c>
      <c r="I119" s="16"/>
      <c r="J119" s="16"/>
      <c r="K119" s="5"/>
      <c r="L119" s="5" t="s">
        <v>55</v>
      </c>
      <c r="M119" s="16"/>
      <c r="N119" s="16" t="s">
        <v>204</v>
      </c>
      <c r="O119" s="16" t="s">
        <v>86</v>
      </c>
      <c r="P119" s="16" t="s">
        <v>58</v>
      </c>
      <c r="Q119" s="16" t="s">
        <v>36</v>
      </c>
      <c r="R119" s="16"/>
      <c r="S119" s="16" t="s">
        <v>643</v>
      </c>
      <c r="V119" s="16" t="s">
        <v>643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23</v>
      </c>
    </row>
    <row r="120" spans="1:27">
      <c r="A120" s="16" t="s">
        <v>205</v>
      </c>
      <c r="B120" s="16" t="s">
        <v>206</v>
      </c>
      <c r="C120" s="16" t="s">
        <v>718</v>
      </c>
      <c r="D120" s="16"/>
      <c r="E120" s="16">
        <v>21</v>
      </c>
      <c r="F120" s="16" t="s">
        <v>207</v>
      </c>
      <c r="G120" s="16" t="s">
        <v>195</v>
      </c>
      <c r="H120" s="16" t="s">
        <v>195</v>
      </c>
      <c r="I120" s="16"/>
      <c r="J120" s="16"/>
      <c r="K120" s="5"/>
      <c r="L120" s="5" t="s">
        <v>31</v>
      </c>
      <c r="M120" s="16"/>
      <c r="N120" s="16" t="s">
        <v>167</v>
      </c>
      <c r="O120" s="16" t="s">
        <v>86</v>
      </c>
      <c r="P120" s="16" t="s">
        <v>35</v>
      </c>
      <c r="Q120" s="16" t="s">
        <v>36</v>
      </c>
      <c r="R120" s="16"/>
      <c r="S120" s="16" t="s">
        <v>643</v>
      </c>
      <c r="V120" s="16" t="s">
        <v>643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0" s="9">
        <f>+DATE(YEAR(Control[[#This Row],[Fecha Requisición]]),MONTH(Control[[#This Row],[Fecha Requisición]]),1)</f>
        <v>46174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23</v>
      </c>
    </row>
    <row r="121" spans="1:27">
      <c r="A121" s="16" t="s">
        <v>208</v>
      </c>
      <c r="B121" s="16" t="s">
        <v>209</v>
      </c>
      <c r="C121" s="16" t="s">
        <v>210</v>
      </c>
      <c r="D121" s="16"/>
      <c r="E121" s="16">
        <v>26</v>
      </c>
      <c r="F121" s="16" t="s">
        <v>211</v>
      </c>
      <c r="G121" s="16" t="s">
        <v>212</v>
      </c>
      <c r="H121" s="16" t="s">
        <v>212</v>
      </c>
      <c r="I121" s="16"/>
      <c r="J121" s="16"/>
      <c r="K121" s="5"/>
      <c r="L121" s="5" t="s">
        <v>31</v>
      </c>
      <c r="M121" s="16"/>
      <c r="N121" s="16" t="s">
        <v>213</v>
      </c>
      <c r="O121" s="16" t="s">
        <v>101</v>
      </c>
      <c r="P121" s="16" t="s">
        <v>124</v>
      </c>
      <c r="Q121" s="16" t="s">
        <v>36</v>
      </c>
      <c r="R121" s="16"/>
      <c r="S121" s="16" t="s">
        <v>643</v>
      </c>
      <c r="V121" s="16" t="s">
        <v>643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46174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25</v>
      </c>
    </row>
    <row r="122" spans="1:27">
      <c r="A122" s="16" t="s">
        <v>214</v>
      </c>
      <c r="B122" s="16" t="s">
        <v>215</v>
      </c>
      <c r="C122" s="16" t="s">
        <v>216</v>
      </c>
      <c r="D122" s="16"/>
      <c r="E122" s="16">
        <v>27</v>
      </c>
      <c r="F122" s="16" t="s">
        <v>217</v>
      </c>
      <c r="G122" s="16" t="s">
        <v>218</v>
      </c>
      <c r="H122" s="16" t="s">
        <v>218</v>
      </c>
      <c r="I122" s="16"/>
      <c r="J122" s="16"/>
      <c r="K122" s="5"/>
      <c r="L122" s="5" t="s">
        <v>31</v>
      </c>
      <c r="M122" s="16"/>
      <c r="N122" s="16" t="s">
        <v>219</v>
      </c>
      <c r="O122" s="16" t="s">
        <v>101</v>
      </c>
      <c r="P122" s="16" t="s">
        <v>124</v>
      </c>
      <c r="Q122" s="16" t="s">
        <v>36</v>
      </c>
      <c r="R122" s="16"/>
      <c r="S122" s="16" t="s">
        <v>643</v>
      </c>
      <c r="V122" s="16" t="s">
        <v>643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46174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24</v>
      </c>
    </row>
    <row r="123" spans="1:27">
      <c r="A123" s="16" t="s">
        <v>220</v>
      </c>
      <c r="B123" s="16" t="s">
        <v>221</v>
      </c>
      <c r="C123" s="16" t="s">
        <v>222</v>
      </c>
      <c r="D123" s="16"/>
      <c r="E123" s="16">
        <v>28</v>
      </c>
      <c r="F123" s="16" t="s">
        <v>223</v>
      </c>
      <c r="G123" s="16" t="s">
        <v>218</v>
      </c>
      <c r="H123" s="16" t="s">
        <v>218</v>
      </c>
      <c r="I123" s="16"/>
      <c r="J123" s="16"/>
      <c r="K123" s="5"/>
      <c r="L123" s="5" t="s">
        <v>31</v>
      </c>
      <c r="M123" s="16"/>
      <c r="N123" s="16" t="s">
        <v>158</v>
      </c>
      <c r="O123" s="16" t="s">
        <v>57</v>
      </c>
      <c r="P123" s="16" t="s">
        <v>124</v>
      </c>
      <c r="Q123" s="16" t="s">
        <v>36</v>
      </c>
      <c r="R123" s="16"/>
      <c r="S123" s="16" t="s">
        <v>643</v>
      </c>
      <c r="V123" s="16" t="s">
        <v>643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3" s="9">
        <f>+DATE(YEAR(Control[[#This Row],[Fecha Requisición]]),MONTH(Control[[#This Row],[Fecha Requisición]]),1)</f>
        <v>46174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24</v>
      </c>
    </row>
    <row r="124" spans="1:27">
      <c r="A124" s="16" t="s">
        <v>224</v>
      </c>
      <c r="B124" s="16" t="s">
        <v>225</v>
      </c>
      <c r="C124" s="16" t="s">
        <v>226</v>
      </c>
      <c r="D124" s="16"/>
      <c r="E124" s="16">
        <v>29</v>
      </c>
      <c r="F124" s="16" t="s">
        <v>227</v>
      </c>
      <c r="G124" s="16" t="s">
        <v>212</v>
      </c>
      <c r="H124" s="16" t="s">
        <v>212</v>
      </c>
      <c r="I124" s="16"/>
      <c r="J124" s="16"/>
      <c r="K124" s="5"/>
      <c r="L124" s="5" t="s">
        <v>31</v>
      </c>
      <c r="M124" s="16"/>
      <c r="N124" s="16" t="s">
        <v>219</v>
      </c>
      <c r="O124" s="16" t="s">
        <v>101</v>
      </c>
      <c r="P124" s="16" t="s">
        <v>124</v>
      </c>
      <c r="Q124" s="16" t="s">
        <v>36</v>
      </c>
      <c r="R124" s="16"/>
      <c r="S124" s="16" t="s">
        <v>643</v>
      </c>
      <c r="V124" s="16" t="s">
        <v>726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4" s="9">
        <f>+DATE(YEAR(Control[[#This Row],[Fecha Requisición]]),MONTH(Control[[#This Row],[Fecha Requisición]]),1)</f>
        <v>46174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25</v>
      </c>
    </row>
    <row r="125" spans="1:27">
      <c r="A125" s="16" t="s">
        <v>379</v>
      </c>
      <c r="B125" s="16" t="s">
        <v>380</v>
      </c>
      <c r="C125" s="16" t="s">
        <v>602</v>
      </c>
      <c r="D125" s="16"/>
      <c r="E125" s="16">
        <v>47</v>
      </c>
      <c r="F125" s="16" t="s">
        <v>381</v>
      </c>
      <c r="G125" s="16" t="s">
        <v>382</v>
      </c>
      <c r="H125" s="16" t="s">
        <v>382</v>
      </c>
      <c r="I125" s="16"/>
      <c r="J125" s="16"/>
      <c r="K125" s="5"/>
      <c r="L125" s="5" t="s">
        <v>55</v>
      </c>
      <c r="M125" s="16"/>
      <c r="N125" s="16" t="s">
        <v>383</v>
      </c>
      <c r="O125" s="16" t="s">
        <v>384</v>
      </c>
      <c r="P125" s="16" t="s">
        <v>58</v>
      </c>
      <c r="Q125" s="16" t="s">
        <v>36</v>
      </c>
      <c r="R125" s="16"/>
      <c r="S125" s="16" t="s">
        <v>643</v>
      </c>
      <c r="V125" s="16" t="s">
        <v>726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28</v>
      </c>
    </row>
    <row r="126" spans="1:27">
      <c r="A126" s="16" t="s">
        <v>385</v>
      </c>
      <c r="B126" s="16" t="s">
        <v>386</v>
      </c>
      <c r="C126" s="16" t="s">
        <v>603</v>
      </c>
      <c r="D126" s="16"/>
      <c r="E126" s="16">
        <v>48</v>
      </c>
      <c r="F126" s="16" t="s">
        <v>387</v>
      </c>
      <c r="G126" s="16" t="s">
        <v>382</v>
      </c>
      <c r="H126" s="16" t="s">
        <v>382</v>
      </c>
      <c r="I126" s="16"/>
      <c r="J126" s="16"/>
      <c r="K126" s="5"/>
      <c r="L126" s="5"/>
      <c r="M126" s="16"/>
      <c r="N126" s="16" t="s">
        <v>388</v>
      </c>
      <c r="O126" s="16" t="s">
        <v>176</v>
      </c>
      <c r="P126" s="16" t="s">
        <v>58</v>
      </c>
      <c r="Q126" s="16" t="s">
        <v>94</v>
      </c>
      <c r="R126" s="16"/>
      <c r="S126" s="16" t="s">
        <v>643</v>
      </c>
      <c r="V126" s="16" t="s">
        <v>726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28</v>
      </c>
    </row>
    <row r="127" spans="1:27">
      <c r="A127" s="16" t="s">
        <v>636</v>
      </c>
      <c r="B127" s="16" t="s">
        <v>637</v>
      </c>
      <c r="C127" s="16" t="s">
        <v>675</v>
      </c>
      <c r="D127" s="16"/>
      <c r="E127" s="16">
        <v>71</v>
      </c>
      <c r="F127" s="16" t="s">
        <v>638</v>
      </c>
      <c r="G127" s="16" t="s">
        <v>639</v>
      </c>
      <c r="H127" s="16" t="s">
        <v>639</v>
      </c>
      <c r="I127" s="16"/>
      <c r="J127" s="16"/>
      <c r="K127" s="5"/>
      <c r="L127" s="5" t="s">
        <v>31</v>
      </c>
      <c r="M127" s="16"/>
      <c r="N127" s="16" t="s">
        <v>307</v>
      </c>
      <c r="O127" s="16" t="s">
        <v>86</v>
      </c>
      <c r="P127" s="16" t="s">
        <v>124</v>
      </c>
      <c r="Q127" s="16" t="s">
        <v>36</v>
      </c>
      <c r="R127" s="16"/>
      <c r="S127" s="16" t="s">
        <v>726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30</v>
      </c>
    </row>
    <row r="128" spans="1:27">
      <c r="A128" s="16" t="s">
        <v>640</v>
      </c>
      <c r="B128" s="16" t="s">
        <v>641</v>
      </c>
      <c r="C128" s="16" t="s">
        <v>676</v>
      </c>
      <c r="D128" s="16"/>
      <c r="E128" s="16">
        <v>72</v>
      </c>
      <c r="F128" s="16" t="s">
        <v>642</v>
      </c>
      <c r="G128" s="16" t="s">
        <v>639</v>
      </c>
      <c r="H128" s="16" t="s">
        <v>639</v>
      </c>
      <c r="I128" s="16"/>
      <c r="J128" s="16"/>
      <c r="K128" s="5"/>
      <c r="L128" s="5" t="s">
        <v>31</v>
      </c>
      <c r="M128" s="16"/>
      <c r="N128" s="16" t="s">
        <v>307</v>
      </c>
      <c r="O128" s="16" t="s">
        <v>86</v>
      </c>
      <c r="P128" s="16" t="s">
        <v>124</v>
      </c>
      <c r="Q128" s="16" t="s">
        <v>36</v>
      </c>
      <c r="R128" s="16"/>
      <c r="S128" s="16" t="s">
        <v>643</v>
      </c>
      <c r="V128" s="16" t="s">
        <v>726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8" s="9">
        <f>+DATE(YEAR(Control[[#This Row],[Fecha Requisición]]),MONTH(Control[[#This Row],[Fecha Requisición]]),1)</f>
        <v>46204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30</v>
      </c>
    </row>
    <row r="129" spans="1:27">
      <c r="A129" s="16" t="s">
        <v>757</v>
      </c>
      <c r="B129" s="16" t="s">
        <v>758</v>
      </c>
      <c r="C129" s="16" t="s">
        <v>759</v>
      </c>
      <c r="D129" s="16"/>
      <c r="E129" s="16">
        <v>79</v>
      </c>
      <c r="F129" s="16" t="s">
        <v>760</v>
      </c>
      <c r="G129" s="16" t="s">
        <v>750</v>
      </c>
      <c r="H129" s="16" t="s">
        <v>750</v>
      </c>
      <c r="I129" s="16"/>
      <c r="J129" s="16"/>
      <c r="K129" s="5"/>
      <c r="L129" s="5" t="s">
        <v>55</v>
      </c>
      <c r="M129" s="16"/>
      <c r="N129" s="16" t="s">
        <v>707</v>
      </c>
      <c r="O129" s="16" t="s">
        <v>101</v>
      </c>
      <c r="P129" s="16" t="s">
        <v>58</v>
      </c>
      <c r="Q129" s="16" t="s">
        <v>36</v>
      </c>
      <c r="R129" s="16"/>
      <c r="S129" s="16" t="s">
        <v>514</v>
      </c>
      <c r="V129" s="16" t="s">
        <v>821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46204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31</v>
      </c>
    </row>
    <row r="130" spans="1:27">
      <c r="A130" s="16" t="s">
        <v>781</v>
      </c>
      <c r="B130" s="16" t="s">
        <v>782</v>
      </c>
      <c r="C130" s="16" t="s">
        <v>838</v>
      </c>
      <c r="D130" s="16"/>
      <c r="E130" s="16">
        <v>82</v>
      </c>
      <c r="F130" s="16" t="s">
        <v>783</v>
      </c>
      <c r="G130" s="16" t="s">
        <v>784</v>
      </c>
      <c r="H130" s="16" t="s">
        <v>784</v>
      </c>
      <c r="I130" s="16"/>
      <c r="J130" s="16"/>
      <c r="K130" s="5"/>
      <c r="L130" s="5"/>
      <c r="M130" s="16"/>
      <c r="N130" s="16"/>
      <c r="O130" s="16" t="s">
        <v>57</v>
      </c>
      <c r="P130" s="16" t="s">
        <v>35</v>
      </c>
      <c r="Q130" s="16" t="s">
        <v>94</v>
      </c>
      <c r="R130" s="16"/>
      <c r="S130" s="16" t="s">
        <v>514</v>
      </c>
      <c r="V130" s="16" t="s">
        <v>644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31</v>
      </c>
    </row>
    <row r="131" spans="1:27">
      <c r="A131" s="16" t="s">
        <v>785</v>
      </c>
      <c r="B131" s="16" t="s">
        <v>786</v>
      </c>
      <c r="C131" s="16" t="s">
        <v>839</v>
      </c>
      <c r="D131" s="16"/>
      <c r="E131" s="16">
        <v>83</v>
      </c>
      <c r="F131" s="16" t="s">
        <v>787</v>
      </c>
      <c r="G131" s="16" t="s">
        <v>788</v>
      </c>
      <c r="H131" s="16" t="s">
        <v>788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58</v>
      </c>
      <c r="Q131" s="16" t="s">
        <v>36</v>
      </c>
      <c r="R131" s="16"/>
      <c r="S131" s="16" t="s">
        <v>517</v>
      </c>
      <c r="V131" s="16" t="s">
        <v>822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789</v>
      </c>
      <c r="B132" s="16" t="s">
        <v>790</v>
      </c>
      <c r="C132" s="16" t="s">
        <v>840</v>
      </c>
      <c r="D132" s="16"/>
      <c r="E132" s="16">
        <v>84</v>
      </c>
      <c r="F132" s="16" t="s">
        <v>791</v>
      </c>
      <c r="G132" s="16" t="s">
        <v>788</v>
      </c>
      <c r="H132" s="16" t="s">
        <v>788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124</v>
      </c>
      <c r="Q132" s="16" t="s">
        <v>36</v>
      </c>
      <c r="R132" s="16"/>
      <c r="S132" s="16" t="s">
        <v>517</v>
      </c>
      <c r="V132" s="16" t="s">
        <v>822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792</v>
      </c>
      <c r="B133" s="16" t="s">
        <v>793</v>
      </c>
      <c r="C133" s="16" t="s">
        <v>841</v>
      </c>
      <c r="D133" s="16"/>
      <c r="E133" s="16">
        <v>85</v>
      </c>
      <c r="F133" s="16" t="s">
        <v>794</v>
      </c>
      <c r="G133" s="16" t="s">
        <v>788</v>
      </c>
      <c r="H133" s="16" t="s">
        <v>788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273</v>
      </c>
      <c r="Q133" s="16" t="s">
        <v>36</v>
      </c>
      <c r="R133" s="16"/>
      <c r="S133" s="16" t="s">
        <v>517</v>
      </c>
      <c r="V133" s="16" t="s">
        <v>822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>
      <c r="A134" s="16" t="s">
        <v>795</v>
      </c>
      <c r="B134" s="16" t="s">
        <v>796</v>
      </c>
      <c r="C134" s="16" t="s">
        <v>842</v>
      </c>
      <c r="D134" s="16"/>
      <c r="E134" s="16">
        <v>86</v>
      </c>
      <c r="F134" s="16" t="s">
        <v>797</v>
      </c>
      <c r="G134" s="16" t="s">
        <v>788</v>
      </c>
      <c r="H134" s="16" t="s">
        <v>788</v>
      </c>
      <c r="I134" s="16"/>
      <c r="J134" s="16"/>
      <c r="K134" s="5"/>
      <c r="L134" s="5" t="s">
        <v>31</v>
      </c>
      <c r="M134" s="16"/>
      <c r="N134" s="16" t="s">
        <v>196</v>
      </c>
      <c r="O134" s="16" t="s">
        <v>197</v>
      </c>
      <c r="P134" s="16" t="s">
        <v>75</v>
      </c>
      <c r="Q134" s="16" t="s">
        <v>36</v>
      </c>
      <c r="R134" s="16"/>
      <c r="S134" s="16" t="s">
        <v>517</v>
      </c>
      <c r="V134" s="16" t="s">
        <v>822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32</v>
      </c>
    </row>
    <row r="135" spans="1:27">
      <c r="A135" s="16" t="s">
        <v>798</v>
      </c>
      <c r="B135" s="16" t="s">
        <v>799</v>
      </c>
      <c r="C135" s="16" t="s">
        <v>843</v>
      </c>
      <c r="D135" s="16"/>
      <c r="E135" s="16">
        <v>87</v>
      </c>
      <c r="F135" s="16" t="s">
        <v>800</v>
      </c>
      <c r="G135" s="16" t="s">
        <v>788</v>
      </c>
      <c r="H135" s="16" t="s">
        <v>788</v>
      </c>
      <c r="I135" s="16"/>
      <c r="J135" s="16"/>
      <c r="K135" s="5"/>
      <c r="L135" s="5" t="s">
        <v>31</v>
      </c>
      <c r="M135" s="16"/>
      <c r="N135" s="16" t="s">
        <v>196</v>
      </c>
      <c r="O135" s="16" t="s">
        <v>34</v>
      </c>
      <c r="P135" s="16" t="s">
        <v>801</v>
      </c>
      <c r="Q135" s="16" t="s">
        <v>36</v>
      </c>
      <c r="R135" s="16"/>
      <c r="S135" s="16" t="s">
        <v>517</v>
      </c>
      <c r="V135" s="16" t="s">
        <v>822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>
      <c r="A136" s="16" t="s">
        <v>802</v>
      </c>
      <c r="B136" s="16" t="s">
        <v>803</v>
      </c>
      <c r="C136" s="16" t="s">
        <v>844</v>
      </c>
      <c r="D136" s="16"/>
      <c r="E136" s="16">
        <v>88</v>
      </c>
      <c r="F136" s="16" t="s">
        <v>804</v>
      </c>
      <c r="G136" s="16" t="s">
        <v>788</v>
      </c>
      <c r="H136" s="16" t="s">
        <v>788</v>
      </c>
      <c r="I136" s="16"/>
      <c r="J136" s="16"/>
      <c r="K136" s="5"/>
      <c r="L136" s="5" t="s">
        <v>31</v>
      </c>
      <c r="M136" s="16"/>
      <c r="N136" s="16" t="s">
        <v>196</v>
      </c>
      <c r="O136" s="16" t="s">
        <v>197</v>
      </c>
      <c r="P136" s="16" t="s">
        <v>463</v>
      </c>
      <c r="Q136" s="16" t="s">
        <v>36</v>
      </c>
      <c r="R136" s="16"/>
      <c r="S136" s="16" t="s">
        <v>517</v>
      </c>
      <c r="V136" s="16" t="s">
        <v>822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>
      <c r="A137" s="16" t="s">
        <v>808</v>
      </c>
      <c r="B137" s="16" t="s">
        <v>809</v>
      </c>
      <c r="C137" s="16"/>
      <c r="D137" s="16"/>
      <c r="E137" s="16">
        <v>90</v>
      </c>
      <c r="F137" s="16" t="s">
        <v>810</v>
      </c>
      <c r="G137" s="16" t="s">
        <v>811</v>
      </c>
      <c r="H137" s="16"/>
      <c r="I137" s="16"/>
      <c r="J137" s="16"/>
      <c r="K137" s="5"/>
      <c r="L137" s="5" t="s">
        <v>31</v>
      </c>
      <c r="M137" s="16"/>
      <c r="N137" s="16" t="s">
        <v>307</v>
      </c>
      <c r="O137" s="16" t="s">
        <v>57</v>
      </c>
      <c r="P137" s="16" t="s">
        <v>124</v>
      </c>
      <c r="Q137" s="16" t="s">
        <v>36</v>
      </c>
      <c r="R137" s="16"/>
      <c r="S137" s="16" t="s">
        <v>514</v>
      </c>
      <c r="V137" s="16" t="s">
        <v>824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27</v>
      </c>
    </row>
    <row r="138" spans="1:27">
      <c r="A138" s="16" t="s">
        <v>812</v>
      </c>
      <c r="B138" s="16" t="s">
        <v>813</v>
      </c>
      <c r="C138" s="16"/>
      <c r="D138" s="16"/>
      <c r="E138" s="16">
        <v>91</v>
      </c>
      <c r="F138" s="16" t="s">
        <v>814</v>
      </c>
      <c r="G138" s="16" t="s">
        <v>811</v>
      </c>
      <c r="H138" s="16"/>
      <c r="I138" s="16"/>
      <c r="J138" s="16"/>
      <c r="K138" s="5"/>
      <c r="L138" s="5" t="s">
        <v>31</v>
      </c>
      <c r="M138" s="16"/>
      <c r="N138" s="16" t="s">
        <v>307</v>
      </c>
      <c r="O138" s="16" t="s">
        <v>57</v>
      </c>
      <c r="P138" s="16" t="s">
        <v>124</v>
      </c>
      <c r="Q138" s="16" t="s">
        <v>36</v>
      </c>
      <c r="R138" s="16"/>
      <c r="S138" s="16" t="s">
        <v>514</v>
      </c>
      <c r="V138" s="16" t="s">
        <v>824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>
      <c r="A139" s="16" t="s">
        <v>818</v>
      </c>
      <c r="B139" s="16" t="s">
        <v>819</v>
      </c>
      <c r="C139" s="16" t="s">
        <v>846</v>
      </c>
      <c r="D139" s="16"/>
      <c r="E139" s="16">
        <v>93</v>
      </c>
      <c r="F139" s="16" t="s">
        <v>820</v>
      </c>
      <c r="G139" s="16" t="s">
        <v>774</v>
      </c>
      <c r="H139" s="16" t="s">
        <v>774</v>
      </c>
      <c r="I139" s="16"/>
      <c r="J139" s="16"/>
      <c r="K139" s="5"/>
      <c r="L139" s="5" t="s">
        <v>55</v>
      </c>
      <c r="M139" s="16"/>
      <c r="N139" s="16" t="s">
        <v>213</v>
      </c>
      <c r="O139" s="16" t="s">
        <v>197</v>
      </c>
      <c r="P139" s="16" t="s">
        <v>58</v>
      </c>
      <c r="Q139" s="16" t="s">
        <v>36</v>
      </c>
      <c r="R139" s="16"/>
      <c r="S139" s="16" t="s">
        <v>517</v>
      </c>
      <c r="V139" s="16" t="s">
        <v>822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>
      <c r="A140" s="16" t="s">
        <v>862</v>
      </c>
      <c r="B140" s="16" t="s">
        <v>863</v>
      </c>
      <c r="C140" s="16" t="s">
        <v>876</v>
      </c>
      <c r="D140" s="16"/>
      <c r="E140" s="16">
        <v>97</v>
      </c>
      <c r="F140" s="16" t="s">
        <v>864</v>
      </c>
      <c r="G140" s="16" t="s">
        <v>865</v>
      </c>
      <c r="H140" s="16" t="s">
        <v>865</v>
      </c>
      <c r="I140" s="16"/>
      <c r="J140" s="16"/>
      <c r="K140" s="5"/>
      <c r="L140" s="5" t="s">
        <v>31</v>
      </c>
      <c r="M140" s="16"/>
      <c r="N140" s="16" t="s">
        <v>866</v>
      </c>
      <c r="O140" s="16" t="s">
        <v>197</v>
      </c>
      <c r="P140" s="16" t="s">
        <v>124</v>
      </c>
      <c r="Q140" s="16" t="s">
        <v>59</v>
      </c>
      <c r="R140" s="16"/>
      <c r="S140" s="16" t="s">
        <v>517</v>
      </c>
      <c r="V140" s="16" t="s">
        <v>823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27</v>
      </c>
    </row>
    <row r="141" spans="1:27">
      <c r="A141" s="16" t="s">
        <v>872</v>
      </c>
      <c r="B141" s="16" t="s">
        <v>873</v>
      </c>
      <c r="C141" s="16" t="s">
        <v>873</v>
      </c>
      <c r="D141" s="16"/>
      <c r="E141" s="16">
        <v>99</v>
      </c>
      <c r="F141" s="16" t="s">
        <v>874</v>
      </c>
      <c r="G141" s="16" t="s">
        <v>875</v>
      </c>
      <c r="H141" s="16" t="s">
        <v>875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517</v>
      </c>
      <c r="V141" s="16" t="s">
        <v>777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>
      <c r="A142" s="16" t="s">
        <v>897</v>
      </c>
      <c r="B142" s="16" t="s">
        <v>898</v>
      </c>
      <c r="C142" s="16"/>
      <c r="D142" s="16"/>
      <c r="E142" s="16">
        <v>101</v>
      </c>
      <c r="F142" s="16" t="s">
        <v>899</v>
      </c>
      <c r="G142" s="16" t="s">
        <v>894</v>
      </c>
      <c r="H142" s="16"/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517</v>
      </c>
      <c r="V142" s="16" t="s">
        <v>777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>
      <c r="Z143" s="2"/>
    </row>
    <row r="144" spans="1:27">
      <c r="Z144" s="2"/>
    </row>
    <row r="145" spans="3:26">
      <c r="Z145" s="2"/>
    </row>
    <row r="157" spans="3:26" ht="15.75" thickBot="1"/>
    <row r="158" spans="3:26" ht="15.75" thickBot="1">
      <c r="C158" s="13" t="s">
        <v>616</v>
      </c>
      <c r="D15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topLeftCell="A66" workbookViewId="0">
      <selection activeCell="A100" sqref="A10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644</v>
      </c>
    </row>
    <row r="76" spans="1:6">
      <c r="A76" s="17">
        <v>75</v>
      </c>
      <c r="B76" s="16" t="s">
        <v>514</v>
      </c>
      <c r="C76" s="17" t="s">
        <v>516</v>
      </c>
      <c r="D76" s="17" t="s">
        <v>775</v>
      </c>
      <c r="E76" s="18">
        <v>46232</v>
      </c>
      <c r="F76" s="16" t="s">
        <v>729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730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761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762</v>
      </c>
    </row>
    <row r="80" spans="1:6">
      <c r="A80" s="17">
        <v>79</v>
      </c>
      <c r="B80" s="16" t="s">
        <v>514</v>
      </c>
      <c r="C80" s="17" t="s">
        <v>516</v>
      </c>
      <c r="D80" s="17"/>
      <c r="E80" s="17"/>
      <c r="F80" s="16" t="s">
        <v>821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514</v>
      </c>
      <c r="C82" s="17" t="s">
        <v>515</v>
      </c>
      <c r="D82" s="17"/>
      <c r="E82" s="17"/>
      <c r="F82" s="16" t="s">
        <v>877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644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822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822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822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822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822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822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778</v>
      </c>
    </row>
    <row r="91" spans="1:6">
      <c r="A91" s="17">
        <v>90</v>
      </c>
      <c r="B91" s="16" t="s">
        <v>514</v>
      </c>
      <c r="C91" s="17" t="s">
        <v>515</v>
      </c>
      <c r="D91" s="17"/>
      <c r="E91" s="17"/>
      <c r="F91" s="16" t="s">
        <v>824</v>
      </c>
    </row>
    <row r="92" spans="1:6">
      <c r="A92" s="17">
        <v>91</v>
      </c>
      <c r="B92" s="16" t="s">
        <v>514</v>
      </c>
      <c r="C92" s="17" t="s">
        <v>515</v>
      </c>
      <c r="D92" s="17"/>
      <c r="E92" s="17"/>
      <c r="F92" s="16" t="s">
        <v>824</v>
      </c>
    </row>
    <row r="93" spans="1:6">
      <c r="A93" s="17">
        <v>92</v>
      </c>
      <c r="B93" s="16" t="s">
        <v>514</v>
      </c>
      <c r="C93" s="17" t="s">
        <v>515</v>
      </c>
      <c r="D93" s="17"/>
      <c r="E93" s="17"/>
      <c r="F93" s="16" t="s">
        <v>878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822</v>
      </c>
    </row>
    <row r="95" spans="1:6">
      <c r="A95" s="17">
        <v>94</v>
      </c>
      <c r="B95" s="16" t="s">
        <v>514</v>
      </c>
      <c r="C95" s="17" t="s">
        <v>515</v>
      </c>
      <c r="D95" s="17"/>
      <c r="E95" s="17"/>
      <c r="F95" s="16" t="s">
        <v>776</v>
      </c>
    </row>
    <row r="96" spans="1:6">
      <c r="A96" s="17">
        <v>95</v>
      </c>
      <c r="B96" s="16" t="s">
        <v>514</v>
      </c>
      <c r="C96" s="17" t="s">
        <v>516</v>
      </c>
      <c r="D96" s="17"/>
      <c r="E96" s="17"/>
      <c r="F96" s="16" t="s">
        <v>879</v>
      </c>
    </row>
    <row r="97" spans="1:6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880</v>
      </c>
    </row>
    <row r="98" spans="1:6">
      <c r="A98" s="17">
        <v>97</v>
      </c>
      <c r="B98" s="24" t="s">
        <v>517</v>
      </c>
      <c r="C98" s="17" t="s">
        <v>515</v>
      </c>
      <c r="D98" s="17"/>
      <c r="E98" s="17"/>
      <c r="F98" s="24" t="s">
        <v>823</v>
      </c>
    </row>
    <row r="99" spans="1:6">
      <c r="A99" s="17">
        <v>98</v>
      </c>
      <c r="B99" s="24" t="s">
        <v>514</v>
      </c>
      <c r="C99" s="17" t="s">
        <v>515</v>
      </c>
      <c r="D99" s="17"/>
      <c r="E99" s="17"/>
      <c r="F99" s="24" t="s">
        <v>879</v>
      </c>
    </row>
    <row r="100" spans="1:6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777</v>
      </c>
    </row>
    <row r="101" spans="1:6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881</v>
      </c>
    </row>
    <row r="102" spans="1:6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777</v>
      </c>
    </row>
  </sheetData>
  <conditionalFormatting sqref="B2:B102 C27:F29 C48:F48">
    <cfRule type="cellIs" dxfId="13" priority="1" operator="equal">
      <formula>"gestionado"</formula>
    </cfRule>
    <cfRule type="cellIs" dxfId="12" priority="2" operator="equal">
      <formula>"procesado"</formula>
    </cfRule>
    <cfRule type="cellIs" dxfId="11" priority="3" operator="equal">
      <formula>"pendiente"</formula>
    </cfRule>
    <cfRule type="cellIs" dxfId="1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2026-08-10T14:14:55Z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