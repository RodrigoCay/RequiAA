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746D93C6-81CE-42E9-8C16-9B4C53AA393B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C199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<sst xmlns="http://schemas.openxmlformats.org/spreadsheetml/2006/main" count="4294962821" uniqueCount="1192">
  <si>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</si>
  <si>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</si>
  <si>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</si>
  <si>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</si>
  <si>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</si>
  <si>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</si>
  <si>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</si>
  <si>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</si>
  <si>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</si>
  <si>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</si>
  <si>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</si>
  <si>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</si>
  <si>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</si>
  <si>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</si>
  <si>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</si>
  <si>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</si>
  <si>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</si>
  <si>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</si>
  <si>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</si>
  <si>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</si>
  <si>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</si>
  <si>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</si>
  <si>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</si>
  <si>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</si>
  <si>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</si>
  <si>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</si>
  <si>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</si>
  <si>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</si>
  <si>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</si>
  <si>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</si>
  <si>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</si>
  <si>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</si>
  <si>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</si>
  <si>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</si>
  <si>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</si>
  <si>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</si>
  <si>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</si>
  <si>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</si>
  <si>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</si>
  <si>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</si>
  <si>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</si>
  <si>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</si>
  <si>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</si>
  <si>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</si>
  <si>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</si>
  <si>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</si>
  <si>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</si>
  <si>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</si>
  <si>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</si>
  <si>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</si>
  <si>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</si>
  <si>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</si>
  <si>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</si>
  <si>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</si>
  <si>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</si>
  <si>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</si>
  <si>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</si>
  <si>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</si>
  <si>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</si>
  <si>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</si>
  <si>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</si>
  <si>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</si>
  <si>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</si>
  <si>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</si>
  <si>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</si>
  <si>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</si>
  <si>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</si>
  <si>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</si>
  <si>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</si>
  <si>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</si>
  <si>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</si>
  <si>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</si>
  <si>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</si>
  <si>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</si>
  <si>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</si>
  <si>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</si>
  <si>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</si>
  <si>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</si>
  <si>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</si>
  <si>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</si>
  <si>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</si>
  <si>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</si>
  <si>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</si>
  <si>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</si>
  <si>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</si>
  <si>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</si>
  <si>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</si>
  <si>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</si>
  <si>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</si>
  <si>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</si>
  <si>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</si>
  <si>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</si>
  <si>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</si>
  <si>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</si>
  <si>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</si>
  <si>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</si>
  <si>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</si>
  <si>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</si>
  <si>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</si>
  <si>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</si>
  <si>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</si>
  <si>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</si>
  <si>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</si>
  <si>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</si>
  <si>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</si>
  <si>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</si>
  <si>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</si>
  <si>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</si>
  <si>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</si>
  <si>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</si>
  <si>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</si>
  <si>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</si>
  <si>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</si>
  <si>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</si>
  <si>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</si>
  <si>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</si>
  <si>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</si>
  <si>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</si>
  <si>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</si>
  <si>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</si>
  <si>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</si>
  <si>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</si>
  <si>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</si>
  <si>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</si>
  <si>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</si>
  <si>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</si>
  <si>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</si>
  <si>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</si>
  <si>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</si>
  <si>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</si>
  <si>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</si>
  <si>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</si>
  <si>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</si>
  <si>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</si>
  <si>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</si>
  <si>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</si>
  <si>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</si>
  <si>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</si>
  <si>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</si>
  <si>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</si>
  <si>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</si>
  <si>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</si>
  <si>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</si>
  <si>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</si>
  <si>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</si>
  <si>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</si>
  <si>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</si>
  <si>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</si>
  <si>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</si>
  <si>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</si>
  <si>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</si>
  <si>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</si>
  <si>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</si>
  <si>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</si>
  <si>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</si>
  <si>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</si>
  <si>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</si>
  <si>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</si>
  <si>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</si>
  <si>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</si>
  <si>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</si>
  <si>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</si>
  <si>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</si>
  <si>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</si>
  <si>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</si>
  <si>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</si>
  <si>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</si>
  <si>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</si>
  <si>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</si>
  <si>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</si>
  <si>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</si>
  <si>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</si>
  <si>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</si>
  <si>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</si>
  <si>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</si>
  <si>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</si>
  <si>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</si>
  <si>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</si>
  <si>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</si>
  <si>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</si>
  <si>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</si>
  <si>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</si>
  <si>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</si>
  <si>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</si>
  <si>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</si>
  <si>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</si>
  <si>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</si>
  <si>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</si>
  <si>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</si>
  <si>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</si>
  <si>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</si>
  <si>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</si>
  <si>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</si>
  <si>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</si>
  <si>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</si>
  <si>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</si>
  <si>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</si>
  <si>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</si>
  <si>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</si>
  <si>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</si>
  <si>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</si>
  <si>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</si>
  <si>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</si>
  <si>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</si>
  <si>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</si>
  <si>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</si>
  <si>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</si>
  <si>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</si>
  <si>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</si>
  <si>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</si>
  <si>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</si>
  <si>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</si>
  <si>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</si>
  <si>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</si>
  <si>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</si>
  <si>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</si>
  <si>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</si>
  <si>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</si>
  <si>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</si>
  <si>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</si>
  <si>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</si>
  <si>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</si>
  <si>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</si>
  <si>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</si>
  <si>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</si>
  <si>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</si>
  <si>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</si>
  <si>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</si>
  <si>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</si>
  <si>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</si>
  <si>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</si>
  <si>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</si>
  <si>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</si>
  <si>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</si>
  <si>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</si>
  <si>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</si>
  <si>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</si>
  <si>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</si>
  <si>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</si>
  <si>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</si>
  <si>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</si>
  <si>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</si>
  <si>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</si>
  <si>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</si>
  <si>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</si>
  <si>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</si>
  <si>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</si>
  <si>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</si>
  <si>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</si>
  <si>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</si>
  <si>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</si>
  <si>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</si>
  <si>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</si>
  <si>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</si>
  <si>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</si>
  <si>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</si>
  <si>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</si>
  <si>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</si>
  <si>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</si>
  <si>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</si>
  <si>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</si>
  <si>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</si>
  <si>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</si>
  <si>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</si>
  <si>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</si>
  <si>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</si>
  <si>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</si>
  <si>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</si>
  <si>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</si>
  <si>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</si>
  <si>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</si>
  <si>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</si>
  <si>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</si>
  <si>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</si>
  <si>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</si>
  <si>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</si>
  <si>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</si>
  <si>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</si>
  <si>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</si>
  <si>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</si>
  <si>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</si>
  <si>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</si>
  <si>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</si>
  <si>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</si>
  <si>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</si>
  <si>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</si>
  <si>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</si>
  <si>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</si>
  <si>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</si>
  <si>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</si>
  <si>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</si>
  <si>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</si>
  <si>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</si>
  <si>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</si>
  <si>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</si>
  <si>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</si>
  <si>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</si>
  <si>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</si>
  <si>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</si>
  <si>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</si>
  <si>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</si>
  <si>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</si>
  <si>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</si>
  <si>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</si>
  <si>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</si>
  <si>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</si>
  <si>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</si>
  <si>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</si>
  <si>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</si>
  <si>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</si>
  <si>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</si>
  <si>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</si>
  <si>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</si>
  <si>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</si>
  <si>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</si>
  <si>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</si>
  <si>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</si>
  <si>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</si>
  <si>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</si>
  <si>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</si>
  <si>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</si>
  <si>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</si>
  <si>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</si>
  <si>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</si>
  <si>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</si>
  <si>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</si>
  <si>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</si>
  <si>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</si>
  <si>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</si>
  <si>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</si>
  <si>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</si>
  <si>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</si>
  <si>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</si>
  <si>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</si>
  <si>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</si>
  <si>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</si>
  <si>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</si>
  <si>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</si>
  <si>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</si>
  <si>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</si>
  <si>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</si>
  <si>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</si>
  <si>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</si>
  <si>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</si>
  <si>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</si>
  <si>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</si>
  <si>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</si>
  <si>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</si>
  <si>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</si>
  <si>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</si>
  <si>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</si>
  <si>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</si>
  <si>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</si>
  <si>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</si>
  <si>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</si>
  <si>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</si>
  <si>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</si>
  <si>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</si>
  <si>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</si>
  <si>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</si>
  <si>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</si>
  <si>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</si>
  <si>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</si>
  <si>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</si>
  <si>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</si>
  <si>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</si>
  <si>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</si>
  <si>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</si>
  <si>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</si>
  <si>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</si>
  <si>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</si>
  <si>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</si>
  <si>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</si>
  <si>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</si>
  <si>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</si>
  <si>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</si>
  <si>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</si>
  <si>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</si>
  <si>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</si>
  <si>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</si>
  <si>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</si>
  <si>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</si>
  <si>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</si>
  <si>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</si>
  <si>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</si>
  <si>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</si>
  <si>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</si>
  <si>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</si>
  <si>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</si>
  <si>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</si>
  <si>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</si>
  <si>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</si>
  <si>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</si>
  <si>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</si>
  <si>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</si>
  <si>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</si>
  <si>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</si>
  <si>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</si>
  <si>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</si>
  <si>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</si>
  <si>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</si>
  <si>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</si>
  <si>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</si>
  <si>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</si>
  <si>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</si>
  <si>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</si>
  <si>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</si>
  <si>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</si>
  <si>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</si>
  <si>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</si>
  <si>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</si>
  <si>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</si>
  <si>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</si>
  <si>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</si>
  <si>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</si>
  <si>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</si>
  <si>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</si>
  <si>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</si>
  <si>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</si>
  <si>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</si>
  <si>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</si>
  <si>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</si>
  <si>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</si>
  <si>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</si>
  <si>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</si>
  <si>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</si>
  <si>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</si>
  <si>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</si>
  <si>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</si>
  <si>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</si>
  <si>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</si>
  <si>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</si>
  <si>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</si>
  <si>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</si>
  <si>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</si>
  <si>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</si>
  <si>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</si>
  <si>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</si>
  <si>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</si>
  <si>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</si>
  <si>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</si>
  <si>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</si>
  <si>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</si>
  <si>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</si>
  <si>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</si>
  <si>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</si>
  <si>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</si>
  <si>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</si>
  <si>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</si>
  <si>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</si>
  <si>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</si>
  <si>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</si>
  <si>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</si>
  <si>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</si>
  <si>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</si>
  <si>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</si>
  <si>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</si>
  <si>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</si>
  <si>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</si>
  <si>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</si>
  <si>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</si>
  <si>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</si>
  <si>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</si>
  <si>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</si>
  <si>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</si>
  <si>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</si>
  <si>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</si>
  <si>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</si>
  <si>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</si>
  <si>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</si>
  <si>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</si>
  <si>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</si>
  <si>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</si>
  <si>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</si>
  <si>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</si>
  <si>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</si>
  <si>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</si>
  <si>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</si>
  <si>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</si>
  <si>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</si>
  <si>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</si>
  <si>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</si>
  <si>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</si>
  <si>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</si>
  <si>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</si>
  <si>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</si>
  <si>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</si>
  <si>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</si>
  <si>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</si>
  <si>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</si>
  <si>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</si>
  <si>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</si>
  <si>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</si>
  <si>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</si>
  <si>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</si>
  <si>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</si>
  <si>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</si>
  <si>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</si>
  <si>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</si>
  <si>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</si>
  <si>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</si>
  <si>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</si>
  <si>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</si>
  <si>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</si>
  <si>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</si>
  <si>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</si>
  <si>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</si>
  <si>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</si>
  <si>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</si>
  <si>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</si>
  <si>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</si>
  <si>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</si>
  <si>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</si>
  <si>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</si>
  <si>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</si>
  <si>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</si>
  <si>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</si>
  <si>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</si>
  <si>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</si>
  <si>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</si>
  <si>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</si>
  <si>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</si>
  <si>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</si>
  <si>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</si>
  <si>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</si>
  <si>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</si>
  <si>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</si>
  <si>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</si>
  <si>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</si>
  <si>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</si>
  <si>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</si>
  <si>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</si>
  <si>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</si>
  <si>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</si>
  <si>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</si>
  <si>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</si>
  <si>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</si>
  <si>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</si>
  <si>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</si>
  <si>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</si>
  <si>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</si>
  <si>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</si>
  <si>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</si>
  <si>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</si>
  <si>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</si>
  <si>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</si>
  <si>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</si>
  <si>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</si>
  <si>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</si>
  <si>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</si>
  <si>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</si>
  <si>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</si>
  <si>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</si>
  <si>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</si>
  <si>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</si>
  <si>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</si>
  <si>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</si>
  <si>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</si>
  <si>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</si>
  <si>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</si>
  <si>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</si>
  <si>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</si>
  <si>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</si>
  <si>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</si>
  <si>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</si>
  <si>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</si>
  <si>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</si>
  <si>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</si>
  <si>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</si>
  <si>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</si>
  <si>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</si>
  <si>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</si>
  <si>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</si>
  <si>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</si>
  <si>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</si>
  <si>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</si>
  <si>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</si>
  <si>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</si>
  <si>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</si>
  <si>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</si>
  <si>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</si>
  <si>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</si>
  <si>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</si>
  <si>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</si>
  <si>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</si>
  <si>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</si>
  <si>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</si>
  <si>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</si>
  <si>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</si>
  <si>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</si>
  <si>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</si>
  <si>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</si>
  <si>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</si>
  <si>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</si>
  <si>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</si>
  <si>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</si>
  <si>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</si>
  <si>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</si>
  <si>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</si>
  <si>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</si>
  <si>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</si>
  <si>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</si>
  <si>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</si>
  <si>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</si>
  <si>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</si>
  <si>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</si>
  <si>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</si>
  <si>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</si>
  <si>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</si>
  <si>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</si>
  <si>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</si>
  <si>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</si>
  <si>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</si>
  <si>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</si>
  <si>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</si>
  <si>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</si>
  <si>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</si>
  <si>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</si>
  <si>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</si>
  <si>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</si>
  <si>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</si>
  <si>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</si>
  <si>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</si>
  <si>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</si>
  <si>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</si>
  <si>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</si>
  <si>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</si>
  <si>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</si>
  <si>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</si>
  <si>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</si>
  <si>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</si>
  <si>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</si>
  <si>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</si>
  <si>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</si>
  <si>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</si>
  <si>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</si>
  <si>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</si>
  <si>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</si>
  <si>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</si>
  <si>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</si>
  <si>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</si>
  <si>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</si>
  <si>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</si>
  <si>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</si>
  <si>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</si>
  <si>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</si>
  <si>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</si>
  <si>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</si>
  <si>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</si>
  <si>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</si>
  <si>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</si>
  <si>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</si>
  <si>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</si>
  <si>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</si>
  <si>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</si>
  <si>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</si>
  <si>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</si>
  <si>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</si>
  <si>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</si>
  <si>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</si>
  <si>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</si>
  <si>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</si>
  <si>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</si>
  <si>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</si>
  <si>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</si>
  <si>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</si>
  <si>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</si>
  <si>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</si>
  <si>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</si>
  <si>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</si>
  <si>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</si>
  <si>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</si>
  <si>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</si>
  <si>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</si>
  <si>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</si>
  <si>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</si>
  <si>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</si>
  <si>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</si>
  <si>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</si>
  <si>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</si>
  <si>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</si>
  <si>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</si>
  <si>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</si>
  <si>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</si>
  <si>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</si>
  <si>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</si>
  <si>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</si>
  <si>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</si>
  <si>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</si>
  <si>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</si>
  <si>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</si>
  <si>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</si>
  <si>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</si>
  <si>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</si>
  <si>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</si>
  <si>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</si>
  <si>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</si>
  <si>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</si>
  <si>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</si>
  <si>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</si>
  <si>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</si>
  <si>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</si>
  <si>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</si>
  <si>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</si>
  <si>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</si>
  <si>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</si>
  <si>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</si>
  <si>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</si>
  <si>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</si>
  <si>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</si>
  <si>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</si>
  <si>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</si>
  <si>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</si>
  <si>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</si>
  <si>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</si>
  <si>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</si>
  <si>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</si>
  <si>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</si>
  <si>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</si>
  <si>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</si>
  <si>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</si>
  <si>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</si>
  <si>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</si>
  <si>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</si>
  <si>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</si>
  <si>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</si>
  <si>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</si>
  <si>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</si>
  <si>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</si>
  <si>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</si>
  <si>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</si>
  <si>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</si>
  <si>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</si>
  <si>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</si>
  <si>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</si>
  <si>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</si>
  <si>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</si>
  <si>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</si>
  <si>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</si>
  <si>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</si>
  <si>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</si>
  <si>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</si>
  <si>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</si>
  <si>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</si>
  <si>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</si>
  <si>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</si>
  <si>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</si>
  <si>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</si>
  <si>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</si>
  <si>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</si>
  <si>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</si>
  <si>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</si>
  <si>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</si>
  <si>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</si>
  <si>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</si>
  <si>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</si>
  <si>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</si>
  <si>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</si>
  <si>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</si>
  <si>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</si>
  <si>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</si>
  <si>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</si>
  <si>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</si>
  <si>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</si>
  <si>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</si>
  <si>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</si>
  <si>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</si>
  <si>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</si>
  <si>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</si>
  <si>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</si>
  <si>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</si>
  <si>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</si>
  <si>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</si>
  <si>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</si>
  <si>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</si>
  <si>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</si>
  <si>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</si>
  <si>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</si>
  <si>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</si>
  <si>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</si>
  <si>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</si>
  <si>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</si>
  <si>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</si>
  <si>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</si>
  <si>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</si>
  <si>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</si>
  <si>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</si>
  <si>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</si>
  <si>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</si>
  <si>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</si>
  <si>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</si>
  <si>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</si>
  <si>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</si>
  <si>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</si>
  <si>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</si>
  <si>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</si>
  <si>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</si>
  <si>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</si>
  <si>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</si>
  <si>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</si>
  <si>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</si>
  <si>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</si>
  <si>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</si>
  <si>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</si>
  <si>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</si>
  <si>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</si>
  <si>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</si>
  <si>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</si>
  <si>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</si>
  <si>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</si>
  <si>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</si>
  <si>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</si>
  <si>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</si>
  <si>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</si>
  <si>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</si>
  <si>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</si>
  <si>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</si>
  <si>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</si>
  <si>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</si>
  <si>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</si>
  <si>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</si>
  <si>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</si>
  <si>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</si>
  <si>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</si>
  <si>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</si>
  <si>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</si>
  <si>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</si>
  <si>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</si>
  <si>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</si>
  <si>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</si>
  <si>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</si>
  <si>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</si>
  <si>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</si>
  <si>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</si>
  <si>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</si>
  <si>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</si>
  <si>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</si>
  <si>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</si>
  <si>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</si>
  <si>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</si>
  <si>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</si>
  <si>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</si>
  <si>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</si>
  <si>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</si>
  <si>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</si>
  <si>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</si>
  <si>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</si>
  <si>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</si>
  <si>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</si>
  <si>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</si>
  <si>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</si>
  <si>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</si>
  <si>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</si>
  <si>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</si>
  <si>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</si>
  <si>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</si>
  <si>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</si>
  <si>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</si>
  <si>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</si>
  <si>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</si>
  <si>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</si>
  <si>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</si>
  <si>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</si>
  <si>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</si>
  <si>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</si>
  <si>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</si>
  <si>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</si>
  <si>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</si>
  <si>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</si>
  <si>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</si>
  <si>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</si>
  <si>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</si>
  <si>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</si>
  <si>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</si>
  <si>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</si>
  <si>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</si>
  <si>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</si>
  <si>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</si>
  <si>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</si>
  <si>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</si>
  <si>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</si>
  <si>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</si>
  <si>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</si>
  <si>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</si>
  <si>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</si>
  <si>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</si>
  <si>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</si>
  <si>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</si>
  <si>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</si>
  <si>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</si>
  <si>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</si>
  <si>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</si>
  <si>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</si>
  <si>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</si>
  <si>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</si>
  <si>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</si>
  <si>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</si>
  <si>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</si>
  <si>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</si>
  <si>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</si>
  <si>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</si>
  <si>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</si>
  <si>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</si>
  <si>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</si>
  <si>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</si>
  <si>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</si>
  <si>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</si>
  <si>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</si>
  <si>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</si>
  <si>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</si>
  <si>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</si>
  <si>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</si>
  <si>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</si>
  <si>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</si>
  <si>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</si>
  <si>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</si>
  <si>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</si>
  <si>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</si>
  <si>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</si>
  <si>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</si>
  <si>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</si>
  <si>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</si>
  <si>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</si>
  <si>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</si>
  <si>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</si>
  <si>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</si>
  <si>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</si>
  <si>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</si>
  <si>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</si>
  <si>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</si>
  <si>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</si>
  <si>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</si>
  <si>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</si>
  <si>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</si>
  <si>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</si>
  <si>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</si>
  <si>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</si>
  <si>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</si>
  <si>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</si>
  <si>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</si>
  <si>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</si>
  <si>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</si>
  <si>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</si>
  <si>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</si>
  <si>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</si>
  <si>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</si>
  <si>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</si>
  <si>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</si>
  <si>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</si>
  <si>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</si>
  <si>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</si>
  <si>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</si>
  <si>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</si>
  <si>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</si>
  <si>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</si>
  <si>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</si>
  <si>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</si>
  <si>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</si>
  <si>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</si>
  <si>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</si>
  <si>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</si>
  <si>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</si>
  <si>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</si>
  <si>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</si>
  <si>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</si>
  <si>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</si>
  <si>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</si>
  <si>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</si>
  <si>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</si>
  <si>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</si>
  <si>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</si>
  <si>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</si>
  <si>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</si>
  <si>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</si>
  <si>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</si>
  <si>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</si>
  <si>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</si>
  <si>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</si>
  <si>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</si>
  <si>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</si>
  <si>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</si>
  <si>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</si>
  <si>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</si>
  <si>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</si>
  <si>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</si>
  <si>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</si>
  <si>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</si>
  <si>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</si>
  <si>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</si>
  <si>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</si>
  <si>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</si>
  <si>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</si>
  <si>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</si>
  <si>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</si>
  <si>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</si>
  <si>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</si>
  <si>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</si>
  <si>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</si>
  <si>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</si>
  <si>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</si>
  <si>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</si>
  <si>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</si>
  <si>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</si>
  <si>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</si>
  <si>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</si>
  <si>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</si>
  <si>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</si>
  <si>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</si>
  <si>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</si>
  <si>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</si>
  <si>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</si>
  <si>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</si>
  <si>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</si>
  <si>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</si>
  <si>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</si>
  <si>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</si>
  <si>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</si>
  <si>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</si>
  <si>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</si>
  <si>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</si>
  <si>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</si>
  <si>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</si>
  <si>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</si>
  <si>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</si>
  <si>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</si>
  <si>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</si>
  <si>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</si>
  <si>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</si>
  <si>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</si>
  <si>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</si>
  <si>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</si>
  <si>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</si>
  <si>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</si>
  <si>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</si>
  <si>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</si>
  <si>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</si>
  <si>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</si>
  <si>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</si>
  <si>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</si>
  <si>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</si>
  <si>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</si>
  <si>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</si>
  <si>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</si>
  <si>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</si>
  <si>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</si>
  <si>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</si>
  <si>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</si>
  <si>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</si>
  <si>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</si>
  <si>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</si>
  <si>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</si>
  <si>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</si>
  <si>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</si>
  <si>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</si>
  <si>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</si>
  <si>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</si>
  <si>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</si>
  <si>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</si>
  <si>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</si>
  <si>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</si>
  <si>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</si>
  <si>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</si>
  <si>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</si>
  <si>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</si>
  <si>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</si>
  <si>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</si>
  <si>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</si>
  <si>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</si>
  <si>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</si>
  <si>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</si>
  <si>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</si>
  <si>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</si>
  <si>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</si>
  <si>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</si>
  <si>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</si>
  <si>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</si>
  <si>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</si>
  <si>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</si>
  <si>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</si>
  <si>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</si>
  <si>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</si>
  <si>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</si>
  <si>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</si>
  <si>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</si>
  <si>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</si>
  <si>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</si>
  <si>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</si>
  <si>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</si>
  <si>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</si>
  <si>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</si>
  <si>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ok, oc enviada deben despachar</t>
  </si>
  <si>
    <t xml:space="preserve">nomina pendiente liberacion 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</si>
  <si>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</si>
  <si>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</si>
  <si>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</si>
  <si>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</si>
  <si>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</si>
  <si>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</si>
  <si>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</si>
  <si>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</si>
  <si>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</si>
  <si>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</si>
  <si>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</si>
  <si>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</si>
  <si>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</si>
  <si>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</si>
  <si>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</si>
  <si>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</si>
  <si>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</si>
  <si>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</si>
  <si>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</si>
  <si>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</si>
  <si>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</si>
  <si>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</si>
  <si>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</si>
  <si>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</si>
  <si>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</si>
  <si>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</si>
  <si>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</si>
  <si>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</si>
  <si>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</si>
  <si>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</si>
  <si>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</si>
  <si>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</si>
  <si>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</si>
  <si>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</si>
  <si>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</si>
  <si>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</si>
  <si>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</si>
  <si>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</si>
  <si>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</si>
  <si>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</si>
  <si>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</si>
  <si>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</si>
  <si>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</si>
  <si>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</si>
  <si>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</si>
  <si>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</si>
  <si>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</si>
  <si>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</si>
  <si>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</si>
  <si>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</si>
  <si>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</si>
  <si>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</si>
  <si>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</si>
  <si>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>ok, llega 2 septiembre</t>
  </si>
  <si>
    <t xml:space="preserve">ok,solo aprobaron 2 </t>
  </si>
  <si>
    <t>ok, procesado (hacer oc)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</si>
  <si>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</si>
  <si>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</si>
  <si>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</si>
  <si>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</si>
  <si>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</si>
  <si>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</si>
  <si>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</si>
  <si>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</si>
  <si>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</si>
  <si>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</si>
  <si>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</si>
  <si>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</si>
  <si>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</si>
  <si>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</si>
  <si>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</si>
  <si>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</si>
  <si>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</si>
  <si>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</si>
  <si>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</si>
  <si>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</si>
  <si>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</si>
  <si>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</si>
  <si>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</si>
  <si>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</si>
  <si>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</si>
  <si>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</si>
  <si>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</si>
  <si>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</si>
  <si>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</si>
  <si>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</si>
  <si>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</si>
  <si>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</si>
  <si>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</si>
  <si>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</si>
  <si>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</si>
  <si>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</si>
  <si>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</si>
  <si>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</si>
  <si>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</si>
  <si>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</si>
  <si>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</si>
  <si>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 xml:space="preserve">ok, nomina liberada pendiente a llegar </t>
  </si>
  <si>
    <t>ok. oc enviada y deben cordinar certificaciones</t>
  </si>
  <si>
    <t xml:space="preserve">ok, cotizado pendiente aprobacion / 35 dias habiles en llegar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</si>
</sst>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7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91" tableType="queryTable" totalsRowShown="0" headerRowDxfId="27">
  <autoFilter ref="A1:AA191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41" totalsRowShown="0" headerRowDxfId="22" dataDxfId="21">
  <autoFilter ref="A1:G141" xr:uid="{0EB08CB5-F347-46F6-A2BB-419FEB016475}"/>
  <tableColumns count="7">
    <tableColumn id="1" xr3:uid="{EA8F1E43-6EF0-43E9-B71B-98D3C4584ACC}" name="N° solicitud" dataDxfId="11"/>
    <tableColumn id="2" xr3:uid="{9FA8BFE5-861C-4596-A02E-A670F1BDB608}" name="Estado" dataDxfId="20"/>
    <tableColumn id="3" xr3:uid="{E58581DB-8B04-4C13-8B4F-27FC5E1AE281}" name="Empresa" dataDxfId="10"/>
    <tableColumn id="6" xr3:uid="{DAADF8D0-34FE-479B-9430-88C5F34DBAE2}" name="fecha pago " dataDxfId="9"/>
    <tableColumn id="7" xr3:uid="{7D80F5CD-A672-43F9-903B-537A4B66EACC}" name="fecha entrega" dataDxfId="8"/>
    <tableColumn id="5" xr3:uid="{16163A18-549A-4B29-B76F-2E153A8FC4F4}" name="Comentario" dataDxfId="19"/>
    <tableColumn id="4" xr3:uid="{AB2C7C8D-292F-499F-B490-59E3C5CBAC30}" name="Columna1" dataDxfId="1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7"/>
    <tableColumn id="9" xr3:uid="{64335130-2EC5-44A7-9C4C-F057150832C4}" name="Fecha de entrega" dataDxfId="1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07"/>
  <sheetViews>
    <sheetView tabSelected="1" topLeftCell="A146" zoomScaleNormal="100" workbookViewId="0">
      <selection activeCell="A177" sqref="A177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1039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1040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1092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1093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1094</v>
      </c>
      <c r="S116" s="15" t="s">
        <v>514</v>
      </c>
      <c r="V116" s="15" t="s">
        <v>1188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1095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1096</v>
      </c>
      <c r="S117" s="15" t="s">
        <v>514</v>
      </c>
      <c r="V117" s="15" t="s">
        <v>1188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1097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1098</v>
      </c>
      <c r="S118" s="15" t="s">
        <v>514</v>
      </c>
      <c r="T118" s="2">
        <v>46260</v>
      </c>
      <c r="U118" s="2">
        <v>46270</v>
      </c>
      <c r="V118" s="15" t="s">
        <v>1189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1099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1100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1101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1102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881</v>
      </c>
      <c r="B132" s="15" t="s">
        <v>882</v>
      </c>
      <c r="C132" s="15" t="s">
        <v>891</v>
      </c>
      <c r="D132" s="15" t="s">
        <v>883</v>
      </c>
      <c r="E132" s="15">
        <v>100</v>
      </c>
      <c r="F132" s="15" t="s">
        <v>884</v>
      </c>
      <c r="G132" s="15" t="s">
        <v>885</v>
      </c>
      <c r="H132" s="15" t="s">
        <v>885</v>
      </c>
      <c r="I132" s="15" t="s">
        <v>885</v>
      </c>
      <c r="J132" s="15" t="s">
        <v>30</v>
      </c>
      <c r="K132" s="5">
        <v>536000</v>
      </c>
      <c r="L132" s="5" t="s">
        <v>55</v>
      </c>
      <c r="M132" s="15" t="s">
        <v>886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887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888</v>
      </c>
      <c r="B133" s="15" t="s">
        <v>889</v>
      </c>
      <c r="C133" s="15" t="s">
        <v>893</v>
      </c>
      <c r="D133" s="15" t="s">
        <v>935</v>
      </c>
      <c r="E133" s="15">
        <v>101</v>
      </c>
      <c r="F133" s="15" t="s">
        <v>890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/>
      <c r="L133" s="5" t="s">
        <v>31</v>
      </c>
      <c r="M133" s="15" t="s">
        <v>936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937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894</v>
      </c>
      <c r="B134" s="15" t="s">
        <v>895</v>
      </c>
      <c r="C134" s="15" t="s">
        <v>896</v>
      </c>
      <c r="D134" s="15" t="s">
        <v>956</v>
      </c>
      <c r="E134" s="15">
        <v>102</v>
      </c>
      <c r="F134" s="15" t="s">
        <v>897</v>
      </c>
      <c r="G134" s="15" t="s">
        <v>898</v>
      </c>
      <c r="H134" s="15" t="s">
        <v>898</v>
      </c>
      <c r="I134" s="15" t="s">
        <v>898</v>
      </c>
      <c r="J134" s="15" t="s">
        <v>39</v>
      </c>
      <c r="K134" s="5"/>
      <c r="L134" s="5" t="s">
        <v>31</v>
      </c>
      <c r="M134" s="15" t="s">
        <v>957</v>
      </c>
      <c r="N134" s="15" t="s">
        <v>219</v>
      </c>
      <c r="O134" s="15" t="s">
        <v>866</v>
      </c>
      <c r="P134" s="15"/>
      <c r="Q134" s="15" t="s">
        <v>36</v>
      </c>
      <c r="R134" s="15" t="s">
        <v>958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899</v>
      </c>
      <c r="B135" s="15" t="s">
        <v>900</v>
      </c>
      <c r="C135" s="15" t="s">
        <v>901</v>
      </c>
      <c r="D135" s="15" t="s">
        <v>959</v>
      </c>
      <c r="E135" s="15">
        <v>103</v>
      </c>
      <c r="F135" s="15" t="s">
        <v>902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>
        <v>1662073</v>
      </c>
      <c r="L135" s="5" t="s">
        <v>55</v>
      </c>
      <c r="M135" s="15" t="s">
        <v>960</v>
      </c>
      <c r="N135" s="15" t="s">
        <v>903</v>
      </c>
      <c r="O135" s="15" t="s">
        <v>384</v>
      </c>
      <c r="P135" s="15" t="s">
        <v>58</v>
      </c>
      <c r="Q135" s="15" t="s">
        <v>36</v>
      </c>
      <c r="R135" s="15" t="s">
        <v>961</v>
      </c>
      <c r="S135" s="15" t="s">
        <v>514</v>
      </c>
      <c r="T135" s="2">
        <v>46248</v>
      </c>
      <c r="V135" s="15" t="s">
        <v>1033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904</v>
      </c>
      <c r="B136" s="15" t="s">
        <v>905</v>
      </c>
      <c r="C136" s="15" t="s">
        <v>906</v>
      </c>
      <c r="D136" s="15" t="s">
        <v>945</v>
      </c>
      <c r="E136" s="15">
        <v>104</v>
      </c>
      <c r="F136" s="15" t="s">
        <v>907</v>
      </c>
      <c r="G136" s="15" t="s">
        <v>908</v>
      </c>
      <c r="H136" s="15" t="s">
        <v>908</v>
      </c>
      <c r="I136" s="15" t="s">
        <v>908</v>
      </c>
      <c r="J136" s="15" t="s">
        <v>30</v>
      </c>
      <c r="K136" s="5"/>
      <c r="L136" s="5" t="s">
        <v>31</v>
      </c>
      <c r="M136" s="15" t="s">
        <v>936</v>
      </c>
      <c r="N136" s="15" t="s">
        <v>909</v>
      </c>
      <c r="O136" s="15" t="s">
        <v>34</v>
      </c>
      <c r="P136" s="15" t="s">
        <v>273</v>
      </c>
      <c r="Q136" s="15" t="s">
        <v>36</v>
      </c>
      <c r="R136" s="15" t="s">
        <v>946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910</v>
      </c>
      <c r="B137" s="15" t="s">
        <v>911</v>
      </c>
      <c r="C137" s="15" t="s">
        <v>912</v>
      </c>
      <c r="D137" s="15" t="s">
        <v>962</v>
      </c>
      <c r="E137" s="15">
        <v>105</v>
      </c>
      <c r="F137" s="15" t="s">
        <v>913</v>
      </c>
      <c r="G137" s="15" t="s">
        <v>908</v>
      </c>
      <c r="H137" s="15" t="s">
        <v>908</v>
      </c>
      <c r="I137" s="15" t="s">
        <v>908</v>
      </c>
      <c r="J137" s="15" t="s">
        <v>39</v>
      </c>
      <c r="K137" s="5">
        <v>353930</v>
      </c>
      <c r="L137" s="5" t="s">
        <v>55</v>
      </c>
      <c r="M137" s="15" t="s">
        <v>963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964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938</v>
      </c>
      <c r="B138" s="15" t="s">
        <v>939</v>
      </c>
      <c r="C138" s="15" t="s">
        <v>965</v>
      </c>
      <c r="D138" s="15" t="s">
        <v>1103</v>
      </c>
      <c r="E138" s="15">
        <v>106</v>
      </c>
      <c r="F138" s="15" t="s">
        <v>940</v>
      </c>
      <c r="G138" s="15" t="s">
        <v>941</v>
      </c>
      <c r="H138" s="15" t="s">
        <v>941</v>
      </c>
      <c r="I138" s="15" t="s">
        <v>941</v>
      </c>
      <c r="J138" s="15" t="s">
        <v>39</v>
      </c>
      <c r="K138" s="5"/>
      <c r="L138" s="5" t="s">
        <v>31</v>
      </c>
      <c r="M138" s="15" t="s">
        <v>1104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1105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1106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30</v>
      </c>
      <c r="K139" s="5"/>
      <c r="L139" s="5" t="s">
        <v>31</v>
      </c>
      <c r="M139" s="15" t="s">
        <v>1107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1108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1109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/>
      <c r="L140" s="5" t="s">
        <v>31</v>
      </c>
      <c r="M140" s="15" t="s">
        <v>924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1110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993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/>
      <c r="L141" s="5" t="s">
        <v>31</v>
      </c>
      <c r="M141" s="15" t="s">
        <v>927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994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1111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/>
      <c r="L142" s="5" t="s">
        <v>31</v>
      </c>
      <c r="M142" s="15" t="s">
        <v>930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1112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942</v>
      </c>
      <c r="B143" s="15" t="s">
        <v>943</v>
      </c>
      <c r="C143" s="15" t="s">
        <v>966</v>
      </c>
      <c r="D143" s="15" t="s">
        <v>1149</v>
      </c>
      <c r="E143" s="15">
        <v>107</v>
      </c>
      <c r="F143" s="15" t="s">
        <v>944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>
        <v>136374</v>
      </c>
      <c r="L143" s="5" t="s">
        <v>55</v>
      </c>
      <c r="M143" s="15" t="s">
        <v>1150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1151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1152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30</v>
      </c>
      <c r="K144" s="5">
        <v>1572094</v>
      </c>
      <c r="L144" s="5" t="s">
        <v>55</v>
      </c>
      <c r="M144" s="15" t="s">
        <v>1093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1153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1154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80325</v>
      </c>
      <c r="L145" s="5" t="s">
        <v>55</v>
      </c>
      <c r="M145" s="15" t="s">
        <v>924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1155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995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1672516</v>
      </c>
      <c r="L146" s="5" t="s">
        <v>55</v>
      </c>
      <c r="M146" s="15" t="s">
        <v>996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997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1156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97801</v>
      </c>
      <c r="L147" s="5" t="s">
        <v>55</v>
      </c>
      <c r="M147" s="15" t="s">
        <v>930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1157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947</v>
      </c>
      <c r="B148" s="15" t="s">
        <v>948</v>
      </c>
      <c r="C148" s="15" t="s">
        <v>949</v>
      </c>
      <c r="D148" s="15" t="s">
        <v>954</v>
      </c>
      <c r="E148" s="15">
        <v>109</v>
      </c>
      <c r="F148" s="15" t="s">
        <v>950</v>
      </c>
      <c r="G148" s="15" t="s">
        <v>951</v>
      </c>
      <c r="H148" s="15" t="s">
        <v>951</v>
      </c>
      <c r="I148" s="15" t="s">
        <v>951</v>
      </c>
      <c r="J148" s="15" t="s">
        <v>39</v>
      </c>
      <c r="K148" s="5"/>
      <c r="L148" s="5" t="s">
        <v>31</v>
      </c>
      <c r="M148" s="15" t="s">
        <v>571</v>
      </c>
      <c r="N148" s="15" t="s">
        <v>219</v>
      </c>
      <c r="O148" s="15" t="s">
        <v>866</v>
      </c>
      <c r="P148" s="15" t="s">
        <v>124</v>
      </c>
      <c r="Q148" s="15" t="s">
        <v>36</v>
      </c>
      <c r="R148" s="15" t="s">
        <v>955</v>
      </c>
      <c r="S148" s="15" t="s">
        <v>514</v>
      </c>
      <c r="T148" s="2">
        <v>46248</v>
      </c>
      <c r="U148" s="2">
        <v>46251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967</v>
      </c>
      <c r="B149" s="15" t="s">
        <v>968</v>
      </c>
      <c r="C149" s="15" t="s">
        <v>969</v>
      </c>
      <c r="D149" s="15" t="s">
        <v>998</v>
      </c>
      <c r="E149" s="15">
        <v>110</v>
      </c>
      <c r="F149" s="15" t="s">
        <v>970</v>
      </c>
      <c r="G149" s="15" t="s">
        <v>951</v>
      </c>
      <c r="H149" s="15" t="s">
        <v>951</v>
      </c>
      <c r="I149" s="15" t="s">
        <v>951</v>
      </c>
      <c r="J149" s="15" t="s">
        <v>30</v>
      </c>
      <c r="K149" s="5">
        <v>1431345</v>
      </c>
      <c r="L149" s="5" t="s">
        <v>55</v>
      </c>
      <c r="M149" s="15" t="s">
        <v>915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999</v>
      </c>
      <c r="S149" s="15" t="s">
        <v>514</v>
      </c>
      <c r="U149" s="2">
        <v>46251</v>
      </c>
      <c r="V149" s="15" t="s">
        <v>1088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971</v>
      </c>
      <c r="B150" s="15" t="s">
        <v>972</v>
      </c>
      <c r="C150" s="15" t="s">
        <v>973</v>
      </c>
      <c r="D150" s="15" t="s">
        <v>1000</v>
      </c>
      <c r="E150" s="15">
        <v>111</v>
      </c>
      <c r="F150" s="15" t="s">
        <v>974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/>
      <c r="L150" s="5" t="s">
        <v>31</v>
      </c>
      <c r="M150" s="15" t="s">
        <v>1001</v>
      </c>
      <c r="N150" s="15" t="s">
        <v>975</v>
      </c>
      <c r="O150" s="15" t="s">
        <v>57</v>
      </c>
      <c r="P150" s="15" t="s">
        <v>124</v>
      </c>
      <c r="Q150" s="15" t="s">
        <v>36</v>
      </c>
      <c r="R150" s="15" t="s">
        <v>1002</v>
      </c>
      <c r="S150" s="15" t="s">
        <v>514</v>
      </c>
      <c r="U150" s="2">
        <v>46251</v>
      </c>
      <c r="V150" s="15" t="s">
        <v>1088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976</v>
      </c>
      <c r="B151" s="15" t="s">
        <v>977</v>
      </c>
      <c r="C151" s="15" t="s">
        <v>978</v>
      </c>
      <c r="D151" s="15" t="s">
        <v>1003</v>
      </c>
      <c r="E151" s="15">
        <v>112</v>
      </c>
      <c r="F151" s="15" t="s">
        <v>979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101</v>
      </c>
      <c r="P151" s="15" t="s">
        <v>124</v>
      </c>
      <c r="Q151" s="15" t="s">
        <v>36</v>
      </c>
      <c r="R151" s="15" t="s">
        <v>1004</v>
      </c>
      <c r="S151" s="15" t="s">
        <v>514</v>
      </c>
      <c r="U151" s="2">
        <v>46251</v>
      </c>
      <c r="V151" s="15" t="s">
        <v>1088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980</v>
      </c>
      <c r="B152" s="15" t="s">
        <v>981</v>
      </c>
      <c r="C152" s="15" t="s">
        <v>982</v>
      </c>
      <c r="D152" s="15" t="s">
        <v>1005</v>
      </c>
      <c r="E152" s="15">
        <v>113</v>
      </c>
      <c r="F152" s="15" t="s">
        <v>983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123</v>
      </c>
      <c r="P152" s="15" t="s">
        <v>124</v>
      </c>
      <c r="Q152" s="15" t="s">
        <v>36</v>
      </c>
      <c r="R152" s="15" t="s">
        <v>1006</v>
      </c>
      <c r="S152" s="15" t="s">
        <v>514</v>
      </c>
      <c r="U152" s="2">
        <v>46251</v>
      </c>
      <c r="V152" s="15" t="s">
        <v>1088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984</v>
      </c>
      <c r="B153" s="15" t="s">
        <v>985</v>
      </c>
      <c r="C153" s="15" t="s">
        <v>992</v>
      </c>
      <c r="D153" s="15" t="s">
        <v>1007</v>
      </c>
      <c r="E153" s="15">
        <v>114</v>
      </c>
      <c r="F153" s="15" t="s">
        <v>986</v>
      </c>
      <c r="G153" s="15" t="s">
        <v>987</v>
      </c>
      <c r="H153" s="15" t="s">
        <v>987</v>
      </c>
      <c r="I153" s="15" t="s">
        <v>987</v>
      </c>
      <c r="J153" s="15" t="s">
        <v>30</v>
      </c>
      <c r="K153" s="5"/>
      <c r="L153" s="5" t="s">
        <v>31</v>
      </c>
      <c r="M153" s="15" t="s">
        <v>1001</v>
      </c>
      <c r="N153" s="15" t="s">
        <v>765</v>
      </c>
      <c r="O153" s="15" t="s">
        <v>57</v>
      </c>
      <c r="P153" s="15" t="s">
        <v>35</v>
      </c>
      <c r="Q153" s="15" t="s">
        <v>94</v>
      </c>
      <c r="R153" s="15" t="s">
        <v>1008</v>
      </c>
      <c r="S153" s="15" t="s">
        <v>514</v>
      </c>
      <c r="U153" s="2">
        <v>46251</v>
      </c>
      <c r="V153" s="15" t="s">
        <v>1089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2</v>
      </c>
      <c r="Z153" s="15"/>
      <c r="AA153" s="13">
        <f>+_xlfn.ISOWEEKNUM(Control[[#This Row],[Fecha Requisición]])</f>
        <v>33</v>
      </c>
    </row>
    <row r="154" spans="1:27">
      <c r="A154" s="15" t="s">
        <v>988</v>
      </c>
      <c r="B154" s="15" t="s">
        <v>989</v>
      </c>
      <c r="C154" s="15" t="s">
        <v>990</v>
      </c>
      <c r="D154" s="15" t="s">
        <v>1009</v>
      </c>
      <c r="E154" s="15">
        <v>115</v>
      </c>
      <c r="F154" s="15" t="s">
        <v>991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>
        <v>150000</v>
      </c>
      <c r="L154" s="5" t="s">
        <v>55</v>
      </c>
      <c r="M154" s="15" t="s">
        <v>1010</v>
      </c>
      <c r="N154" s="15" t="s">
        <v>903</v>
      </c>
      <c r="O154" s="15" t="s">
        <v>384</v>
      </c>
      <c r="P154" s="15" t="s">
        <v>58</v>
      </c>
      <c r="Q154" s="15" t="s">
        <v>36</v>
      </c>
      <c r="R154" s="15" t="s">
        <v>1011</v>
      </c>
      <c r="S154" s="15" t="s">
        <v>514</v>
      </c>
      <c r="T154" s="2">
        <v>46252</v>
      </c>
      <c r="U154" s="2">
        <v>46251</v>
      </c>
      <c r="V154" s="15" t="s">
        <v>642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1012</v>
      </c>
      <c r="B155" s="15" t="s">
        <v>1013</v>
      </c>
      <c r="C155" s="15" t="s">
        <v>1014</v>
      </c>
      <c r="D155" s="15" t="s">
        <v>1113</v>
      </c>
      <c r="E155" s="15">
        <v>116</v>
      </c>
      <c r="F155" s="15" t="s">
        <v>1015</v>
      </c>
      <c r="G155" s="15" t="s">
        <v>1016</v>
      </c>
      <c r="H155" s="15" t="s">
        <v>1016</v>
      </c>
      <c r="I155" s="15" t="s">
        <v>1016</v>
      </c>
      <c r="J155" s="15" t="s">
        <v>30</v>
      </c>
      <c r="K155" s="5"/>
      <c r="L155" s="5" t="s">
        <v>31</v>
      </c>
      <c r="M155" s="15" t="s">
        <v>1114</v>
      </c>
      <c r="N155" s="15" t="s">
        <v>219</v>
      </c>
      <c r="O155" s="15" t="s">
        <v>384</v>
      </c>
      <c r="P155" s="15"/>
      <c r="Q155" s="15" t="s">
        <v>94</v>
      </c>
      <c r="R155" s="15" t="s">
        <v>1115</v>
      </c>
      <c r="S155" s="15" t="s">
        <v>514</v>
      </c>
      <c r="V155" s="15" t="s">
        <v>1090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5" s="9">
        <f>+DATE(YEAR(Control[[#This Row],[Fecha Requisición]]),MONTH(Control[[#This Row],[Fecha Requisición]]),1)</f>
        <v>46235</v>
      </c>
      <c r="Y155" s="14" t="str">
        <f>+IF(Control[[#This Row],[Fecha de entrega]]="","",NETWORKDAYS(Control[[#This Row],[Fecha Requisición]],Control[[#This Row],[Fecha de entrega]]))</f>
        <v/>
      </c>
      <c r="Z155" s="15"/>
      <c r="AA155" s="13">
        <f>+_xlfn.ISOWEEKNUM(Control[[#This Row],[Fecha Requisición]])</f>
        <v>34</v>
      </c>
    </row>
    <row r="156" spans="1:27">
      <c r="A156" s="15" t="s">
        <v>1017</v>
      </c>
      <c r="B156" s="15" t="s">
        <v>1018</v>
      </c>
      <c r="C156" s="15" t="s">
        <v>1019</v>
      </c>
      <c r="D156" s="15" t="s">
        <v>1158</v>
      </c>
      <c r="E156" s="15">
        <v>117</v>
      </c>
      <c r="F156" s="15" t="s">
        <v>1020</v>
      </c>
      <c r="G156" s="15" t="s">
        <v>1021</v>
      </c>
      <c r="H156" s="15" t="s">
        <v>1021</v>
      </c>
      <c r="I156" s="15" t="s">
        <v>1021</v>
      </c>
      <c r="J156" s="15" t="s">
        <v>39</v>
      </c>
      <c r="K156" s="5">
        <v>399990</v>
      </c>
      <c r="L156" s="5" t="s">
        <v>55</v>
      </c>
      <c r="M156" s="15" t="s">
        <v>1159</v>
      </c>
      <c r="N156" s="15" t="s">
        <v>93</v>
      </c>
      <c r="O156" s="15" t="s">
        <v>866</v>
      </c>
      <c r="P156" s="15" t="s">
        <v>58</v>
      </c>
      <c r="Q156" s="15" t="s">
        <v>94</v>
      </c>
      <c r="R156" s="15" t="s">
        <v>1160</v>
      </c>
      <c r="S156" s="15" t="s">
        <v>514</v>
      </c>
      <c r="T156" s="2">
        <v>46254</v>
      </c>
      <c r="U156" s="2">
        <v>46259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6</v>
      </c>
      <c r="Z156" s="15"/>
      <c r="AA156" s="13">
        <f>+_xlfn.ISOWEEKNUM(Control[[#This Row],[Fecha Requisición]])</f>
        <v>34</v>
      </c>
    </row>
    <row r="157" spans="1:27">
      <c r="A157" s="15" t="s">
        <v>1022</v>
      </c>
      <c r="B157" s="15" t="s">
        <v>1023</v>
      </c>
      <c r="C157" s="15" t="s">
        <v>1024</v>
      </c>
      <c r="D157" s="15" t="s">
        <v>1116</v>
      </c>
      <c r="E157" s="15">
        <v>118</v>
      </c>
      <c r="F157" s="15" t="s">
        <v>1025</v>
      </c>
      <c r="G157" s="15" t="s">
        <v>1021</v>
      </c>
      <c r="H157" s="15" t="s">
        <v>1021</v>
      </c>
      <c r="I157" s="15" t="s">
        <v>1021</v>
      </c>
      <c r="J157" s="15" t="s">
        <v>30</v>
      </c>
      <c r="K157" s="5"/>
      <c r="L157" s="5" t="s">
        <v>31</v>
      </c>
      <c r="M157" s="15" t="s">
        <v>1117</v>
      </c>
      <c r="N157" s="15" t="s">
        <v>204</v>
      </c>
      <c r="O157" s="15" t="s">
        <v>57</v>
      </c>
      <c r="P157" s="15" t="s">
        <v>58</v>
      </c>
      <c r="Q157" s="15" t="s">
        <v>36</v>
      </c>
      <c r="R157" s="15" t="s">
        <v>1118</v>
      </c>
      <c r="S157" s="15" t="s">
        <v>514</v>
      </c>
      <c r="U157" s="2">
        <v>46261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8</v>
      </c>
      <c r="Z157" s="15"/>
      <c r="AA157" s="13">
        <f>+_xlfn.ISOWEEKNUM(Control[[#This Row],[Fecha Requisición]])</f>
        <v>34</v>
      </c>
    </row>
    <row r="158" spans="1:27">
      <c r="A158" s="15" t="s">
        <v>1026</v>
      </c>
      <c r="B158" s="15" t="s">
        <v>1027</v>
      </c>
      <c r="C158" s="15" t="s">
        <v>1028</v>
      </c>
      <c r="D158" s="15" t="s">
        <v>1041</v>
      </c>
      <c r="E158" s="15">
        <v>119</v>
      </c>
      <c r="F158" s="15" t="s">
        <v>1029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>
        <v>602295</v>
      </c>
      <c r="L158" s="5" t="s">
        <v>55</v>
      </c>
      <c r="M158" s="15" t="s">
        <v>927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1042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1043</v>
      </c>
      <c r="B159" s="15" t="s">
        <v>1044</v>
      </c>
      <c r="C159" s="15" t="s">
        <v>1044</v>
      </c>
      <c r="D159" s="15" t="s">
        <v>1119</v>
      </c>
      <c r="E159" s="15">
        <v>121</v>
      </c>
      <c r="F159" s="15" t="s">
        <v>1045</v>
      </c>
      <c r="G159" s="15" t="s">
        <v>1046</v>
      </c>
      <c r="H159" s="15" t="s">
        <v>1046</v>
      </c>
      <c r="I159" s="15" t="s">
        <v>1046</v>
      </c>
      <c r="J159" s="15" t="s">
        <v>30</v>
      </c>
      <c r="K159" s="5"/>
      <c r="L159" s="5" t="s">
        <v>31</v>
      </c>
      <c r="M159" s="15" t="s">
        <v>830</v>
      </c>
      <c r="N159" s="15" t="s">
        <v>765</v>
      </c>
      <c r="O159" s="15" t="s">
        <v>57</v>
      </c>
      <c r="P159" s="15" t="s">
        <v>35</v>
      </c>
      <c r="Q159" s="15" t="s">
        <v>94</v>
      </c>
      <c r="R159" s="15" t="s">
        <v>1120</v>
      </c>
      <c r="S159" s="15" t="s">
        <v>514</v>
      </c>
      <c r="U159" s="2">
        <v>46255</v>
      </c>
      <c r="V159" s="15" t="s">
        <v>1085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1</v>
      </c>
      <c r="Z159" s="15"/>
      <c r="AA159" s="13">
        <f>+_xlfn.ISOWEEKNUM(Control[[#This Row],[Fecha Requisición]])</f>
        <v>34</v>
      </c>
    </row>
    <row r="160" spans="1:27">
      <c r="A160" s="15" t="s">
        <v>1047</v>
      </c>
      <c r="B160" s="15" t="s">
        <v>1048</v>
      </c>
      <c r="C160" s="15" t="s">
        <v>1049</v>
      </c>
      <c r="D160" s="15" t="s">
        <v>1161</v>
      </c>
      <c r="E160" s="15">
        <v>122</v>
      </c>
      <c r="F160" s="15" t="s">
        <v>1050</v>
      </c>
      <c r="G160" s="15" t="s">
        <v>1051</v>
      </c>
      <c r="H160" s="15" t="s">
        <v>1051</v>
      </c>
      <c r="I160" s="15" t="s">
        <v>1051</v>
      </c>
      <c r="J160" s="15" t="s">
        <v>39</v>
      </c>
      <c r="K160" s="5">
        <v>100000</v>
      </c>
      <c r="L160" s="5" t="s">
        <v>55</v>
      </c>
      <c r="M160" s="15" t="s">
        <v>1162</v>
      </c>
      <c r="N160" s="15" t="s">
        <v>93</v>
      </c>
      <c r="O160" s="15" t="s">
        <v>57</v>
      </c>
      <c r="P160" s="15" t="s">
        <v>58</v>
      </c>
      <c r="Q160" s="15" t="s">
        <v>94</v>
      </c>
      <c r="R160" s="15" t="s">
        <v>1163</v>
      </c>
      <c r="S160" s="15" t="s">
        <v>514</v>
      </c>
      <c r="T160" s="2">
        <v>46262</v>
      </c>
      <c r="U160" s="2">
        <v>46262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5</v>
      </c>
      <c r="Z160" s="15"/>
      <c r="AA160" s="13">
        <f>+_xlfn.ISOWEEKNUM(Control[[#This Row],[Fecha Requisición]])</f>
        <v>35</v>
      </c>
    </row>
    <row r="161" spans="1:27">
      <c r="A161" s="15" t="s">
        <v>1060</v>
      </c>
      <c r="B161" s="15" t="s">
        <v>1061</v>
      </c>
      <c r="C161" s="15" t="s">
        <v>1062</v>
      </c>
      <c r="D161" s="15" t="s">
        <v>1164</v>
      </c>
      <c r="E161" s="15">
        <v>125</v>
      </c>
      <c r="F161" s="15" t="s">
        <v>1063</v>
      </c>
      <c r="G161" s="15" t="s">
        <v>1051</v>
      </c>
      <c r="H161" s="15" t="s">
        <v>1051</v>
      </c>
      <c r="I161" s="15" t="s">
        <v>1051</v>
      </c>
      <c r="J161" s="15" t="s">
        <v>39</v>
      </c>
      <c r="K161" s="5"/>
      <c r="L161" s="5" t="s">
        <v>31</v>
      </c>
      <c r="M161" s="15" t="s">
        <v>1165</v>
      </c>
      <c r="N161" s="15" t="s">
        <v>1064</v>
      </c>
      <c r="O161" s="15" t="s">
        <v>1065</v>
      </c>
      <c r="P161" s="15" t="s">
        <v>1066</v>
      </c>
      <c r="Q161" s="15" t="s">
        <v>94</v>
      </c>
      <c r="R161" s="15" t="s">
        <v>1166</v>
      </c>
      <c r="S161" s="15" t="s">
        <v>514</v>
      </c>
      <c r="T161" s="2">
        <v>46261</v>
      </c>
      <c r="U161" s="2">
        <v>46262</v>
      </c>
      <c r="V161" s="15" t="s">
        <v>1146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1067</v>
      </c>
      <c r="B162" s="21" t="s">
        <v>1068</v>
      </c>
      <c r="C162" s="21" t="s">
        <v>1069</v>
      </c>
      <c r="D162" s="21" t="s">
        <v>1121</v>
      </c>
      <c r="E162" s="21">
        <v>126</v>
      </c>
      <c r="F162" s="21" t="s">
        <v>1070</v>
      </c>
      <c r="G162" s="21" t="s">
        <v>1051</v>
      </c>
      <c r="H162" s="21" t="s">
        <v>1051</v>
      </c>
      <c r="I162" s="21" t="s">
        <v>1051</v>
      </c>
      <c r="J162" s="21" t="s">
        <v>39</v>
      </c>
      <c r="K162" s="5"/>
      <c r="L162" s="5" t="s">
        <v>31</v>
      </c>
      <c r="M162" s="21" t="s">
        <v>1122</v>
      </c>
      <c r="N162" s="21" t="s">
        <v>1071</v>
      </c>
      <c r="O162" s="21" t="s">
        <v>384</v>
      </c>
      <c r="P162" s="21" t="s">
        <v>124</v>
      </c>
      <c r="Q162" s="21" t="s">
        <v>59</v>
      </c>
      <c r="R162" s="21" t="s">
        <v>1123</v>
      </c>
      <c r="S162" s="21" t="s">
        <v>514</v>
      </c>
      <c r="V162" s="21" t="s">
        <v>1091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2" s="9">
        <f>+DATE(YEAR(Control[[#This Row],[Fecha Requisición]]),MONTH(Control[[#This Row],[Fecha Requisición]]),1)</f>
        <v>46235</v>
      </c>
      <c r="Y162" s="14" t="str">
        <f>+IF(Control[[#This Row],[Fecha de entrega]]="","",NETWORKDAYS(Control[[#This Row],[Fecha Requisición]],Control[[#This Row],[Fecha de entrega]]))</f>
        <v/>
      </c>
      <c r="Z162" s="21"/>
      <c r="AA162" s="13">
        <f>+_xlfn.ISOWEEKNUM(Control[[#This Row],[Fecha Requisición]])</f>
        <v>35</v>
      </c>
    </row>
    <row r="163" spans="1:27">
      <c r="A163" s="21" t="s">
        <v>1130</v>
      </c>
      <c r="B163" s="21" t="s">
        <v>1131</v>
      </c>
      <c r="C163" s="21" t="s">
        <v>1132</v>
      </c>
      <c r="D163" s="21" t="s">
        <v>1167</v>
      </c>
      <c r="E163" s="21">
        <v>132</v>
      </c>
      <c r="F163" s="21" t="s">
        <v>1133</v>
      </c>
      <c r="G163" s="21" t="s">
        <v>1076</v>
      </c>
      <c r="H163" s="21" t="s">
        <v>1076</v>
      </c>
      <c r="I163" s="21" t="s">
        <v>1076</v>
      </c>
      <c r="J163" s="21" t="s">
        <v>30</v>
      </c>
      <c r="K163" s="5">
        <v>1930043</v>
      </c>
      <c r="L163" s="5"/>
      <c r="M163" s="21" t="s">
        <v>1001</v>
      </c>
      <c r="N163" s="21"/>
      <c r="O163" s="21"/>
      <c r="P163" s="21"/>
      <c r="Q163" s="21"/>
      <c r="R163" s="21" t="s">
        <v>1168</v>
      </c>
      <c r="S163" s="21" t="s">
        <v>514</v>
      </c>
      <c r="U163" s="2">
        <v>46265</v>
      </c>
      <c r="V163" s="21" t="s">
        <v>1190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35</v>
      </c>
    </row>
    <row r="164" spans="1:27">
      <c r="A164" s="21" t="s">
        <v>1169</v>
      </c>
      <c r="B164" s="21" t="s">
        <v>1170</v>
      </c>
      <c r="C164" s="21" t="s">
        <v>1171</v>
      </c>
      <c r="D164" s="21" t="s">
        <v>1172</v>
      </c>
      <c r="E164" s="21">
        <v>135</v>
      </c>
      <c r="F164" s="21" t="s">
        <v>1173</v>
      </c>
      <c r="G164" s="21" t="s">
        <v>1174</v>
      </c>
      <c r="H164" s="21" t="s">
        <v>1174</v>
      </c>
      <c r="I164" s="21" t="s">
        <v>1174</v>
      </c>
      <c r="J164" s="21" t="s">
        <v>30</v>
      </c>
      <c r="K164" s="5">
        <v>500654</v>
      </c>
      <c r="L164" s="5" t="s">
        <v>55</v>
      </c>
      <c r="M164" s="21" t="s">
        <v>1175</v>
      </c>
      <c r="N164" s="21" t="s">
        <v>93</v>
      </c>
      <c r="O164" s="21" t="s">
        <v>57</v>
      </c>
      <c r="P164" s="21" t="s">
        <v>58</v>
      </c>
      <c r="Q164" s="21" t="s">
        <v>94</v>
      </c>
      <c r="R164" s="21" t="s">
        <v>1176</v>
      </c>
      <c r="S164" s="21" t="s">
        <v>514</v>
      </c>
      <c r="U164" s="2">
        <v>46238</v>
      </c>
      <c r="V164" s="21" t="s">
        <v>1147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-17</v>
      </c>
      <c r="Z164" s="21"/>
      <c r="AA164" s="13">
        <f>+_xlfn.ISOWEEKNUM(Control[[#This Row],[Fecha Requisición]])</f>
        <v>35</v>
      </c>
    </row>
    <row r="165" spans="1:27">
      <c r="A165" s="21" t="s">
        <v>1177</v>
      </c>
      <c r="B165" s="21" t="s">
        <v>1178</v>
      </c>
      <c r="C165" s="21" t="s">
        <v>1179</v>
      </c>
      <c r="D165" s="21" t="s">
        <v>1180</v>
      </c>
      <c r="E165" s="21">
        <v>137</v>
      </c>
      <c r="F165" s="21" t="s">
        <v>1181</v>
      </c>
      <c r="G165" s="21" t="s">
        <v>1182</v>
      </c>
      <c r="H165" s="21" t="s">
        <v>1182</v>
      </c>
      <c r="I165" s="21" t="s">
        <v>1182</v>
      </c>
      <c r="J165" s="21" t="s">
        <v>30</v>
      </c>
      <c r="K165" s="5">
        <v>1837303</v>
      </c>
      <c r="L165" s="5"/>
      <c r="M165" s="21" t="s">
        <v>1001</v>
      </c>
      <c r="N165" s="21"/>
      <c r="O165" s="21"/>
      <c r="P165" s="21"/>
      <c r="Q165" s="21"/>
      <c r="R165" s="21" t="s">
        <v>1183</v>
      </c>
      <c r="S165" s="21" t="s">
        <v>514</v>
      </c>
      <c r="U165" s="2">
        <v>46265</v>
      </c>
      <c r="V165" s="21" t="s">
        <v>1148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3</v>
      </c>
      <c r="Z165" s="21"/>
      <c r="AA165" s="13">
        <f>+_xlfn.ISOWEEKNUM(Control[[#This Row],[Fecha Requisición]])</f>
        <v>35</v>
      </c>
    </row>
    <row r="166" spans="1:27">
      <c r="A166" s="21" t="s">
        <v>199</v>
      </c>
      <c r="B166" s="21" t="s">
        <v>200</v>
      </c>
      <c r="C166" s="21" t="s">
        <v>201</v>
      </c>
      <c r="D166" s="21"/>
      <c r="E166" s="21">
        <v>18</v>
      </c>
      <c r="F166" s="21" t="s">
        <v>202</v>
      </c>
      <c r="G166" s="21" t="s">
        <v>203</v>
      </c>
      <c r="H166" s="21" t="s">
        <v>203</v>
      </c>
      <c r="I166" s="21"/>
      <c r="J166" s="21"/>
      <c r="K166" s="5"/>
      <c r="L166" s="5" t="s">
        <v>55</v>
      </c>
      <c r="M166" s="21"/>
      <c r="N166" s="21" t="s">
        <v>204</v>
      </c>
      <c r="O166" s="21" t="s">
        <v>86</v>
      </c>
      <c r="P166" s="21" t="s">
        <v>58</v>
      </c>
      <c r="Q166" s="21" t="s">
        <v>36</v>
      </c>
      <c r="R166" s="21"/>
      <c r="S166" s="21" t="s">
        <v>641</v>
      </c>
      <c r="V166" s="21" t="s">
        <v>641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6" s="9">
        <f>+DATE(YEAR(Control[[#This Row],[Fecha Requisición]]),MONTH(Control[[#This Row],[Fecha Requisición]]),1)</f>
        <v>46174</v>
      </c>
      <c r="Y166" s="14" t="str">
        <f>+IF(Control[[#This Row],[Fecha de entrega]]="","",NETWORKDAYS(Control[[#This Row],[Fecha Requisición]],Control[[#This Row],[Fecha de entrega]]))</f>
        <v/>
      </c>
      <c r="Z166" s="21"/>
      <c r="AA166" s="13">
        <f>+_xlfn.ISOWEEKNUM(Control[[#This Row],[Fecha Requisición]])</f>
        <v>23</v>
      </c>
    </row>
    <row r="167" spans="1:27">
      <c r="A167" s="21" t="s">
        <v>205</v>
      </c>
      <c r="B167" s="21" t="s">
        <v>206</v>
      </c>
      <c r="C167" s="21" t="s">
        <v>716</v>
      </c>
      <c r="D167" s="21"/>
      <c r="E167" s="21">
        <v>21</v>
      </c>
      <c r="F167" s="21" t="s">
        <v>207</v>
      </c>
      <c r="G167" s="21" t="s">
        <v>195</v>
      </c>
      <c r="H167" s="21" t="s">
        <v>195</v>
      </c>
      <c r="I167" s="21"/>
      <c r="J167" s="21"/>
      <c r="K167" s="5"/>
      <c r="L167" s="5" t="s">
        <v>31</v>
      </c>
      <c r="M167" s="21"/>
      <c r="N167" s="21" t="s">
        <v>167</v>
      </c>
      <c r="O167" s="21" t="s">
        <v>86</v>
      </c>
      <c r="P167" s="21" t="s">
        <v>35</v>
      </c>
      <c r="Q167" s="21" t="s">
        <v>36</v>
      </c>
      <c r="R167" s="21"/>
      <c r="S167" s="21" t="s">
        <v>641</v>
      </c>
      <c r="V167" s="21" t="s">
        <v>641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7" s="9">
        <f>+DATE(YEAR(Control[[#This Row],[Fecha Requisición]]),MONTH(Control[[#This Row],[Fecha Requisición]]),1)</f>
        <v>46174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23</v>
      </c>
    </row>
    <row r="168" spans="1:27">
      <c r="A168" s="21" t="s">
        <v>208</v>
      </c>
      <c r="B168" s="21" t="s">
        <v>209</v>
      </c>
      <c r="C168" s="21" t="s">
        <v>210</v>
      </c>
      <c r="D168" s="21"/>
      <c r="E168" s="21">
        <v>26</v>
      </c>
      <c r="F168" s="21" t="s">
        <v>211</v>
      </c>
      <c r="G168" s="21" t="s">
        <v>212</v>
      </c>
      <c r="H168" s="21" t="s">
        <v>212</v>
      </c>
      <c r="I168" s="21"/>
      <c r="J168" s="21"/>
      <c r="K168" s="5"/>
      <c r="L168" s="5" t="s">
        <v>31</v>
      </c>
      <c r="M168" s="21"/>
      <c r="N168" s="21" t="s">
        <v>213</v>
      </c>
      <c r="O168" s="21" t="s">
        <v>101</v>
      </c>
      <c r="P168" s="21" t="s">
        <v>124</v>
      </c>
      <c r="Q168" s="21" t="s">
        <v>36</v>
      </c>
      <c r="R168" s="21"/>
      <c r="S168" s="21" t="s">
        <v>641</v>
      </c>
      <c r="V168" s="21" t="s">
        <v>641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8" s="9">
        <f>+DATE(YEAR(Control[[#This Row],[Fecha Requisición]]),MONTH(Control[[#This Row],[Fecha Requisición]]),1)</f>
        <v>46174</v>
      </c>
      <c r="Y168" s="14" t="str">
        <f>+IF(Control[[#This Row],[Fecha de entrega]]="","",NETWORKDAYS(Control[[#This Row],[Fecha Requisición]],Control[[#This Row],[Fecha de entrega]]))</f>
        <v/>
      </c>
      <c r="Z168" s="21"/>
      <c r="AA168" s="13">
        <f>+_xlfn.ISOWEEKNUM(Control[[#This Row],[Fecha Requisición]])</f>
        <v>25</v>
      </c>
    </row>
    <row r="169" spans="1:27">
      <c r="A169" s="21" t="s">
        <v>214</v>
      </c>
      <c r="B169" s="21" t="s">
        <v>215</v>
      </c>
      <c r="C169" s="21" t="s">
        <v>216</v>
      </c>
      <c r="D169" s="21"/>
      <c r="E169" s="21">
        <v>27</v>
      </c>
      <c r="F169" s="21" t="s">
        <v>217</v>
      </c>
      <c r="G169" s="21" t="s">
        <v>218</v>
      </c>
      <c r="H169" s="21" t="s">
        <v>218</v>
      </c>
      <c r="I169" s="21"/>
      <c r="J169" s="21"/>
      <c r="K169" s="5"/>
      <c r="L169" s="5" t="s">
        <v>31</v>
      </c>
      <c r="M169" s="21"/>
      <c r="N169" s="21" t="s">
        <v>219</v>
      </c>
      <c r="O169" s="21" t="s">
        <v>101</v>
      </c>
      <c r="P169" s="21" t="s">
        <v>124</v>
      </c>
      <c r="Q169" s="21" t="s">
        <v>36</v>
      </c>
      <c r="R169" s="21"/>
      <c r="S169" s="21" t="s">
        <v>641</v>
      </c>
      <c r="V169" s="21" t="s">
        <v>641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9" s="9">
        <f>+DATE(YEAR(Control[[#This Row],[Fecha Requisición]]),MONTH(Control[[#This Row],[Fecha Requisición]]),1)</f>
        <v>46174</v>
      </c>
      <c r="Y169" s="14" t="str">
        <f>+IF(Control[[#This Row],[Fecha de entrega]]="","",NETWORKDAYS(Control[[#This Row],[Fecha Requisición]],Control[[#This Row],[Fecha de entrega]]))</f>
        <v/>
      </c>
      <c r="Z169" s="21"/>
      <c r="AA169" s="13">
        <f>+_xlfn.ISOWEEKNUM(Control[[#This Row],[Fecha Requisición]])</f>
        <v>24</v>
      </c>
    </row>
    <row r="170" spans="1:27">
      <c r="A170" s="21" t="s">
        <v>220</v>
      </c>
      <c r="B170" s="21" t="s">
        <v>221</v>
      </c>
      <c r="C170" s="21" t="s">
        <v>222</v>
      </c>
      <c r="D170" s="21"/>
      <c r="E170" s="21">
        <v>28</v>
      </c>
      <c r="F170" s="21" t="s">
        <v>223</v>
      </c>
      <c r="G170" s="21" t="s">
        <v>218</v>
      </c>
      <c r="H170" s="21" t="s">
        <v>218</v>
      </c>
      <c r="I170" s="21"/>
      <c r="J170" s="21"/>
      <c r="K170" s="5"/>
      <c r="L170" s="5" t="s">
        <v>31</v>
      </c>
      <c r="M170" s="21"/>
      <c r="N170" s="21" t="s">
        <v>158</v>
      </c>
      <c r="O170" s="21" t="s">
        <v>57</v>
      </c>
      <c r="P170" s="21" t="s">
        <v>124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46174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24</v>
      </c>
    </row>
    <row r="171" spans="1:27">
      <c r="A171" s="21" t="s">
        <v>224</v>
      </c>
      <c r="B171" s="21" t="s">
        <v>225</v>
      </c>
      <c r="C171" s="21" t="s">
        <v>226</v>
      </c>
      <c r="D171" s="21"/>
      <c r="E171" s="21">
        <v>29</v>
      </c>
      <c r="F171" s="21" t="s">
        <v>227</v>
      </c>
      <c r="G171" s="21" t="s">
        <v>212</v>
      </c>
      <c r="H171" s="21" t="s">
        <v>212</v>
      </c>
      <c r="I171" s="21"/>
      <c r="J171" s="21"/>
      <c r="K171" s="5"/>
      <c r="L171" s="5" t="s">
        <v>31</v>
      </c>
      <c r="M171" s="21"/>
      <c r="N171" s="21" t="s">
        <v>219</v>
      </c>
      <c r="O171" s="21" t="s">
        <v>101</v>
      </c>
      <c r="P171" s="21" t="s">
        <v>124</v>
      </c>
      <c r="Q171" s="21" t="s">
        <v>36</v>
      </c>
      <c r="R171" s="21"/>
      <c r="S171" s="21" t="s">
        <v>641</v>
      </c>
      <c r="V171" s="21" t="s">
        <v>641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1" s="9">
        <f>+DATE(YEAR(Control[[#This Row],[Fecha Requisición]]),MONTH(Control[[#This Row],[Fecha Requisición]]),1)</f>
        <v>46174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25</v>
      </c>
    </row>
    <row r="172" spans="1:27">
      <c r="A172" s="21" t="s">
        <v>379</v>
      </c>
      <c r="B172" s="21" t="s">
        <v>380</v>
      </c>
      <c r="C172" s="21" t="s">
        <v>602</v>
      </c>
      <c r="D172" s="21"/>
      <c r="E172" s="21">
        <v>47</v>
      </c>
      <c r="F172" s="21" t="s">
        <v>381</v>
      </c>
      <c r="G172" s="21" t="s">
        <v>382</v>
      </c>
      <c r="H172" s="21" t="s">
        <v>382</v>
      </c>
      <c r="I172" s="21"/>
      <c r="J172" s="21"/>
      <c r="K172" s="5"/>
      <c r="L172" s="5" t="s">
        <v>55</v>
      </c>
      <c r="M172" s="21"/>
      <c r="N172" s="21" t="s">
        <v>383</v>
      </c>
      <c r="O172" s="21" t="s">
        <v>384</v>
      </c>
      <c r="P172" s="21" t="s">
        <v>58</v>
      </c>
      <c r="Q172" s="21" t="s">
        <v>36</v>
      </c>
      <c r="R172" s="21"/>
      <c r="S172" s="21" t="s">
        <v>641</v>
      </c>
      <c r="V172" s="21" t="s">
        <v>641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2" s="9">
        <f>+DATE(YEAR(Control[[#This Row],[Fecha Requisición]]),MONTH(Control[[#This Row],[Fecha Requisición]]),1)</f>
        <v>46204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28</v>
      </c>
    </row>
    <row r="173" spans="1:27">
      <c r="A173" s="21" t="s">
        <v>385</v>
      </c>
      <c r="B173" s="21" t="s">
        <v>386</v>
      </c>
      <c r="C173" s="21" t="s">
        <v>603</v>
      </c>
      <c r="D173" s="21"/>
      <c r="E173" s="21">
        <v>48</v>
      </c>
      <c r="F173" s="21" t="s">
        <v>387</v>
      </c>
      <c r="G173" s="21" t="s">
        <v>382</v>
      </c>
      <c r="H173" s="21" t="s">
        <v>382</v>
      </c>
      <c r="I173" s="21"/>
      <c r="J173" s="21"/>
      <c r="K173" s="5"/>
      <c r="L173" s="5"/>
      <c r="M173" s="21"/>
      <c r="N173" s="21" t="s">
        <v>388</v>
      </c>
      <c r="O173" s="21" t="s">
        <v>176</v>
      </c>
      <c r="P173" s="21" t="s">
        <v>58</v>
      </c>
      <c r="Q173" s="21" t="s">
        <v>94</v>
      </c>
      <c r="R173" s="21"/>
      <c r="S173" s="21" t="s">
        <v>641</v>
      </c>
      <c r="V173" s="21" t="s">
        <v>641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3" s="9">
        <f>+DATE(YEAR(Control[[#This Row],[Fecha Requisición]]),MONTH(Control[[#This Row],[Fecha Requisición]]),1)</f>
        <v>46204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28</v>
      </c>
    </row>
    <row r="174" spans="1:27">
      <c r="A174" s="21" t="s">
        <v>634</v>
      </c>
      <c r="B174" s="21" t="s">
        <v>635</v>
      </c>
      <c r="C174" s="21" t="s">
        <v>673</v>
      </c>
      <c r="D174" s="21"/>
      <c r="E174" s="21">
        <v>71</v>
      </c>
      <c r="F174" s="21" t="s">
        <v>636</v>
      </c>
      <c r="G174" s="21" t="s">
        <v>637</v>
      </c>
      <c r="H174" s="21" t="s">
        <v>637</v>
      </c>
      <c r="I174" s="21"/>
      <c r="J174" s="21"/>
      <c r="K174" s="5"/>
      <c r="L174" s="5" t="s">
        <v>31</v>
      </c>
      <c r="M174" s="21"/>
      <c r="N174" s="21" t="s">
        <v>307</v>
      </c>
      <c r="O174" s="21" t="s">
        <v>86</v>
      </c>
      <c r="P174" s="21" t="s">
        <v>124</v>
      </c>
      <c r="Q174" s="21" t="s">
        <v>36</v>
      </c>
      <c r="R174" s="21"/>
      <c r="S174" s="21" t="s">
        <v>723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46204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30</v>
      </c>
    </row>
    <row r="175" spans="1:27">
      <c r="A175" s="21" t="s">
        <v>638</v>
      </c>
      <c r="B175" s="21" t="s">
        <v>639</v>
      </c>
      <c r="C175" s="21" t="s">
        <v>674</v>
      </c>
      <c r="D175" s="21"/>
      <c r="E175" s="21">
        <v>72</v>
      </c>
      <c r="F175" s="21" t="s">
        <v>640</v>
      </c>
      <c r="G175" s="21" t="s">
        <v>637</v>
      </c>
      <c r="H175" s="21" t="s">
        <v>637</v>
      </c>
      <c r="I175" s="21"/>
      <c r="J175" s="21"/>
      <c r="K175" s="5"/>
      <c r="L175" s="5" t="s">
        <v>31</v>
      </c>
      <c r="M175" s="21"/>
      <c r="N175" s="21" t="s">
        <v>307</v>
      </c>
      <c r="O175" s="21" t="s">
        <v>86</v>
      </c>
      <c r="P175" s="21" t="s">
        <v>124</v>
      </c>
      <c r="Q175" s="21" t="s">
        <v>36</v>
      </c>
      <c r="R175" s="21"/>
      <c r="S175" s="21" t="s">
        <v>641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46204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30</v>
      </c>
    </row>
    <row r="176" spans="1:27">
      <c r="A176" s="21" t="s">
        <v>754</v>
      </c>
      <c r="B176" s="21" t="s">
        <v>755</v>
      </c>
      <c r="C176" s="21" t="s">
        <v>756</v>
      </c>
      <c r="D176" s="21"/>
      <c r="E176" s="21">
        <v>79</v>
      </c>
      <c r="F176" s="21" t="s">
        <v>757</v>
      </c>
      <c r="G176" s="21" t="s">
        <v>747</v>
      </c>
      <c r="H176" s="21" t="s">
        <v>747</v>
      </c>
      <c r="I176" s="21"/>
      <c r="J176" s="21"/>
      <c r="K176" s="5"/>
      <c r="L176" s="5" t="s">
        <v>55</v>
      </c>
      <c r="M176" s="21"/>
      <c r="N176" s="21" t="s">
        <v>705</v>
      </c>
      <c r="O176" s="21" t="s">
        <v>101</v>
      </c>
      <c r="P176" s="21" t="s">
        <v>58</v>
      </c>
      <c r="Q176" s="21" t="s">
        <v>36</v>
      </c>
      <c r="R176" s="21"/>
      <c r="S176" s="21" t="s">
        <v>514</v>
      </c>
      <c r="U176" s="2">
        <v>415134</v>
      </c>
      <c r="V176" s="21" t="s">
        <v>817</v>
      </c>
      <c r="W176" s="13" t="s">
        <v>440</v>
      </c>
      <c r="X176" s="9">
        <f>+DATE(YEAR(Control[[#This Row],[Fecha Requisición]]),MONTH(Control[[#This Row],[Fecha Requisición]]),1)</f>
        <v>46204</v>
      </c>
      <c r="Y176" s="14">
        <f>+IF(Control[[#This Row],[Fecha de entrega]]="","",NETWORKDAYS(Control[[#This Row],[Fecha Requisición]],Control[[#This Row],[Fecha de entrega]]))</f>
        <v>263502</v>
      </c>
      <c r="Z176" s="21"/>
      <c r="AA176" s="13">
        <f>+_xlfn.ISOWEEKNUM(Control[[#This Row],[Fecha Requisición]])</f>
        <v>31</v>
      </c>
    </row>
    <row r="177" spans="1:27">
      <c r="A177" s="21" t="s">
        <v>777</v>
      </c>
      <c r="B177" s="21" t="s">
        <v>778</v>
      </c>
      <c r="C177" s="21" t="s">
        <v>833</v>
      </c>
      <c r="D177" s="21"/>
      <c r="E177" s="21">
        <v>82</v>
      </c>
      <c r="F177" s="21" t="s">
        <v>779</v>
      </c>
      <c r="G177" s="21" t="s">
        <v>780</v>
      </c>
      <c r="H177" s="21" t="s">
        <v>780</v>
      </c>
      <c r="I177" s="21"/>
      <c r="J177" s="21"/>
      <c r="K177" s="5"/>
      <c r="L177" s="5"/>
      <c r="M177" s="21"/>
      <c r="N177" s="21"/>
      <c r="O177" s="21" t="s">
        <v>57</v>
      </c>
      <c r="P177" s="21" t="s">
        <v>35</v>
      </c>
      <c r="Q177" s="21" t="s">
        <v>94</v>
      </c>
      <c r="R177" s="21"/>
      <c r="S177" s="21" t="s">
        <v>514</v>
      </c>
      <c r="U177" s="2">
        <v>46239</v>
      </c>
      <c r="V177" s="21" t="s">
        <v>642</v>
      </c>
      <c r="W177" s="13" t="s">
        <v>440</v>
      </c>
      <c r="X177" s="9">
        <f>+DATE(YEAR(Control[[#This Row],[Fecha Requisición]]),MONTH(Control[[#This Row],[Fecha Requisición]]),1)</f>
        <v>46204</v>
      </c>
      <c r="Y177" s="14">
        <f>+IF(Control[[#This Row],[Fecha de entrega]]="","",NETWORKDAYS(Control[[#This Row],[Fecha Requisición]],Control[[#This Row],[Fecha de entrega]]))</f>
        <v>6</v>
      </c>
      <c r="Z177" s="21"/>
      <c r="AA177" s="13">
        <f>+_xlfn.ISOWEEKNUM(Control[[#This Row],[Fecha Requisición]])</f>
        <v>31</v>
      </c>
    </row>
    <row r="178" spans="1:27">
      <c r="A178" s="21" t="s">
        <v>814</v>
      </c>
      <c r="B178" s="21" t="s">
        <v>815</v>
      </c>
      <c r="C178" s="21" t="s">
        <v>841</v>
      </c>
      <c r="D178" s="21"/>
      <c r="E178" s="21">
        <v>93</v>
      </c>
      <c r="F178" s="21" t="s">
        <v>816</v>
      </c>
      <c r="G178" s="21" t="s">
        <v>771</v>
      </c>
      <c r="H178" s="21" t="s">
        <v>771</v>
      </c>
      <c r="I178" s="21"/>
      <c r="J178" s="21"/>
      <c r="K178" s="5"/>
      <c r="L178" s="5" t="s">
        <v>55</v>
      </c>
      <c r="M178" s="21"/>
      <c r="N178" s="21" t="s">
        <v>213</v>
      </c>
      <c r="O178" s="21" t="s">
        <v>197</v>
      </c>
      <c r="P178" s="21" t="s">
        <v>58</v>
      </c>
      <c r="Q178" s="21" t="s">
        <v>36</v>
      </c>
      <c r="R178" s="21"/>
      <c r="S178" s="21" t="s">
        <v>641</v>
      </c>
      <c r="V178" s="21" t="s">
        <v>641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8" s="9">
        <f>+DATE(YEAR(Control[[#This Row],[Fecha Requisición]]),MONTH(Control[[#This Row],[Fecha Requisición]]),1)</f>
        <v>46204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31</v>
      </c>
    </row>
    <row r="179" spans="1:27">
      <c r="A179" s="21" t="s">
        <v>1034</v>
      </c>
      <c r="B179" s="21" t="s">
        <v>1035</v>
      </c>
      <c r="C179" s="21" t="s">
        <v>1036</v>
      </c>
      <c r="D179" s="21"/>
      <c r="E179" s="21">
        <v>120</v>
      </c>
      <c r="F179" s="21" t="s">
        <v>1037</v>
      </c>
      <c r="G179" s="21" t="s">
        <v>1038</v>
      </c>
      <c r="H179" s="21" t="s">
        <v>1038</v>
      </c>
      <c r="I179" s="21"/>
      <c r="J179" s="21"/>
      <c r="K179" s="5"/>
      <c r="L179" s="5" t="s">
        <v>31</v>
      </c>
      <c r="M179" s="21"/>
      <c r="N179" s="21" t="s">
        <v>909</v>
      </c>
      <c r="O179" s="21" t="s">
        <v>197</v>
      </c>
      <c r="P179" s="21" t="s">
        <v>273</v>
      </c>
      <c r="Q179" s="21" t="s">
        <v>59</v>
      </c>
      <c r="R179" s="21"/>
      <c r="S179" s="21" t="s">
        <v>641</v>
      </c>
      <c r="V179" s="21" t="s">
        <v>1144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9" s="9">
        <f>+DATE(YEAR(Control[[#This Row],[Fecha Requisición]]),MONTH(Control[[#This Row],[Fecha Requisición]]),1)</f>
        <v>46235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34</v>
      </c>
    </row>
    <row r="180" spans="1:27">
      <c r="A180" s="21" t="s">
        <v>1052</v>
      </c>
      <c r="B180" s="21" t="s">
        <v>1053</v>
      </c>
      <c r="C180" s="21" t="s">
        <v>1054</v>
      </c>
      <c r="D180" s="21"/>
      <c r="E180" s="21">
        <v>123</v>
      </c>
      <c r="F180" s="21" t="s">
        <v>1055</v>
      </c>
      <c r="G180" s="21" t="s">
        <v>1051</v>
      </c>
      <c r="H180" s="21" t="s">
        <v>1051</v>
      </c>
      <c r="I180" s="21"/>
      <c r="J180" s="21"/>
      <c r="K180" s="5"/>
      <c r="L180" s="5" t="s">
        <v>55</v>
      </c>
      <c r="M180" s="21"/>
      <c r="N180" s="21" t="s">
        <v>93</v>
      </c>
      <c r="O180" s="21" t="s">
        <v>101</v>
      </c>
      <c r="P180" s="21" t="s">
        <v>58</v>
      </c>
      <c r="Q180" s="21" t="s">
        <v>94</v>
      </c>
      <c r="R180" s="21"/>
      <c r="S180" s="21" t="s">
        <v>641</v>
      </c>
      <c r="V180" s="21" t="s">
        <v>1086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0" s="9">
        <f>+DATE(YEAR(Control[[#This Row],[Fecha Requisición]]),MONTH(Control[[#This Row],[Fecha Requisición]]),1)</f>
        <v>46235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35</v>
      </c>
    </row>
    <row r="181" spans="1:27">
      <c r="A181" s="21" t="s">
        <v>1056</v>
      </c>
      <c r="B181" s="21" t="s">
        <v>1057</v>
      </c>
      <c r="C181" s="21" t="s">
        <v>1058</v>
      </c>
      <c r="D181" s="21"/>
      <c r="E181" s="21">
        <v>124</v>
      </c>
      <c r="F181" s="21" t="s">
        <v>1059</v>
      </c>
      <c r="G181" s="21" t="s">
        <v>1051</v>
      </c>
      <c r="H181" s="21" t="s">
        <v>1051</v>
      </c>
      <c r="I181" s="21"/>
      <c r="J181" s="21"/>
      <c r="K181" s="5"/>
      <c r="L181" s="5"/>
      <c r="M181" s="21"/>
      <c r="N181" s="21"/>
      <c r="O181" s="21"/>
      <c r="P181" s="21"/>
      <c r="Q181" s="21"/>
      <c r="R181" s="21"/>
      <c r="S181" s="21" t="s">
        <v>514</v>
      </c>
      <c r="T181" s="2">
        <v>46262</v>
      </c>
      <c r="V181" s="21" t="s">
        <v>1145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1" s="9">
        <f>+DATE(YEAR(Control[[#This Row],[Fecha Requisición]]),MONTH(Control[[#This Row],[Fecha Requisición]]),1)</f>
        <v>46235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35</v>
      </c>
    </row>
    <row r="182" spans="1:27">
      <c r="A182" s="21" t="s">
        <v>1072</v>
      </c>
      <c r="B182" s="21" t="s">
        <v>1073</v>
      </c>
      <c r="C182" s="21" t="s">
        <v>1074</v>
      </c>
      <c r="D182" s="21"/>
      <c r="E182" s="21">
        <v>127</v>
      </c>
      <c r="F182" s="21" t="s">
        <v>1075</v>
      </c>
      <c r="G182" s="21" t="s">
        <v>1076</v>
      </c>
      <c r="H182" s="21" t="s">
        <v>1076</v>
      </c>
      <c r="I182" s="21"/>
      <c r="J182" s="21"/>
      <c r="K182" s="5"/>
      <c r="L182" s="5" t="s">
        <v>31</v>
      </c>
      <c r="M182" s="21"/>
      <c r="N182" s="21" t="s">
        <v>975</v>
      </c>
      <c r="O182" s="21" t="s">
        <v>57</v>
      </c>
      <c r="P182" s="21" t="s">
        <v>124</v>
      </c>
      <c r="Q182" s="21" t="s">
        <v>36</v>
      </c>
      <c r="R182" s="21"/>
      <c r="S182" s="21" t="s">
        <v>517</v>
      </c>
      <c r="V182" s="21" t="s">
        <v>818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35</v>
      </c>
    </row>
    <row r="183" spans="1:27">
      <c r="A183" s="21" t="s">
        <v>1077</v>
      </c>
      <c r="B183" s="21" t="s">
        <v>1078</v>
      </c>
      <c r="C183" s="21" t="s">
        <v>1079</v>
      </c>
      <c r="D183" s="21"/>
      <c r="E183" s="21">
        <v>128</v>
      </c>
      <c r="F183" s="21" t="s">
        <v>1080</v>
      </c>
      <c r="G183" s="21" t="s">
        <v>1076</v>
      </c>
      <c r="H183" s="21" t="s">
        <v>1076</v>
      </c>
      <c r="I183" s="21"/>
      <c r="J183" s="21"/>
      <c r="K183" s="5"/>
      <c r="L183" s="5" t="s">
        <v>31</v>
      </c>
      <c r="M183" s="21"/>
      <c r="N183" s="21" t="s">
        <v>975</v>
      </c>
      <c r="O183" s="21" t="s">
        <v>101</v>
      </c>
      <c r="P183" s="21" t="s">
        <v>124</v>
      </c>
      <c r="Q183" s="21" t="s">
        <v>36</v>
      </c>
      <c r="R183" s="21"/>
      <c r="S183" s="21" t="s">
        <v>517</v>
      </c>
      <c r="V183" s="21" t="s">
        <v>818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1081</v>
      </c>
      <c r="B184" s="21" t="s">
        <v>1082</v>
      </c>
      <c r="C184" s="21" t="s">
        <v>1083</v>
      </c>
      <c r="D184" s="21"/>
      <c r="E184" s="21">
        <v>129</v>
      </c>
      <c r="F184" s="21" t="s">
        <v>1084</v>
      </c>
      <c r="G184" s="21" t="s">
        <v>1076</v>
      </c>
      <c r="H184" s="21" t="s">
        <v>1076</v>
      </c>
      <c r="I184" s="21"/>
      <c r="J184" s="21"/>
      <c r="K184" s="5"/>
      <c r="L184" s="5" t="s">
        <v>31</v>
      </c>
      <c r="M184" s="21"/>
      <c r="N184" s="21" t="s">
        <v>975</v>
      </c>
      <c r="O184" s="21" t="s">
        <v>123</v>
      </c>
      <c r="P184" s="21" t="s">
        <v>124</v>
      </c>
      <c r="Q184" s="21" t="s">
        <v>36</v>
      </c>
      <c r="R184" s="21"/>
      <c r="S184" s="21" t="s">
        <v>517</v>
      </c>
      <c r="V184" s="21" t="s">
        <v>818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>
      <c r="A185" s="21" t="s">
        <v>1124</v>
      </c>
      <c r="B185" s="21" t="s">
        <v>1125</v>
      </c>
      <c r="C185" s="21" t="s">
        <v>1140</v>
      </c>
      <c r="D185" s="21"/>
      <c r="E185" s="21">
        <v>130</v>
      </c>
      <c r="F185" s="21" t="s">
        <v>1126</v>
      </c>
      <c r="G185" s="21" t="s">
        <v>1076</v>
      </c>
      <c r="H185" s="21" t="s">
        <v>1076</v>
      </c>
      <c r="I185" s="21"/>
      <c r="J185" s="21"/>
      <c r="K185" s="5"/>
      <c r="L185" s="5" t="s">
        <v>55</v>
      </c>
      <c r="M185" s="21"/>
      <c r="N185" s="21" t="s">
        <v>204</v>
      </c>
      <c r="O185" s="21" t="s">
        <v>101</v>
      </c>
      <c r="P185" s="21" t="s">
        <v>58</v>
      </c>
      <c r="Q185" s="21" t="s">
        <v>36</v>
      </c>
      <c r="R185" s="21"/>
      <c r="S185" s="21" t="s">
        <v>517</v>
      </c>
      <c r="V185" s="21" t="s">
        <v>818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5" s="9">
        <f>+DATE(YEAR(Control[[#This Row],[Fecha Requisición]]),MONTH(Control[[#This Row],[Fecha Requisición]]),1)</f>
        <v>46235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35</v>
      </c>
    </row>
    <row r="186" spans="1:27">
      <c r="A186" s="21" t="s">
        <v>1127</v>
      </c>
      <c r="B186" s="21" t="s">
        <v>1128</v>
      </c>
      <c r="C186" s="21" t="s">
        <v>1141</v>
      </c>
      <c r="D186" s="21"/>
      <c r="E186" s="21">
        <v>131</v>
      </c>
      <c r="F186" s="21" t="s">
        <v>1129</v>
      </c>
      <c r="G186" s="21" t="s">
        <v>1076</v>
      </c>
      <c r="H186" s="21" t="s">
        <v>1076</v>
      </c>
      <c r="I186" s="21"/>
      <c r="J186" s="21"/>
      <c r="K186" s="5"/>
      <c r="L186" s="5" t="s">
        <v>55</v>
      </c>
      <c r="M186" s="21"/>
      <c r="N186" s="21" t="s">
        <v>204</v>
      </c>
      <c r="O186" s="21" t="s">
        <v>101</v>
      </c>
      <c r="P186" s="21" t="s">
        <v>58</v>
      </c>
      <c r="Q186" s="21" t="s">
        <v>36</v>
      </c>
      <c r="R186" s="21"/>
      <c r="S186" s="21" t="s">
        <v>517</v>
      </c>
      <c r="V186" s="21" t="s">
        <v>818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6" s="9">
        <f>+DATE(YEAR(Control[[#This Row],[Fecha Requisición]]),MONTH(Control[[#This Row],[Fecha Requisición]]),1)</f>
        <v>46235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35</v>
      </c>
    </row>
    <row r="187" spans="1:27">
      <c r="A187" s="21" t="s">
        <v>1134</v>
      </c>
      <c r="B187" s="21" t="s">
        <v>1135</v>
      </c>
      <c r="C187" s="21" t="s">
        <v>1142</v>
      </c>
      <c r="D187" s="21"/>
      <c r="E187" s="21">
        <v>133</v>
      </c>
      <c r="F187" s="21" t="s">
        <v>1136</v>
      </c>
      <c r="G187" s="21" t="s">
        <v>1076</v>
      </c>
      <c r="H187" s="21" t="s">
        <v>1076</v>
      </c>
      <c r="I187" s="21"/>
      <c r="J187" s="21"/>
      <c r="K187" s="5"/>
      <c r="L187" s="5" t="s">
        <v>55</v>
      </c>
      <c r="M187" s="21"/>
      <c r="N187" s="21" t="s">
        <v>204</v>
      </c>
      <c r="O187" s="21" t="s">
        <v>57</v>
      </c>
      <c r="P187" s="21" t="s">
        <v>58</v>
      </c>
      <c r="Q187" s="21" t="s">
        <v>36</v>
      </c>
      <c r="R187" s="21"/>
      <c r="S187" s="21" t="s">
        <v>517</v>
      </c>
      <c r="V187" s="21" t="s">
        <v>818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7" s="9">
        <f>+DATE(YEAR(Control[[#This Row],[Fecha Requisición]]),MONTH(Control[[#This Row],[Fecha Requisición]]),1)</f>
        <v>46235</v>
      </c>
      <c r="Y187" s="14" t="str">
        <f>+IF(Control[[#This Row],[Fecha de entrega]]="","",NETWORKDAYS(Control[[#This Row],[Fecha Requisición]],Control[[#This Row],[Fecha de entrega]]))</f>
        <v/>
      </c>
      <c r="Z187" s="21"/>
      <c r="AA187" s="13">
        <f>+_xlfn.ISOWEEKNUM(Control[[#This Row],[Fecha Requisición]])</f>
        <v>35</v>
      </c>
    </row>
    <row r="188" spans="1:27">
      <c r="A188" s="21" t="s">
        <v>1137</v>
      </c>
      <c r="B188" s="21" t="s">
        <v>1138</v>
      </c>
      <c r="C188" s="21" t="s">
        <v>1143</v>
      </c>
      <c r="D188" s="21"/>
      <c r="E188" s="21">
        <v>134</v>
      </c>
      <c r="F188" s="21" t="s">
        <v>1139</v>
      </c>
      <c r="G188" s="21" t="s">
        <v>1076</v>
      </c>
      <c r="H188" s="21" t="s">
        <v>1076</v>
      </c>
      <c r="I188" s="21"/>
      <c r="J188" s="21"/>
      <c r="K188" s="5"/>
      <c r="L188" s="5" t="s">
        <v>55</v>
      </c>
      <c r="M188" s="21"/>
      <c r="N188" s="21" t="s">
        <v>204</v>
      </c>
      <c r="O188" s="21" t="s">
        <v>101</v>
      </c>
      <c r="P188" s="21" t="s">
        <v>58</v>
      </c>
      <c r="Q188" s="21" t="s">
        <v>36</v>
      </c>
      <c r="R188" s="21"/>
      <c r="S188" s="21" t="s">
        <v>517</v>
      </c>
      <c r="V188" s="21" t="s">
        <v>818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8" s="9">
        <f>+DATE(YEAR(Control[[#This Row],[Fecha Requisición]]),MONTH(Control[[#This Row],[Fecha Requisición]]),1)</f>
        <v>46235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35</v>
      </c>
    </row>
    <row r="189" spans="1:27">
      <c r="A189" s="21" t="s">
        <v>1184</v>
      </c>
      <c r="B189" s="21" t="s">
        <v>1185</v>
      </c>
      <c r="C189" s="21" t="s">
        <v>1186</v>
      </c>
      <c r="D189" s="21"/>
      <c r="E189" s="21">
        <v>136</v>
      </c>
      <c r="F189" s="21" t="s">
        <v>1187</v>
      </c>
      <c r="G189" s="21" t="s">
        <v>1174</v>
      </c>
      <c r="H189" s="21" t="s">
        <v>1174</v>
      </c>
      <c r="I189" s="21"/>
      <c r="J189" s="21"/>
      <c r="K189" s="5"/>
      <c r="L189" s="5" t="s">
        <v>31</v>
      </c>
      <c r="M189" s="21"/>
      <c r="N189" s="21" t="s">
        <v>975</v>
      </c>
      <c r="O189" s="21" t="s">
        <v>57</v>
      </c>
      <c r="P189" s="21" t="s">
        <v>124</v>
      </c>
      <c r="Q189" s="21" t="s">
        <v>36</v>
      </c>
      <c r="R189" s="21"/>
      <c r="S189" s="21" t="s">
        <v>517</v>
      </c>
      <c r="V189" s="21" t="s">
        <v>818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35</v>
      </c>
    </row>
    <row r="190" spans="1:27">
      <c r="A190" s="21" t="s">
        <v>804</v>
      </c>
      <c r="B190" s="21" t="s">
        <v>805</v>
      </c>
      <c r="C190" s="21"/>
      <c r="D190" s="21"/>
      <c r="E190" s="21">
        <v>90</v>
      </c>
      <c r="F190" s="21" t="s">
        <v>806</v>
      </c>
      <c r="G190" s="21" t="s">
        <v>807</v>
      </c>
      <c r="H190" s="21"/>
      <c r="I190" s="21"/>
      <c r="J190" s="21"/>
      <c r="K190" s="5"/>
      <c r="L190" s="5" t="s">
        <v>31</v>
      </c>
      <c r="M190" s="21"/>
      <c r="N190" s="21" t="s">
        <v>307</v>
      </c>
      <c r="O190" s="21" t="s">
        <v>57</v>
      </c>
      <c r="P190" s="21" t="s">
        <v>124</v>
      </c>
      <c r="Q190" s="21" t="s">
        <v>36</v>
      </c>
      <c r="R190" s="21"/>
      <c r="S190" s="21" t="s">
        <v>514</v>
      </c>
      <c r="U190" s="2">
        <v>46237</v>
      </c>
      <c r="V190" s="21" t="s">
        <v>819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90" s="9">
        <f>+DATE(YEAR(Control[[#This Row],[Fecha Requisición]]),MONTH(Control[[#This Row],[Fecha Requisición]]),1)</f>
        <v>46204</v>
      </c>
      <c r="Y190" s="14">
        <f>+IF(Control[[#This Row],[Fecha de entrega]]="","",NETWORKDAYS(Control[[#This Row],[Fecha Requisición]],Control[[#This Row],[Fecha de entrega]]))</f>
        <v>22</v>
      </c>
      <c r="Z190" s="21"/>
      <c r="AA190" s="13">
        <f>+_xlfn.ISOWEEKNUM(Control[[#This Row],[Fecha Requisición]])</f>
        <v>27</v>
      </c>
    </row>
    <row r="191" spans="1:27">
      <c r="A191" s="21" t="s">
        <v>808</v>
      </c>
      <c r="B191" s="21" t="s">
        <v>809</v>
      </c>
      <c r="C191" s="21"/>
      <c r="D191" s="21"/>
      <c r="E191" s="21">
        <v>91</v>
      </c>
      <c r="F191" s="21" t="s">
        <v>810</v>
      </c>
      <c r="G191" s="21" t="s">
        <v>807</v>
      </c>
      <c r="H191" s="21"/>
      <c r="I191" s="21"/>
      <c r="J191" s="21"/>
      <c r="K191" s="5"/>
      <c r="L191" s="5" t="s">
        <v>31</v>
      </c>
      <c r="M191" s="21"/>
      <c r="N191" s="21" t="s">
        <v>307</v>
      </c>
      <c r="O191" s="21" t="s">
        <v>57</v>
      </c>
      <c r="P191" s="21" t="s">
        <v>124</v>
      </c>
      <c r="Q191" s="21" t="s">
        <v>36</v>
      </c>
      <c r="R191" s="21"/>
      <c r="S191" s="21" t="s">
        <v>514</v>
      </c>
      <c r="U191" s="2">
        <v>46237</v>
      </c>
      <c r="V191" s="21" t="s">
        <v>819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91" s="9">
        <f>+DATE(YEAR(Control[[#This Row],[Fecha Requisición]]),MONTH(Control[[#This Row],[Fecha Requisición]]),1)</f>
        <v>46204</v>
      </c>
      <c r="Y191" s="14">
        <f>+IF(Control[[#This Row],[Fecha de entrega]]="","",NETWORKDAYS(Control[[#This Row],[Fecha Requisición]],Control[[#This Row],[Fecha de entrega]]))</f>
        <v>22</v>
      </c>
      <c r="Z191" s="21"/>
      <c r="AA191" s="13">
        <f>+_xlfn.ISOWEEKNUM(Control[[#This Row],[Fecha Requisición]])</f>
        <v>27</v>
      </c>
    </row>
    <row r="192" spans="1:27">
      <c r="Z192" s="2"/>
    </row>
    <row r="193" spans="3:26">
      <c r="Z193" s="2"/>
    </row>
    <row r="194" spans="3:26">
      <c r="Z194" s="2"/>
    </row>
    <row r="199" spans="3:26">
      <c r="C199" s="29">
        <f>604800/64</f>
        <v>9450</v>
      </c>
    </row>
    <row r="207" spans="3:26">
      <c r="C207" s="21"/>
      <c r="D207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41"/>
  <sheetViews>
    <sheetView zoomScale="90" zoomScaleNormal="90" workbookViewId="0"/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415134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1087</v>
      </c>
      <c r="F88" s="30" t="s">
        <v>1188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1189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21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514</v>
      </c>
      <c r="C104" s="22" t="s">
        <v>516</v>
      </c>
      <c r="D104" s="23">
        <v>46248</v>
      </c>
      <c r="E104" s="22" t="s">
        <v>1030</v>
      </c>
      <c r="F104" s="24" t="s">
        <v>1033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1088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1088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1088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1088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1089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2" t="s">
        <v>517</v>
      </c>
      <c r="F117" s="30" t="s">
        <v>1090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1144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1085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1086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2" t="s">
        <v>517</v>
      </c>
      <c r="F125" s="21" t="s">
        <v>1145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1146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2" t="s">
        <v>517</v>
      </c>
      <c r="E127" s="22" t="s">
        <v>517</v>
      </c>
      <c r="F127" s="21" t="s">
        <v>1091</v>
      </c>
      <c r="G127" s="22"/>
    </row>
    <row r="128" spans="1:7">
      <c r="A128" s="22">
        <v>127</v>
      </c>
      <c r="B128" s="21" t="s">
        <v>517</v>
      </c>
      <c r="C128" s="22" t="s">
        <v>515</v>
      </c>
      <c r="D128" s="22" t="s">
        <v>517</v>
      </c>
      <c r="E128" s="22" t="s">
        <v>517</v>
      </c>
      <c r="F128" s="21" t="s">
        <v>818</v>
      </c>
      <c r="G128" s="22"/>
    </row>
    <row r="129" spans="1:7">
      <c r="A129" s="22">
        <v>128</v>
      </c>
      <c r="B129" s="21" t="s">
        <v>517</v>
      </c>
      <c r="C129" s="22" t="s">
        <v>515</v>
      </c>
      <c r="D129" s="22" t="s">
        <v>517</v>
      </c>
      <c r="E129" s="22" t="s">
        <v>517</v>
      </c>
      <c r="F129" s="21" t="s">
        <v>818</v>
      </c>
      <c r="G129" s="22"/>
    </row>
    <row r="130" spans="1:7">
      <c r="A130" s="22">
        <v>129</v>
      </c>
      <c r="B130" s="21" t="s">
        <v>517</v>
      </c>
      <c r="C130" s="22" t="s">
        <v>515</v>
      </c>
      <c r="D130" s="22" t="s">
        <v>517</v>
      </c>
      <c r="E130" s="22" t="s">
        <v>517</v>
      </c>
      <c r="F130" s="21" t="s">
        <v>818</v>
      </c>
      <c r="G130" s="22"/>
    </row>
    <row r="131" spans="1:7">
      <c r="A131" s="22">
        <v>130</v>
      </c>
      <c r="B131" s="21" t="s">
        <v>517</v>
      </c>
      <c r="C131" s="22" t="s">
        <v>516</v>
      </c>
      <c r="D131" s="22" t="s">
        <v>517</v>
      </c>
      <c r="E131" s="22" t="s">
        <v>517</v>
      </c>
      <c r="F131" s="21" t="s">
        <v>818</v>
      </c>
      <c r="G131" s="22"/>
    </row>
    <row r="132" spans="1:7">
      <c r="A132" s="22">
        <v>131</v>
      </c>
      <c r="B132" s="21" t="s">
        <v>517</v>
      </c>
      <c r="C132" s="22" t="s">
        <v>516</v>
      </c>
      <c r="D132" s="22" t="s">
        <v>517</v>
      </c>
      <c r="E132" s="22" t="s">
        <v>517</v>
      </c>
      <c r="F132" s="21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1190</v>
      </c>
      <c r="G133" s="22"/>
    </row>
    <row r="134" spans="1:7">
      <c r="A134" s="22">
        <v>133</v>
      </c>
      <c r="B134" s="21" t="s">
        <v>517</v>
      </c>
      <c r="C134" s="22" t="s">
        <v>516</v>
      </c>
      <c r="D134" s="22" t="s">
        <v>517</v>
      </c>
      <c r="E134" s="22" t="s">
        <v>772</v>
      </c>
      <c r="F134" s="21" t="s">
        <v>818</v>
      </c>
      <c r="G134" s="22"/>
    </row>
    <row r="135" spans="1:7">
      <c r="A135" s="22">
        <v>134</v>
      </c>
      <c r="B135" s="21" t="s">
        <v>517</v>
      </c>
      <c r="C135" s="22" t="s">
        <v>516</v>
      </c>
      <c r="D135" s="22" t="s">
        <v>517</v>
      </c>
      <c r="E135" s="22" t="s">
        <v>772</v>
      </c>
      <c r="F135" s="21" t="s">
        <v>818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1147</v>
      </c>
      <c r="G136" s="22"/>
    </row>
    <row r="137" spans="1:7">
      <c r="A137" s="22">
        <v>136</v>
      </c>
      <c r="B137" s="21" t="s">
        <v>517</v>
      </c>
      <c r="C137" s="22" t="s">
        <v>515</v>
      </c>
      <c r="D137" s="22" t="s">
        <v>517</v>
      </c>
      <c r="E137" s="22" t="s">
        <v>517</v>
      </c>
      <c r="F137" s="21" t="s">
        <v>818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1148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/>
      <c r="F139" s="21" t="s">
        <v>1191</v>
      </c>
      <c r="G139" s="22"/>
    </row>
    <row r="140" spans="1:7">
      <c r="A140" s="22">
        <v>139</v>
      </c>
      <c r="B140" s="21" t="s">
        <v>517</v>
      </c>
      <c r="C140" s="22" t="s">
        <v>515</v>
      </c>
      <c r="D140" s="22"/>
      <c r="E140" s="22"/>
      <c r="F140" s="21" t="s">
        <v>818</v>
      </c>
      <c r="G140" s="22"/>
    </row>
    <row r="141" spans="1:7">
      <c r="A141" s="22">
        <v>140</v>
      </c>
      <c r="B141" s="21" t="s">
        <v>517</v>
      </c>
      <c r="C141" s="22" t="s">
        <v>516</v>
      </c>
      <c r="D141" s="22"/>
      <c r="E141" s="22"/>
      <c r="F141" s="21" t="s">
        <v>818</v>
      </c>
      <c r="G141" s="22"/>
    </row>
  </sheetData>
  <conditionalFormatting sqref="B2:B141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2026-08-31T20:16:46Z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