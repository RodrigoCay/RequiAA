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6C093DBE-4113-4955-8994-C116E765CDD1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Fechas" sheetId="17" r:id="rId3"/>
    <sheet name="ppt" sheetId="16" r:id="rId4"/>
    <sheet name="Tablero" sheetId="11" r:id="rId5"/>
    <sheet name="Graficos" sheetId="8" r:id="rId6"/>
    <sheet name="Anterior" sheetId="5" state="hidden" r:id="rId7"/>
  </sheets>
  <externalReferences>
    <externalReference r:id="rId8"/>
  </externalReferences>
  <definedNames>
    <definedName name="_xlcn.WorksheetConnection_Prueba.xlsxControl1" hidden="1">Control[]</definedName>
    <definedName name="DatosExternos_1" localSheetId="5" hidden="1">Graficos!$D$74:$F$136</definedName>
    <definedName name="DatosExternos_1" localSheetId="0" hidden="1">'Tabla Control'!$A$1:$V$109</definedName>
  </definedNames>
  <calcPr calcId="191029"/>
  <pivotCaches>
    <pivotCache cacheId="93" r:id="rId9"/>
    <pivotCache cacheId="94" r:id="rId10"/>
    <pivotCache cacheId="95" r:id="rId11"/>
    <pivotCache cacheId="96" r:id="rId12"/>
    <pivotCache cacheId="97" r:id="rId13"/>
    <pivotCache cacheId="98" r:id="rId14"/>
    <pivotCache cacheId="99" r:id="rId15"/>
    <pivotCache cacheId="100" r:id="rId16"/>
    <pivotCache cacheId="101" r:id="rId17"/>
    <pivotCache cacheId="102" r:id="rId18"/>
    <pivotCache cacheId="103" r:id="rId19"/>
    <pivotCache cacheId="104" r:id="rId20"/>
    <pivotCache cacheId="105" r:id="rId21"/>
    <pivotCache cacheId="106" r:id="rId22"/>
    <pivotCache cacheId="107" r:id="rId23"/>
    <pivotCache cacheId="108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W3" i="3" l="1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4" i="3"/>
  <c r="W98" i="3"/>
  <c r="W99" i="3"/>
  <c r="W100" i="3"/>
  <c r="W102" i="3"/>
  <c r="W103" i="3"/>
  <c r="W104" i="3"/>
  <c r="W105" i="3"/>
  <c r="W106" i="3"/>
  <c r="W107" i="3"/>
  <c r="W108" i="3"/>
  <c r="W109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W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C105" i="8" l="1"/>
  <c r="B95" i="8"/>
  <c r="C101" i="8"/>
  <c r="C100" i="8"/>
  <c r="C98" i="8"/>
  <c r="C97" i="8"/>
  <c r="C96" i="8"/>
  <c r="C95" i="8"/>
  <c r="B9" i="11"/>
  <c r="E61" i="16"/>
  <c r="B7" i="11"/>
  <c r="D15" i="16"/>
  <c r="B61" i="16"/>
  <c r="D61" i="16"/>
  <c r="C95" i="16"/>
  <c r="F31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9" xr16:uid="{15645BAD-C2F0-46F7-9CB5-091AEBD2D9A2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0" xr16:uid="{93C39892-5093-4E09-A3A2-C5A07B64B1A5}" name="WorksheetConnection_Prueba.xlsx!Control" type="102" refreshedVersion="6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<sst xmlns="http://schemas.openxmlformats.org/spreadsheetml/2006/main" count="2638" uniqueCount="721">
  <si>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</si>
  <si>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</si>
  <si>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</si>
  <si>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</si>
  <si>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</si>
  <si>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</si>
  <si>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</si>
  <si>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</si>
  <si>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</si>
  <si>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</si>
  <si>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</si>
  <si>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</si>
  <si>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</si>
  <si>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</si>
  <si>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</si>
  <si>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</si>
  <si>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</si>
  <si>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</si>
  <si>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</si>
  <si>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</si>
  <si>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</si>
  <si>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</si>
  <si>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</si>
  <si>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</si>
  <si>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</si>
  <si>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</si>
  <si>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</si>
  <si>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</si>
  <si>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</si>
  <si>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</si>
  <si>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</si>
  <si>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</si>
  <si>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</si>
  <si>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</si>
  <si>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</si>
  <si>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</si>
  <si>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</si>
  <si>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</si>
  <si>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</si>
  <si>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</si>
  <si>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</si>
  <si>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</si>
  <si>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</si>
  <si>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</si>
  <si>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</si>
  <si>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</si>
  <si>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</si>
  <si>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</si>
  <si>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</si>
  <si>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</si>
  <si>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</si>
  <si>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</si>
  <si>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</si>
  <si>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</si>
  <si>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</si>
  <si>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</si>
  <si>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</si>
  <si>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</si>
  <si>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</si>
  <si>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</si>
  <si>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</si>
  <si>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</si>
  <si>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</si>
  <si>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</si>
  <si>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</si>
  <si>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</si>
  <si>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</si>
  <si>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</si>
  <si>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</si>
  <si>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</si>
  <si>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</si>
  <si>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</si>
  <si>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</si>
  <si>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</si>
  <si>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</si>
  <si>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</si>
  <si>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</si>
  <si>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</si>
  <si>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</si>
  <si>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</si>
  <si>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</si>
  <si>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</si>
  <si>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</si>
  <si>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</si>
  <si>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</si>
  <si>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</si>
  <si>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</si>
  <si>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</si>
  <si>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</si>
  <si>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</si>
  <si>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</si>
  <si>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</si>
  <si>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</si>
  <si>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</si>
  <si>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</si>
  <si>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</si>
  <si>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</si>
  <si>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</si>
  <si>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</si>
  <si>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</si>
  <si>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</si>
  <si>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</si>
  <si>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</si>
  <si>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</si>
  <si>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</si>
  <si>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</si>
  <si>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</si>
  <si>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</si>
  <si>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</si>
  <si>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</si>
  <si>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</si>
  <si>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</si>
  <si>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</si>
  <si>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</si>
  <si>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</si>
  <si>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</si>
  <si>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</si>
  <si>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</si>
  <si>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</si>
  <si>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</si>
  <si>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</si>
  <si>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</si>
  <si>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</si>
  <si>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</si>
  <si>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</si>
  <si>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</si>
  <si>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</si>
  <si>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</si>
  <si>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</si>
  <si>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</si>
  <si>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</si>
  <si>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</si>
  <si>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</si>
  <si>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</si>
  <si>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</si>
  <si>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</si>
  <si>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</si>
  <si>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</si>
  <si>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</si>
  <si>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</si>
  <si>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</si>
  <si>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</si>
  <si>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</si>
  <si>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</si>
  <si>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</si>
  <si>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</si>
  <si>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</si>
  <si>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</si>
  <si>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</si>
  <si>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</si>
  <si>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</si>
  <si>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</si>
  <si>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</si>
  <si>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</si>
  <si>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</si>
  <si>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</si>
  <si>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</si>
  <si>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</si>
  <si>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</si>
  <si>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</si>
  <si>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</si>
  <si>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</si>
  <si>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</si>
  <si>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</si>
  <si>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</si>
  <si>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</si>
  <si>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</si>
  <si>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</si>
  <si>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</si>
  <si>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</si>
  <si>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</si>
  <si>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</si>
  <si>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</si>
  <si>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</si>
  <si>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</si>
  <si>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</si>
  <si>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</si>
  <si>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</si>
  <si>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</si>
  <si>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</si>
  <si>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</si>
  <si>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</si>
  <si>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</si>
  <si>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</si>
  <si>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</si>
  <si>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</si>
  <si>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</si>
  <si>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</si>
  <si>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</si>
  <si>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</si>
  <si>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</si>
  <si>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</si>
  <si>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</si>
  <si>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</si>
  <si>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</si>
  <si>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</si>
  <si>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</si>
  <si>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</si>
  <si>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</si>
  <si>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</si>
  <si>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</si>
  <si>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</si>
  <si>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</si>
  <si>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</si>
  <si>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</si>
  <si>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</si>
  <si>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</si>
  <si>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</si>
  <si>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</si>
  <si>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</si>
  <si>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</si>
  <si>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</si>
  <si>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</si>
  <si>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</si>
  <si>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</si>
  <si>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</si>
  <si>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</si>
  <si>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</si>
  <si>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</si>
  <si>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</si>
  <si>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</si>
  <si>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</si>
  <si>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</si>
  <si>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</si>
  <si>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</si>
  <si>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</si>
  <si>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</si>
  <si>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</si>
  <si>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</si>
  <si>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</si>
  <si>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</si>
  <si>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</si>
  <si>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</si>
  <si>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</si>
  <si>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</si>
  <si>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</si>
  <si>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</si>
  <si>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</si>
  <si>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</si>
  <si>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</si>
  <si>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</si>
  <si>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</si>
  <si>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</si>
  <si>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</si>
  <si>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</si>
  <si>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</si>
  <si>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</si>
  <si>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</si>
  <si>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</si>
  <si>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</si>
  <si>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</si>
  <si>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</si>
  <si>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</si>
  <si>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</si>
  <si>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</si>
  <si>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</si>
  <si>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</si>
  <si>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</si>
  <si>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</si>
  <si>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</si>
  <si>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</si>
  <si>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</si>
  <si>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</si>
  <si>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</si>
  <si>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</si>
  <si>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</si>
  <si>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</si>
  <si>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</si>
  <si>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</si>
  <si>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</si>
  <si>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</si>
  <si>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</si>
  <si>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</si>
  <si>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</si>
  <si>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</si>
  <si>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</si>
  <si>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</si>
  <si>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</si>
  <si>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</si>
  <si>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</si>
  <si>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</si>
  <si>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</si>
  <si>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</si>
  <si>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</si>
  <si>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</si>
  <si>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</si>
  <si>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</si>
  <si>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</si>
  <si>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</si>
  <si>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</si>
  <si>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</si>
  <si>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</si>
  <si>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</si>
  <si>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</si>
  <si>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</si>
  <si>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</si>
  <si>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</si>
  <si>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</si>
  <si>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</si>
  <si>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</si>
  <si>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</si>
  <si>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</si>
  <si>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</si>
  <si>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</si>
  <si>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</si>
  <si>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</si>
  <si>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</si>
  <si>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</si>
  <si>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</si>
  <si>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</si>
  <si>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</si>
  <si>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</si>
  <si>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</si>
  <si>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</si>
  <si>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</si>
  <si>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</si>
  <si>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</si>
  <si>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</si>
  <si>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</si>
  <si>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</si>
  <si>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</si>
  <si>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</si>
  <si>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</si>
  <si>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</si>
  <si>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</si>
  <si>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</si>
  <si>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</si>
  <si>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</si>
  <si>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</si>
  <si>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</si>
  <si>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</si>
  <si>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</si>
  <si>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</si>
  <si>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</si>
  <si>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</si>
  <si>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</si>
  <si>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</si>
  <si>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</si>
  <si>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</si>
  <si>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</si>
  <si>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</si>
  <si>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</si>
  <si>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</si>
  <si>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</si>
  <si>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</si>
  <si>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</si>
  <si>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</si>
  <si>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</si>
  <si>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</si>
  <si>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</si>
  <si>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</si>
  <si>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</si>
  <si>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</si>
  <si>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</si>
  <si>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</si>
  <si>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</si>
  <si>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</si>
  <si>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</si>
  <si>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</si>
  <si>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</si>
  <si>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</si>
  <si>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</si>
  <si>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</si>
  <si>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</si>
  <si>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</si>
  <si>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</si>
  <si>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</si>
  <si>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</si>
  <si>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</si>
  <si>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</si>
  <si>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</si>
  <si>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</si>
  <si>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</si>
  <si>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</si>
  <si>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</si>
  <si>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</si>
  <si>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</si>
  <si>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</si>
  <si>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</si>
  <si>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</si>
  <si>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</si>
  <si>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</si>
  <si>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</si>
  <si>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</si>
  <si>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</si>
  <si>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</si>
  <si>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</si>
  <si>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</si>
  <si>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</si>
  <si>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</si>
  <si>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</si>
  <si>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</si>
  <si>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</si>
  <si>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</si>
  <si>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</si>
  <si>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</si>
  <si>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</si>
  <si>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</si>
  <si>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</si>
  <si>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</si>
  <si>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</si>
  <si>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</si>
  <si>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</si>
  <si>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</si>
  <si>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</si>
  <si>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</si>
  <si>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</si>
  <si>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</si>
  <si>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</si>
  <si>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</si>
  <si>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</si>
  <si>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</si>
  <si>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</si>
  <si>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</si>
  <si>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</si>
  <si>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</si>
  <si>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</si>
  <si>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</si>
  <si>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</si>
  <si>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</si>
  <si>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</si>
  <si>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</si>
  <si>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</si>
  <si>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</si>
  <si>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</si>
  <si>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</si>
  <si>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</si>
  <si>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</si>
  <si>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</si>
  <si>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060_10072027</t>
  </si>
  <si>
    <t>060_10072027_SAE_INGECAF.xlsx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</si>
  <si>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</si>
  <si>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</si>
  <si>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</si>
  <si>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</si>
  <si>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</si>
  <si>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</si>
  <si>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</si>
  <si>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</si>
  <si>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</si>
  <si>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</si>
  <si>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</si>
  <si>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Cantidad de requisiciones</t>
  </si>
  <si>
    <t>Cantidad de OC</t>
  </si>
  <si>
    <t>Etiquetas de fila</t>
  </si>
  <si>
    <t>Recuento distinto de Requisiciones</t>
  </si>
  <si>
    <t>Total general</t>
  </si>
  <si>
    <t>Etiquetas de columna</t>
  </si>
  <si>
    <t xml:space="preserve"> MULTIPROPOSITO</t>
  </si>
  <si>
    <t>Falta cotizacion</t>
  </si>
  <si>
    <t>Falta entrega</t>
  </si>
  <si>
    <t>Falta OC</t>
  </si>
  <si>
    <t>Proceso OC completo</t>
  </si>
  <si>
    <t>Suma de Monto Orden</t>
  </si>
  <si>
    <t>FERRELECTRICA</t>
  </si>
  <si>
    <t>Cuenta de Nro de Orden</t>
  </si>
  <si>
    <t>Recuento de OC</t>
  </si>
  <si>
    <t>Recuento de Estado</t>
  </si>
  <si>
    <t>may</t>
  </si>
  <si>
    <t>01-may</t>
  </si>
  <si>
    <t>Recuento de Requisiciones</t>
  </si>
  <si>
    <t>jun</t>
  </si>
  <si>
    <t>jul</t>
  </si>
  <si>
    <t>Cuenta de Estado</t>
  </si>
  <si>
    <t>Nro solicitud</t>
  </si>
  <si>
    <t>Monto Cotizacion</t>
  </si>
  <si>
    <t>Monto OC</t>
  </si>
  <si>
    <t>Monto Faltante</t>
  </si>
  <si>
    <t>Suma de Monto Cotizacion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</si>
  <si>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</si>
  <si>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</si>
  <si>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</si>
  <si>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</si>
  <si>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</si>
  <si>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</si>
  <si>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</si>
  <si>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</si>
  <si>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</si>
  <si>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</si>
  <si>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</si>
  <si>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</si>
  <si>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</si>
  <si>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</si>
  <si>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</si>
  <si>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</si>
  <si>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</si>
  <si>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</si>
  <si>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</si>
  <si>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</si>
  <si>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</si>
  <si>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</si>
  <si>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</si>
  <si>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</si>
  <si>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</si>
  <si>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</si>
  <si>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</si>
  <si>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</si>
  <si>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</si>
  <si>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</si>
  <si>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</si>
  <si>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</si>
  <si>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</si>
  <si>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</si>
  <si>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</si>
  <si>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</si>
  <si>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</si>
  <si>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</si>
  <si>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</si>
  <si>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</si>
  <si>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</si>
  <si>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</si>
  <si>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</si>
  <si>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</si>
  <si>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</si>
  <si>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</si>
  <si>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</si>
  <si>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</si>
  <si>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</si>
  <si>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</si>
  <si>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</si>
  <si>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</si>
  <si>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</si>
  <si>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</si>
  <si>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</si>
  <si>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</si>
  <si>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</si>
  <si>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</si>
  <si>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</si>
  <si>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</si>
  <si>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</si>
  <si>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</si>
  <si>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</si>
  <si>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</si>
  <si>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</si>
  <si>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</si>
  <si>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</si>
  <si>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</si>
  <si>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</si>
  <si>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</si>
  <si>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</si>
  <si>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</si>
  <si>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</si>
  <si>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</si>
  <si>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</si>
  <si>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</si>
  <si>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 xml:space="preserve">no aprobado </t>
  </si>
  <si>
    <t>pendiente</t>
  </si>
  <si>
    <t xml:space="preserve">credito </t>
  </si>
  <si>
    <t xml:space="preserve">pendiente aprobacion </t>
  </si>
  <si>
    <t>nula</t>
  </si>
  <si>
    <t xml:space="preserve">pendiente </t>
  </si>
  <si>
    <t>(en blanco)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</si>
  <si>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</si>
  <si>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</si>
  <si>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</si>
  <si>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</si>
  <si>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</si>
  <si>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</si>
  <si>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</si>
  <si>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</si>
  <si>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</si>
  <si>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</si>
  <si>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</si>
  <si>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</si>
  <si>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</si>
  <si>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</si>
  <si>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</si>
  <si>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</si>
  <si>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</si>
  <si>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</si>
  <si>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</si>
  <si>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</si>
  <si>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</si>
  <si>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</si>
  <si>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</si>
  <si>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</si>
  <si>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</si>
  <si>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</si>
  <si>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</si>
  <si>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</si>
  <si>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</si>
  <si>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</si>
  <si>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</si>
  <si>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</si>
  <si>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</si>
  <si>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</si>
  <si>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</si>
  <si>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</si>
  <si>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</si>
  <si>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</si>
  <si>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</si>
  <si>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</si>
  <si>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</si>
  <si>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</si>
  <si>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</si>
  <si>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</si>
  <si>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</si>
  <si>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</si>
  <si>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</si>
  <si>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</si>
  <si>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</si>
  <si>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</si>
  <si>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</si>
  <si>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</si>
  <si>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</si>
  <si>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</si>
  <si>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</si>
  <si>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</si>
  <si>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</si>
  <si>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</si>
  <si>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</si>
  <si>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</si>
  <si>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</si>
  <si>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</si>
  <si>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</si>
  <si>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</si>
  <si>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</si>
  <si>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</si>
  <si>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</si>
  <si>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</si>
  <si>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</si>
  <si>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</si>
  <si>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</si>
  <si>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</si>
  <si>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</si>
  <si>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</si>
  <si>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</si>
  <si>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</si>
  <si>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</si>
  <si>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</si>
  <si>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</si>
  <si>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</si>
  <si>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</si>
  <si>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</si>
  <si>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</si>
  <si>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</si>
  <si>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</si>
  <si>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</si>
  <si>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</si>
  <si>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</si>
  <si>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</si>
  <si>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</si>
  <si>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</si>
  <si>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</si>
  <si>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</si>
  <si>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</si>
  <si>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</si>
  <si>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</si>
  <si>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</si>
  <si>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</si>
  <si>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</si>
  <si>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LETRAS ADHESIVAS BORIS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</si>
  <si>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</si>
  <si>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</si>
  <si>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</si>
  <si>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</si>
  <si>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</si>
  <si>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</si>
  <si>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</si>
  <si>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</si>
  <si>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</si>
  <si>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</si>
  <si>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</si>
  <si>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</si>
  <si>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</si>
  <si>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</si>
  <si>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</si>
  <si>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</si>
  <si>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</si>
  <si>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</si>
  <si>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</si>
  <si>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</si>
  <si>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</si>
  <si>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</si>
  <si>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</si>
  <si>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</si>
  <si>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</si>
  <si>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08-06-20262</t>
  </si>
  <si>
    <t>anulado</t>
  </si>
  <si>
    <t>ok</t>
  </si>
  <si>
    <t>pendiente a llegar lo de ferrelectrica</t>
  </si>
  <si>
    <t xml:space="preserve">oc enviada pendiente a recibir articulos </t>
  </si>
  <si>
    <t xml:space="preserve">nomina pendiente de liberacion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</si>
  <si>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</si>
  <si>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</si>
  <si>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</si>
  <si>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</si>
  <si>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</si>
  <si>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</si>
  <si>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</si>
  <si>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</si>
  <si>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</si>
  <si>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</si>
  <si>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</si>
  <si>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</si>
  <si>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</si>
  <si>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</si>
  <si>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</si>
  <si>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</si>
  <si>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</si>
  <si>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</si>
  <si>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</si>
  <si>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</si>
  <si>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</si>
  <si>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</si>
  <si>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</si>
  <si>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</si>
  <si>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</si>
  <si>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</si>
  <si>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</si>
  <si>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</si>
  <si>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</si>
  <si>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</si>
  <si>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</si>
  <si>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</si>
  <si>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</si>
  <si>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</si>
  <si>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OC Anulada</t>
  </si>
  <si>
    <t>nuia</t>
  </si>
  <si>
    <t>anulada</t>
  </si>
  <si>
    <t>OC Rechazada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</si>
</sst>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12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rgb="FFDDDDDD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9" fontId="0" fillId="0" borderId="0" xfId="3" applyFont="1"/>
    <xf numFmtId="41" fontId="0" fillId="0" borderId="0" xfId="0" applyNumberFormat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4" fontId="4" fillId="5" borderId="0" xfId="0" applyNumberFormat="1" applyFont="1" applyFill="1"/>
    <xf numFmtId="0" fontId="7" fillId="4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14" fontId="4" fillId="3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  <xf numFmtId="0" fontId="10" fillId="0" borderId="0" xfId="0" applyFont="1"/>
    <xf numFmtId="0" fontId="4" fillId="0" borderId="0" xfId="0" applyFont="1"/>
    <xf numFmtId="0" fontId="11" fillId="6" borderId="10" xfId="0" applyFont="1" applyFill="1" applyBorder="1" applyAlignment="1">
      <alignment horizontal="center" vertical="center" wrapText="1"/>
    </xf>
    <xf numFmtId="0" fontId="0" fillId="0" borderId="0" xfId="0" applyAlignment="1"/>
    <xf numFmtId="0" fontId="0" fillId="0" borderId="0" xfId="0" applyNumberFormat="1"/>
    <xf numFmtId="41" fontId="0" fillId="0" borderId="0" xfId="1" applyNumberFormat="1" applyFont="1"/>
    <xf numFmtId="42" fontId="0" fillId="0" borderId="0" xfId="2" applyNumberFormat="1" applyFont="1"/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37">
    <dxf>
      <numFmt numFmtId="19" formatCode="dd/mm/yyyy"/>
    </dxf>
    <dxf>
      <numFmt numFmtId="19" formatCode="dd/mm/yyyy"/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0" Type="http://schemas.openxmlformats.org/officeDocument/2006/relationships/pivotCacheDefinition" Target="pivotCache/pivotCacheDefinition12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pivotCacheDefinition" Target="pivotCache/pivotCacheDefinition16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pivotCacheDefinition" Target="pivotCache/pivotCacheDefinition15.xml"/><Relationship Id="rId28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11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ivotCacheDefinition" Target="pivotCache/pivotCacheDefinition14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ppt!$B$4:$B$14</c:f>
              <c:numCache>
                <c:formatCode>General</c:formatCode>
                <c:ptCount val="10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10</c:v>
                </c:pt>
                <c:pt idx="7">
                  <c:v>13</c:v>
                </c:pt>
                <c:pt idx="8">
                  <c:v>4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ppt!$B$18:$B$28</c:f>
              <c:numCache>
                <c:formatCode>General</c:formatCode>
                <c:ptCount val="10"/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ppt!$C$18:$C$28</c:f>
              <c:numCache>
                <c:formatCode>General</c:formatCode>
                <c:ptCount val="10"/>
                <c:pt idx="2">
                  <c:v>2</c:v>
                </c:pt>
                <c:pt idx="7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ppt!$D$18:$D$28</c:f>
              <c:numCache>
                <c:formatCode>General</c:formatCode>
                <c:ptCount val="10"/>
                <c:pt idx="2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ppt!$E$18:$E$28</c:f>
              <c:numCache>
                <c:formatCode>General</c:formatCode>
                <c:ptCount val="10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ppt!$F$18:$F$28</c:f>
              <c:numCache>
                <c:formatCode>General</c:formatCode>
                <c:ptCount val="10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Flota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ppt!$G$18:$G$28</c:f>
              <c:numCache>
                <c:formatCode>General</c:formatCode>
                <c:ptCount val="10"/>
                <c:pt idx="7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ppt!$H$18:$H$28</c:f>
              <c:numCache>
                <c:formatCode>General</c:formatCode>
                <c:ptCount val="10"/>
                <c:pt idx="1">
                  <c:v>1</c:v>
                </c:pt>
                <c:pt idx="2">
                  <c:v>4</c:v>
                </c:pt>
                <c:pt idx="4">
                  <c:v>1</c:v>
                </c:pt>
                <c:pt idx="7">
                  <c:v>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ser>
          <c:idx val="7"/>
          <c:order val="7"/>
          <c:tx>
            <c:strRef>
              <c:f>ppt!$I$16:$I$17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ppt!$I$18:$I$28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2-4109-A8AF-0564E09E53BF}"/>
            </c:ext>
          </c:extLst>
        </c:ser>
        <c:ser>
          <c:idx val="8"/>
          <c:order val="8"/>
          <c:tx>
            <c:strRef>
              <c:f>ppt!$J$16:$J$17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ppt!$J$18:$J$28</c:f>
              <c:numCache>
                <c:formatCode>General</c:formatCode>
                <c:ptCount val="10"/>
                <c:pt idx="0">
                  <c:v>1</c:v>
                </c:pt>
                <c:pt idx="6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2-4109-A8AF-0564E09E53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ppt!$B$34:$B$44</c:f>
              <c:numCache>
                <c:formatCode>General</c:formatCode>
                <c:ptCount val="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ppt!$C$34:$C$44</c:f>
              <c:numCache>
                <c:formatCode>General</c:formatCode>
                <c:ptCount val="10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04 Coquimbo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ppt!$D$34:$D$44</c:f>
              <c:numCache>
                <c:formatCode>General</c:formatCode>
                <c:ptCount val="10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ppt!$E$34:$E$44</c:f>
              <c:numCache>
                <c:formatCode>General</c:formatCode>
                <c:ptCount val="10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ppt!$F$34:$F$44</c:f>
              <c:numCache>
                <c:formatCode>General</c:formatCode>
                <c:ptCount val="10"/>
                <c:pt idx="0">
                  <c:v>1</c:v>
                </c:pt>
                <c:pt idx="2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ser>
          <c:idx val="5"/>
          <c:order val="5"/>
          <c:tx>
            <c:strRef>
              <c:f>ppt!$G$32:$G$33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ppt!$G$34:$G$44</c:f>
              <c:numCache>
                <c:formatCode>General</c:formatCode>
                <c:ptCount val="10"/>
                <c:pt idx="0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9-460F-A4F1-9C9B1CFED509}"/>
            </c:ext>
          </c:extLst>
        </c:ser>
        <c:ser>
          <c:idx val="6"/>
          <c:order val="6"/>
          <c:tx>
            <c:strRef>
              <c:f>ppt!$H$32:$H$33</c:f>
              <c:strCache>
                <c:ptCount val="1"/>
                <c:pt idx="0">
                  <c:v>10 Maule Sur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ppt!$H$34:$H$44</c:f>
              <c:numCache>
                <c:formatCode>General</c:formatCode>
                <c:ptCount val="10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9-460F-A4F1-9C9B1CFED509}"/>
            </c:ext>
          </c:extLst>
        </c:ser>
        <c:ser>
          <c:idx val="7"/>
          <c:order val="7"/>
          <c:tx>
            <c:strRef>
              <c:f>ppt!$I$32:$I$33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ppt!$I$34:$I$44</c:f>
              <c:numCache>
                <c:formatCode>General</c:formatCode>
                <c:ptCount val="10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9-460F-A4F1-9C9B1CFED509}"/>
            </c:ext>
          </c:extLst>
        </c:ser>
        <c:ser>
          <c:idx val="8"/>
          <c:order val="8"/>
          <c:tx>
            <c:strRef>
              <c:f>ppt!$J$32:$J$33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ppt!$J$34:$J$44</c:f>
              <c:numCache>
                <c:formatCode>General</c:formatCode>
                <c:ptCount val="10"/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9-460F-A4F1-9C9B1CFED50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ppt!$B$50:$B$60</c:f>
              <c:numCache>
                <c:formatCode>General</c:formatCode>
                <c:ptCount val="10"/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ppt!$C$50:$C$60</c:f>
              <c:numCache>
                <c:formatCode>General</c:formatCode>
                <c:ptCount val="10"/>
                <c:pt idx="2">
                  <c:v>2</c:v>
                </c:pt>
                <c:pt idx="4">
                  <c:v>4</c:v>
                </c:pt>
                <c:pt idx="7">
                  <c:v>7</c:v>
                </c:pt>
                <c:pt idx="8">
                  <c:v>2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ppt!$D$50:$D$60</c:f>
              <c:numCache>
                <c:formatCode>General</c:formatCode>
                <c:ptCount val="10"/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ppt!$E$50:$E$60</c:f>
              <c:numCache>
                <c:formatCode>General</c:formatCode>
                <c:ptCount val="10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ser>
          <c:idx val="4"/>
          <c:order val="4"/>
          <c:tx>
            <c:strRef>
              <c:f>ppt!$F$48:$F$49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ppt!$F$50:$F$60</c:f>
              <c:numCache>
                <c:formatCode>General</c:formatCode>
                <c:ptCount val="10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3-4E5C-8E84-A03CF979B14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ppt!$B$64:$B$73</c:f>
              <c:numCache>
                <c:formatCode>General</c:formatCode>
                <c:ptCount val="9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ppt!$C$64:$C$73</c:f>
              <c:numCache>
                <c:formatCode>General</c:formatCode>
                <c:ptCount val="9"/>
                <c:pt idx="0">
                  <c:v>5</c:v>
                </c:pt>
                <c:pt idx="1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ppt!$D$64:$D$73</c:f>
              <c:numCache>
                <c:formatCode>General</c:formatCode>
                <c:ptCount val="9"/>
                <c:pt idx="0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ppt!$E$64:$E$73</c:f>
              <c:numCache>
                <c:formatCode>General</c:formatCode>
                <c:ptCount val="9"/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ser>
          <c:idx val="4"/>
          <c:order val="4"/>
          <c:tx>
            <c:strRef>
              <c:f>ppt!$F$62:$F$63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ppt!$F$64:$F$73</c:f>
              <c:numCache>
                <c:formatCode>General</c:formatCode>
                <c:ptCount val="9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11</c:v>
                </c:pt>
                <c:pt idx="4">
                  <c:v>6</c:v>
                </c:pt>
                <c:pt idx="5">
                  <c:v>1</c:v>
                </c:pt>
                <c:pt idx="6">
                  <c:v>2</c:v>
                </c:pt>
                <c:pt idx="7">
                  <c:v>9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CB-43CC-BF21-D9029ABF57A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ppt!$B$79:$B$88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ppt!$C$79:$C$88</c:f>
              <c:numCache>
                <c:formatCode>General</c:formatCode>
                <c:ptCount val="9"/>
                <c:pt idx="0">
                  <c:v>2</c:v>
                </c:pt>
                <c:pt idx="1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ppt!$D$79:$D$88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ppt!$E$79:$E$88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ser>
          <c:idx val="4"/>
          <c:order val="4"/>
          <c:tx>
            <c:strRef>
              <c:f>ppt!$F$77:$F$78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ppt!$F$79:$F$88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4</c:v>
                </c:pt>
                <c:pt idx="5">
                  <c:v>10</c:v>
                </c:pt>
                <c:pt idx="7">
                  <c:v>17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3-42B9-8DEB-809CE7D576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ppt!$B$98:$B$107</c:f>
              <c:numCache>
                <c:formatCode>_(* #,##0_);_(* \(#,##0\);_(* "-"_);_(@_)</c:formatCode>
                <c:ptCount val="9"/>
                <c:pt idx="2">
                  <c:v>494647</c:v>
                </c:pt>
                <c:pt idx="4">
                  <c:v>1151205</c:v>
                </c:pt>
                <c:pt idx="7">
                  <c:v>738701</c:v>
                </c:pt>
                <c:pt idx="8">
                  <c:v>293249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ppt!$C$98:$C$107</c:f>
              <c:numCache>
                <c:formatCode>_(* #,##0_);_(* \(#,##0\);_(* "-"_);_(@_)</c:formatCode>
                <c:ptCount val="9"/>
                <c:pt idx="3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ser>
          <c:idx val="2"/>
          <c:order val="2"/>
          <c:tx>
            <c:strRef>
              <c:f>ppt!$D$96:$D$97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ppt!$D$98:$D$107</c:f>
              <c:numCache>
                <c:formatCode>_(* #,##0_);_(* \(#,##0\);_(* "-"_);_(@_)</c:formatCode>
                <c:ptCount val="9"/>
                <c:pt idx="0">
                  <c:v>2631902</c:v>
                </c:pt>
                <c:pt idx="1">
                  <c:v>429808</c:v>
                </c:pt>
                <c:pt idx="2">
                  <c:v>7480416</c:v>
                </c:pt>
                <c:pt idx="3">
                  <c:v>807344</c:v>
                </c:pt>
                <c:pt idx="4">
                  <c:v>3808286</c:v>
                </c:pt>
                <c:pt idx="5">
                  <c:v>599685</c:v>
                </c:pt>
                <c:pt idx="6">
                  <c:v>3311997</c:v>
                </c:pt>
                <c:pt idx="7">
                  <c:v>449966</c:v>
                </c:pt>
                <c:pt idx="8">
                  <c:v>550037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3-42E5-B07B-CC69BAE3B6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ppt!$B$110:$B$119</c:f>
              <c:numCache>
                <c:formatCode>_(* #,##0_);_(* \(#,##0\);_(* "-"_);_(@_)</c:formatCode>
                <c:ptCount val="9"/>
                <c:pt idx="0">
                  <c:v>954696</c:v>
                </c:pt>
                <c:pt idx="4">
                  <c:v>243450</c:v>
                </c:pt>
                <c:pt idx="5">
                  <c:v>85661</c:v>
                </c:pt>
                <c:pt idx="6">
                  <c:v>826490</c:v>
                </c:pt>
                <c:pt idx="7">
                  <c:v>567505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ppt!$C$110:$C$119</c:f>
              <c:numCache>
                <c:formatCode>_(* #,##0_);_(* \(#,##0\);_(* "-"_);_(@_)</c:formatCode>
                <c:ptCount val="9"/>
                <c:pt idx="4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ser>
          <c:idx val="2"/>
          <c:order val="2"/>
          <c:tx>
            <c:strRef>
              <c:f>ppt!$D$108:$D$109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ppt!$D$110:$D$119</c:f>
              <c:numCache>
                <c:formatCode>_(* #,##0_);_(* \(#,##0\);_(* "-"_);_(@_)</c:formatCode>
                <c:ptCount val="9"/>
                <c:pt idx="0">
                  <c:v>1949090</c:v>
                </c:pt>
                <c:pt idx="1">
                  <c:v>2606272</c:v>
                </c:pt>
                <c:pt idx="2">
                  <c:v>317503</c:v>
                </c:pt>
                <c:pt idx="3">
                  <c:v>3368118</c:v>
                </c:pt>
                <c:pt idx="4">
                  <c:v>3000838</c:v>
                </c:pt>
                <c:pt idx="5">
                  <c:v>203395</c:v>
                </c:pt>
                <c:pt idx="6">
                  <c:v>2406749</c:v>
                </c:pt>
                <c:pt idx="7">
                  <c:v>5131624</c:v>
                </c:pt>
                <c:pt idx="8">
                  <c:v>1085852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D6-4A68-92DD-37C740C273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ppt!$B$124:$B$132</c:f>
              <c:numCache>
                <c:formatCode>_(* #,##0_);_(* \(#,##0\);_(* "-"_);_(@_)</c:formatCode>
                <c:ptCount val="8"/>
                <c:pt idx="0">
                  <c:v>448024</c:v>
                </c:pt>
                <c:pt idx="1">
                  <c:v>243450</c:v>
                </c:pt>
                <c:pt idx="4">
                  <c:v>283291</c:v>
                </c:pt>
                <c:pt idx="5">
                  <c:v>522701</c:v>
                </c:pt>
                <c:pt idx="6">
                  <c:v>44804</c:v>
                </c:pt>
                <c:pt idx="7">
                  <c:v>1135532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ppt!$C$124:$C$132</c:f>
              <c:numCache>
                <c:formatCode>_(* #,##0_);_(* \(#,##0\);_(* "-"_);_(@_)</c:formatCode>
                <c:ptCount val="8"/>
                <c:pt idx="3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ser>
          <c:idx val="2"/>
          <c:order val="2"/>
          <c:tx>
            <c:strRef>
              <c:f>ppt!$D$122:$D$123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ppt!$D$124:$D$132</c:f>
              <c:numCache>
                <c:formatCode>_(* #,##0_);_(* \(#,##0\);_(* "-"_);_(@_)</c:formatCode>
                <c:ptCount val="8"/>
                <c:pt idx="0">
                  <c:v>256788</c:v>
                </c:pt>
                <c:pt idx="1">
                  <c:v>931389</c:v>
                </c:pt>
                <c:pt idx="2">
                  <c:v>1895829</c:v>
                </c:pt>
                <c:pt idx="3">
                  <c:v>4068595</c:v>
                </c:pt>
                <c:pt idx="4">
                  <c:v>1506328</c:v>
                </c:pt>
                <c:pt idx="5">
                  <c:v>6048187</c:v>
                </c:pt>
                <c:pt idx="7">
                  <c:v>5362325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2-4A17-965A-6D0E5AB3FE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CC-4EBF-99A7-49284A43FB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Graficos!$A$34:$A$39</c:f>
              <c:strCache>
                <c:ptCount val="5"/>
                <c:pt idx="0">
                  <c:v>Falta cotizacion</c:v>
                </c:pt>
                <c:pt idx="1">
                  <c:v>OC Anulada</c:v>
                </c:pt>
                <c:pt idx="2">
                  <c:v>Falta OC</c:v>
                </c:pt>
                <c:pt idx="3">
                  <c:v>Falta entrega</c:v>
                </c:pt>
                <c:pt idx="4">
                  <c:v>Proceso OC completo</c:v>
                </c:pt>
              </c:strCache>
            </c:strRef>
          </c:cat>
          <c:val>
            <c:numRef>
              <c:f>Graficos!$B$34:$B$39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22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0">
                  <c:v>3</c:v>
                </c:pt>
                <c:pt idx="1">
                  <c:v>1</c:v>
                </c:pt>
                <c:pt idx="4">
                  <c:v>2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OC Anulada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ser>
          <c:idx val="4"/>
          <c:order val="4"/>
          <c:tx>
            <c:strRef>
              <c:f>Graficos!$W$1:$W$2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Graficos!$W$3:$W$12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9</c:v>
                </c:pt>
                <c:pt idx="5">
                  <c:v>19</c:v>
                </c:pt>
                <c:pt idx="7">
                  <c:v>20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FA-4E32-B265-F462CFB0DF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</c:v>
                </c:pt>
                <c:pt idx="3">
                  <c:v>10</c:v>
                </c:pt>
                <c:pt idx="4">
                  <c:v>12</c:v>
                </c:pt>
                <c:pt idx="5">
                  <c:v>36</c:v>
                </c:pt>
                <c:pt idx="6">
                  <c:v>1</c:v>
                </c:pt>
                <c:pt idx="7">
                  <c:v>32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43</c:v>
                </c:pt>
                <c:pt idx="2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8FB-43E0-9E49-6F7E770795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Graficos!$A$34:$A$39</c:f>
              <c:strCache>
                <c:ptCount val="5"/>
                <c:pt idx="0">
                  <c:v>Falta cotizacion</c:v>
                </c:pt>
                <c:pt idx="1">
                  <c:v>OC Anulada</c:v>
                </c:pt>
                <c:pt idx="2">
                  <c:v>Falta OC</c:v>
                </c:pt>
                <c:pt idx="3">
                  <c:v>Falta entrega</c:v>
                </c:pt>
                <c:pt idx="4">
                  <c:v>Proceso OC completo</c:v>
                </c:pt>
              </c:strCache>
            </c:strRef>
          </c:cat>
          <c:val>
            <c:numRef>
              <c:f>Graficos!$B$34:$B$39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22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0">
                  <c:v>3</c:v>
                </c:pt>
                <c:pt idx="1">
                  <c:v>1</c:v>
                </c:pt>
                <c:pt idx="4">
                  <c:v>2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OC Anulada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ser>
          <c:idx val="4"/>
          <c:order val="4"/>
          <c:tx>
            <c:strRef>
              <c:f>Graficos!$W$1:$W$2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Graficos!$W$3:$W$12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9</c:v>
                </c:pt>
                <c:pt idx="5">
                  <c:v>19</c:v>
                </c:pt>
                <c:pt idx="7">
                  <c:v>20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F-4D32-A10F-DE5EE6494A2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</c:v>
                </c:pt>
                <c:pt idx="3">
                  <c:v>10</c:v>
                </c:pt>
                <c:pt idx="4">
                  <c:v>12</c:v>
                </c:pt>
                <c:pt idx="5">
                  <c:v>36</c:v>
                </c:pt>
                <c:pt idx="6">
                  <c:v>1</c:v>
                </c:pt>
                <c:pt idx="7">
                  <c:v>32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tusan-my.sharepoint.com/personal/cmunozf_tusan_cl/Documents/Apoyo%20Activo/07%20procesos/Proceso%20de%20compras/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6990741" backgroundQuery="1" createdVersion="8" refreshedVersion="6" minRefreshableVersion="3" recordCount="0" supportSubquery="1" supportAdvancedDrill="1" xr:uid="{BC5F5317-E559-4843-A9B7-86B2940E48C4}">
  <cacheSource type="external" connectionId="39"/>
  <cacheFields count="3">
    <cacheField name="[Control].[Estado].[Estado]" caption="Estado" numFmtId="0" hierarchy="22" level="1">
      <sharedItems count="3">
        <s v="Falta entrega"/>
        <s v="OC Anulada"/>
        <s v="Proceso OC completo"/>
      </sharedItems>
    </cacheField>
    <cacheField name="[Measures].[Suma de Monto Orden 2]" caption="Suma de Monto Orden 2" numFmtId="0" hierarchy="37" level="32767"/>
    <cacheField name="[Control].[Empresa compra].[Empresa compra]" caption="Empresa compra" numFmtId="0" hierarchy="12" level="1">
      <sharedItems count="18">
        <s v="COMERCIAL PCELECTRIC"/>
        <s v="COMERCIAL SIGLO XXI"/>
        <s v="COMERCIALIZADORA MULTINACIONAL SPA"/>
        <s v="COPRELEC SEGURIDAD ELECTRICA E INSTRUMENTACION SPA"/>
        <s v="FERRELECTRICA"/>
        <s v="FERRELECTRICA SPA"/>
        <s v="KUPFER HERMANOS S.A."/>
        <s v="LETRAS ADHESIVAS BORIS"/>
        <s v="MACAYA INSUMOS INDUSTRIALES LTDA."/>
        <s v="MANUFACTURAS RAC LIMITADA"/>
        <s v="MAX SERVICE SEGURIDAD INDUSTRIAL SPA"/>
        <s v="MERCADOLIBRE CHILE LTDA"/>
        <s v="MYEFERRETERIALIMITADA"/>
        <s v="PC FACTORY"/>
        <s v="PROVEEDORES INTEGRALES PRISA S A"/>
        <s v="SEGURIDAD INDUSTRIAL CORVALAN E HIJOS LIMITADA"/>
        <s v="SEGURYCEL S.A"/>
        <s v="SODIMAC SA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7916665" backgroundQuery="1" createdVersion="6" refreshedVersion="6" minRefreshableVersion="3" recordCount="0" supportSubquery="1" supportAdvancedDrill="1" xr:uid="{5C2119B8-BBC0-4BDC-8D9A-D4B59C77EF71}">
  <cacheSource type="external" connectionId="39"/>
  <cacheFields count="2">
    <cacheField name="[Measures].[Recuento de OC]" caption="Recuento de OC" numFmtId="0" hierarchy="33" level="32767"/>
    <cacheField name="[Control].[Nro de Orden].[Nro de Orden]" caption="Nro de Orden" numFmtId="0" hierarchy="5" level="1">
      <sharedItems count="56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0"/>
        <s v="031"/>
        <s v="032"/>
        <s v="033"/>
        <s v="034"/>
        <s v="035"/>
        <s v="036"/>
        <s v="037"/>
        <s v="038"/>
        <s v="039"/>
        <s v="040"/>
        <s v="041"/>
        <s v="043"/>
        <s v="045"/>
        <s v="046"/>
        <s v="049"/>
        <s v="050"/>
        <s v="051"/>
        <s v="052"/>
        <s v="053"/>
        <s v="054"/>
        <s v="056"/>
        <s v="057"/>
        <s v="058"/>
        <s v="059"/>
        <s v="061"/>
        <s v="063"/>
        <s v="064"/>
        <s v="065"/>
        <s v="066"/>
        <s v="067"/>
        <s v="068"/>
        <s v="069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8958335" backgroundQuery="1" createdVersion="6" refreshedVersion="6" minRefreshableVersion="3" recordCount="0" supportSubquery="1" supportAdvancedDrill="1" xr:uid="{BFBC2255-9EF7-492B-BC90-2246C2E2F351}">
  <cacheSource type="external" connectionId="39"/>
  <cacheFields count="2">
    <cacheField name="[Measures].[Recuento distinto de Requisiciones]" caption="Recuento distinto de Requisiciones" numFmtId="0" hierarchy="36" level="32767"/>
    <cacheField name="[Control].[Periodo Requisición (mes)].[Periodo Requisición (mes)]" caption="Periodo Requisición (mes)" numFmtId="0" hierarchy="28" level="1">
      <sharedItems count="3">
        <s v="may"/>
        <s v="jun"/>
        <s v="jul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9999997" backgroundQuery="1" createdVersion="6" refreshedVersion="6" minRefreshableVersion="3" recordCount="0" supportSubquery="1" supportAdvancedDrill="1" xr:uid="{0FA8FC5D-7131-4730-A889-750302CCBA5F}">
  <cacheSource type="external" connectionId="39"/>
  <cacheFields count="2"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Measures].[Recuento de Requisiciones]" caption="Recuento de Requisiciones" numFmtId="0" hierarchy="34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0925928" backgroundQuery="1" createdVersion="6" refreshedVersion="6" minRefreshableVersion="3" recordCount="0" supportSubquery="1" supportAdvancedDrill="1" xr:uid="{6222FAAC-D316-402E-834E-C316046CB5E4}">
  <cacheSource type="external" connectionId="39"/>
  <cacheFields count="3"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Measures].[Recuento de Estado]" caption="Recuento de Estado" numFmtId="0" hierarchy="35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1851852" backgroundQuery="1" createdVersion="8" refreshedVersion="6" minRefreshableVersion="3" recordCount="0" supportSubquery="1" supportAdvancedDrill="1" xr:uid="{D35076D1-86B8-4448-9F15-44613918BA4B}">
  <cacheSource type="external" connectionId="39"/>
  <cacheFields count="2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3124999" backgroundQuery="1" createdVersion="8" refreshedVersion="6" minRefreshableVersion="3" recordCount="0" supportSubquery="1" supportAdvancedDrill="1" xr:uid="{435F8414-65E4-475C-8D34-898155227C6B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Measures].[Suma de Monto Orden 2]" caption="Suma de Monto Orden 2" numFmtId="0" hierarchy="37" level="32767"/>
    <cacheField name="[Control].[Zona requisición].[Zona requisición]" caption="Zona requisición" numFmtId="0" hierarchy="15" level="1">
      <sharedItems containsBlank="1" count="8">
        <m/>
        <s v="01 Arica-Iquique"/>
        <s v="04 Coquimbo"/>
        <s v="07 Rancagua"/>
        <s v="08 Colchagua-Cardenal Caro"/>
        <s v="09 Maule Norte"/>
        <s v="10 Maule Sur"/>
        <s v="12 Araucanía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4282408" backgroundQuery="1" createdVersion="8" refreshedVersion="6" minRefreshableVersion="3" recordCount="0" supportSubquery="1" supportAdvancedDrill="1" xr:uid="{F9ADFA1A-926E-43E4-B83C-DF6F1D6CE0DE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5324077" backgroundQuery="1" createdVersion="8" refreshedVersion="6" minRefreshableVersion="3" recordCount="0" supportSubquery="1" supportAdvancedDrill="1" xr:uid="{103C3933-F5FA-4CDD-8616-99EF4A0C1F76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6481479" backgroundQuery="1" createdVersion="8" refreshedVersion="6" minRefreshableVersion="3" recordCount="0" supportSubquery="1" supportAdvancedDrill="1" xr:uid="{84945415-2F3D-41E9-BEE4-53E09ECA0BFA}">
  <cacheSource type="external" connectionId="39"/>
  <cacheFields count="3">
    <cacheField name="[Measures].[Recuento distinto de Requisiciones]" caption="Recuento distinto de Requisiciones" numFmtId="0" hierarchy="36" level="32767"/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7638887" backgroundQuery="1" createdVersion="8" refreshedVersion="6" minRefreshableVersion="3" recordCount="0" supportSubquery="1" supportAdvancedDrill="1" xr:uid="{796F7ADC-B805-40EC-92FA-CED91F2A9C89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Control].[semana].[semana]" caption="semana" numFmtId="0" hierarchy="29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Measures].[Suma de Monto Orden 2]" caption="Suma de Monto Orden 2" numFmtId="0" hierarchy="37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8796295" backgroundQuery="1" createdVersion="8" refreshedVersion="6" minRefreshableVersion="3" recordCount="0" supportSubquery="1" supportAdvancedDrill="1" xr:uid="{256A86CB-D5C6-49B7-90E1-C2414852736E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9837965" backgroundQuery="1" createdVersion="8" refreshedVersion="6" minRefreshableVersion="3" recordCount="0" supportSubquery="1" supportAdvancedDrill="1" xr:uid="{59735C7A-5524-4B8E-8C83-5BFB7C5194D6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Measures].[Suma de Monto Orden 2]" caption="Suma de Monto Orden 2" numFmtId="0" hierarchy="37" level="32767"/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10995374" backgroundQuery="1" createdVersion="8" refreshedVersion="6" minRefreshableVersion="3" recordCount="0" supportSubquery="1" supportAdvancedDrill="1" xr:uid="{AE7206B9-D790-44CA-9CAC-B55C4C9A7750}">
  <cacheSource type="external" connectionId="39"/>
  <cacheFields count="3">
    <cacheField name="[Measures].[Recuento distinto de Requisiciones]" caption="Recuento distinto de Requisiciones" numFmtId="0" hierarchy="36" level="32767"/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1811458335" createdVersion="8" refreshedVersion="6" minRefreshableVersion="3" recordCount="108" xr:uid="{00E0E4BC-1801-4336-8E71-DE605E8EA889}">
  <cacheSource type="worksheet">
    <worksheetSource name="Control"/>
  </cacheSource>
  <cacheFields count="30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°" numFmtId="0">
      <sharedItems containsSemiMixedTypes="0" containsString="0" containsNumber="1" containsInteger="1" minValue="1" maxValue="73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 containsBlank="1"/>
    </cacheField>
    <cacheField name="Empresa compra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/>
    </cacheField>
    <cacheField name="Zona requisición" numFmtId="0">
      <sharedItems containsBlank="1"/>
    </cacheField>
    <cacheField name="Tipo de compra" numFmtId="0">
      <sharedItems containsBlank="1" containsMixedTypes="1" containsNumber="1" containsInteger="1" minValue="46216" maxValue="46216"/>
    </cacheField>
    <cacheField name="ruta" numFmtId="0">
      <sharedItems containsBlank="1"/>
    </cacheField>
    <cacheField name="Estado Gestión" numFmtId="0">
      <sharedItems containsBlank="1"/>
    </cacheField>
    <cacheField name="Fecha de pago" numFmtId="14">
      <sharedItems containsNonDate="0" containsDate="1" containsString="0" containsBlank="1" minDate="2026-05-26T00:00:00" maxDate="2026-07-25T00:00:00"/>
    </cacheField>
    <cacheField name="Fecha de entrega" numFmtId="14">
      <sharedItems containsNonDate="0" containsDate="1" containsString="0" containsBlank="1" minDate="2026-05-28T00:00:00" maxDate="2027-07-04T00:00:00"/>
    </cacheField>
    <cacheField name="Comentario" numFmtId="0">
      <sharedItems containsBlank="1"/>
    </cacheField>
    <cacheField name="Estado" numFmtId="0">
      <sharedItems count="5">
        <s v="Proceso OC completo"/>
        <s v="Falta entrega"/>
        <s v="OC Anulada"/>
        <s v="Falta cotizacion"/>
        <s v="Falta OC"/>
      </sharedItems>
    </cacheField>
    <cacheField name="Periodo Requisición" numFmtId="14">
      <sharedItems containsSemiMixedTypes="0" containsNonDate="0" containsDate="1" containsString="0" minDate="2026-05-01T00:00:00" maxDate="2027-07-02T00:00:00" count="4">
        <d v="2026-05-01T00:00:00"/>
        <d v="2026-06-01T00:00:00"/>
        <d v="2026-07-01T00:00:00"/>
        <d v="2027-07-01T00:00:00"/>
      </sharedItems>
      <fieldGroup par="29" base="23">
        <rangePr groupBy="days" startDate="2026-05-01T00:00:00" endDate="2027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7"/>
        </groupItems>
      </fieldGroup>
    </cacheField>
    <cacheField name="Fecha pay" numFmtId="14">
      <sharedItems containsNonDate="0" containsDate="1" containsString="0" containsBlank="1" minDate="2026-05-26T00:00:00" maxDate="2026-07-18T00:00:00"/>
    </cacheField>
    <cacheField name="Fecha daly" numFmtId="14">
      <sharedItems containsNonDate="0" containsDate="1" containsString="0" containsBlank="1" minDate="2026-05-28T00:00:00" maxDate="2027-07-04T00:00:00"/>
    </cacheField>
    <cacheField name="Tiempo Ciclo" numFmtId="41">
      <sharedItems containsMixedTypes="1" containsNumber="1" containsInteger="1" minValue="-7" maxValue="271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30"/>
    </cacheField>
    <cacheField name="Meses" numFmtId="0" databaseField="0">
      <fieldGroup base="23">
        <rangePr groupBy="months" startDate="2026-05-01T00:00:00" endDate="2027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1811921297" createdVersion="8" refreshedVersion="6" minRefreshableVersion="3" recordCount="52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4175867"/>
    </cacheField>
    <cacheField name="Monto Faltante" numFmtId="42">
      <sharedItems containsMixedTypes="1" containsNumber="1" containsInteger="1" minValue="36088" maxValue="40036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s v="001_20052026"/>
    <s v="001_20052026_control perdida_colchagua.xlsx"/>
    <s v="001_20052026_control perdidas_colchagua_cotizacion.xlsx"/>
    <s v="001_20052026_control perdidas_colchagua_01_OC.xlsx"/>
    <n v="1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s v="procesado"/>
    <d v="2026-05-29T00:00:00"/>
    <d v="2026-06-04T00:00:00"/>
    <m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n v="1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s v="procesado"/>
    <d v="2026-05-29T00:00:00"/>
    <d v="2026-06-04T00:00:00"/>
    <m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n v="1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s v="procesado"/>
    <d v="2026-05-29T00:00:00"/>
    <d v="2026-06-04T00:00:00"/>
    <m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n v="1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s v="procesado"/>
    <d v="2026-05-29T00:00:00"/>
    <d v="2026-06-04T00:00:00"/>
    <m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n v="2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s v="procesado"/>
    <d v="2026-05-26T00:00:00"/>
    <d v="2026-05-29T00:00:00"/>
    <m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n v="3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s v="procesado"/>
    <d v="2026-05-29T00:00:00"/>
    <d v="2026-05-29T00:00:00"/>
    <m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n v="4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s v="procesado"/>
    <d v="2026-05-28T00:00:00"/>
    <d v="2026-06-04T00:00:00"/>
    <m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n v="4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s v="procesado"/>
    <d v="2026-05-28T00:00:00"/>
    <d v="2026-06-04T00:00:00"/>
    <m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n v="5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s v="procesado"/>
    <m/>
    <d v="2026-05-29T00:00:00"/>
    <m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n v="6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s v="procesado"/>
    <d v="2026-05-28T00:00:00"/>
    <d v="2026-06-02T00:00:00"/>
    <m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n v="7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s v="procesado"/>
    <d v="2026-05-29T00:00:00"/>
    <d v="2026-06-02T00:00:00"/>
    <m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n v="8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s v="procesado"/>
    <m/>
    <d v="2026-06-06T00:00:00"/>
    <m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n v="9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s v="procesado"/>
    <m/>
    <d v="2026-06-06T00:00:00"/>
    <m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n v="10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s v="procesado"/>
    <d v="2026-05-28T00:00:00"/>
    <d v="2026-06-08T00:00:00"/>
    <m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n v="10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s v="procesado"/>
    <d v="2026-05-28T00:00:00"/>
    <d v="2026-06-08T00:00:00"/>
    <m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n v="10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s v="procesado"/>
    <d v="2026-05-28T00:00:00"/>
    <d v="2026-06-08T00:00:00"/>
    <m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n v="11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s v="procesado"/>
    <d v="2026-05-28T00:00:00"/>
    <d v="2026-05-28T00:00:00"/>
    <m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n v="11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n v="12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n v="12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n v="12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s v="procesado"/>
    <d v="2026-05-28T00:00:00"/>
    <d v="2026-05-28T00:00:00"/>
    <m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s v="013_26052026_CYM_Maule Norte_Mercado libre_15_OC.xlsx"/>
    <n v="13"/>
    <s v="013"/>
    <s v="19-05-2026"/>
    <s v="19-05-2026"/>
    <s v="26-05-2026"/>
    <s v="CREDITO"/>
    <n v="130319"/>
    <s v="APOYO ACTIVO"/>
    <s v="MERCADOLIBRE CHILE LTDA"/>
    <s v="Jorge Retamal"/>
    <s v="Construcción y Mantenimiento (CYM)"/>
    <s v="09 Maule Norte"/>
    <s v="Urgente"/>
    <s v="C:\Users\rcayuleo\OneDrive - Transformadores Tusan SA\Archivos de Claudia Muñoz Farias EXT - Proceso de compras\03 Ordenes de Compra\013_26052026_CYM_Maule Norte_Mercado libre_15_OC.xlsx"/>
    <s v="procesado"/>
    <d v="2026-05-27T00:00:00"/>
    <d v="2026-05-28T00:00:00"/>
    <m/>
    <x v="0"/>
    <x v="0"/>
    <d v="2026-05-27T00:00:00"/>
    <d v="2026-05-28T00:00:00"/>
    <n v="8"/>
    <m/>
    <n v="21"/>
  </r>
  <r>
    <s v="014_01062026"/>
    <s v="014_01062026_cym_colchagua cardenal caro.xlsx"/>
    <s v="014_01062026_cym_colchagua cardenal caro_cotizacion.xlsx"/>
    <s v="014_01062026_cym_colchagua cardenal caro_segurycel_17_OC.xlsx"/>
    <n v="14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s v="procesado"/>
    <m/>
    <d v="2026-06-03T00:00:00"/>
    <m/>
    <x v="0"/>
    <x v="1"/>
    <m/>
    <d v="2026-06-03T00:00:00"/>
    <n v="3"/>
    <m/>
    <n v="23"/>
  </r>
  <r>
    <s v="015_01062026"/>
    <s v="015_01062026_Colchagua Cardenal caro.xlsx"/>
    <s v="015_01062026_ADM_Colchagua Cardenal caro_cotizacion.xlsx"/>
    <s v="015_01062026_ADM_Colchagua Cardenal caro_PRISA_18_OC.xlsx"/>
    <n v="15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s v="procesado"/>
    <d v="2026-06-11T00:00:00"/>
    <d v="2026-06-15T00:00:00"/>
    <m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19_OC.xlsx"/>
    <n v="15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s v="procesado"/>
    <d v="2026-06-11T00:00:00"/>
    <d v="2026-06-15T00:00:00"/>
    <m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20_OC.xlsx"/>
    <n v="15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s v="procesado"/>
    <d v="2026-06-11T00:00:00"/>
    <d v="2026-06-15T00:00:00"/>
    <m/>
    <x v="0"/>
    <x v="1"/>
    <d v="2026-06-11T00:00:00"/>
    <d v="2026-06-15T00:00:00"/>
    <n v="11"/>
    <m/>
    <n v="23"/>
  </r>
  <r>
    <s v="016_01062026"/>
    <s v="016_01062026_cym_coquimbo.xlsx"/>
    <s v="016_01062026_cym_coquimbo_cotizacion.xlsx"/>
    <s v="016_01062026_cym_coquimbo_pcelectric_16_OC.xlsx"/>
    <n v="16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s v="procesado"/>
    <d v="2026-06-02T00:00:00"/>
    <m/>
    <m/>
    <x v="0"/>
    <x v="1"/>
    <d v="2026-06-02T00:00:00"/>
    <d v="2026-06-08T00:00:00"/>
    <n v="6"/>
    <m/>
    <n v="23"/>
  </r>
  <r>
    <s v="017_03062026"/>
    <s v="017_03062026_Multiproposito_Rancagua.xlsx"/>
    <s v="017_03062026_Multiproposito_Rancagua.xlsx"/>
    <s v="017_03062026_Multiproposito_Rancagua_cotizacion_mercado libre_21_OC.xlsx"/>
    <n v="17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s v="procesado"/>
    <m/>
    <d v="2026-06-16T00:00:00"/>
    <m/>
    <x v="0"/>
    <x v="1"/>
    <m/>
    <d v="2026-06-16T00:00:00"/>
    <n v="10"/>
    <m/>
    <n v="23"/>
  </r>
  <r>
    <s v="019_02062026"/>
    <s v="019_02062026_SAE INGECAF.xlsx"/>
    <s v="019_02062026_SAE INGECAF_cotizacion.xlsx"/>
    <s v="019_02062026_SAE INGECAF_Macaya_08_OC.xlsx"/>
    <n v="19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s v="procesado"/>
    <m/>
    <d v="2026-06-19T00:00:00"/>
    <s v="ok"/>
    <x v="1"/>
    <x v="1"/>
    <m/>
    <m/>
    <s v=""/>
    <m/>
    <n v="23"/>
  </r>
  <r>
    <s v="020_04062026"/>
    <s v="020_04062026_Multiproposito_Rancagua.xlsx"/>
    <s v="020_04062026_Multiproposito_Rancagua_cotizacion.xlsx"/>
    <s v="020_04062026_Multiproposito_Rancagua_Coprelec_23_OC.xlsx"/>
    <n v="20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s v="procesado"/>
    <m/>
    <m/>
    <s v="ok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Kupfer_24_OC.xlsx"/>
    <n v="20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s v="procesado"/>
    <m/>
    <m/>
    <s v="ok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Mercado Libre_22_OC.xlsx"/>
    <n v="20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s v="procesado"/>
    <m/>
    <m/>
    <s v="ok"/>
    <x v="0"/>
    <x v="1"/>
    <m/>
    <d v="2026-07-08T00:00:00"/>
    <n v="25"/>
    <m/>
    <n v="23"/>
  </r>
  <r>
    <s v="022_08062026"/>
    <s v="022_08062026_Control perdida_Rancagua.xlsx"/>
    <s v="022_08062026_Control perdida_Rancagua_cotizacion.xlsx"/>
    <s v="022_08062026_Control perdida_Rancagua_Mercado libre e ebay_25_OC.xlsx"/>
    <n v="22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s v="no aprobado "/>
    <m/>
    <m/>
    <s v="nula"/>
    <x v="2"/>
    <x v="1"/>
    <m/>
    <d v="2026-07-08T00:00:00"/>
    <n v="23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n v="23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s v="procesado"/>
    <d v="2026-06-25T00:00:00"/>
    <d v="2026-07-01T00:00:00"/>
    <s v="ok"/>
    <x v="1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n v="23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s v="procesado"/>
    <d v="2026-06-25T00:00:00"/>
    <d v="2026-07-01T00:00:00"/>
    <s v="ok"/>
    <x v="0"/>
    <x v="1"/>
    <m/>
    <d v="2026-06-27T00:00:00"/>
    <n v="18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_OC.xlsx"/>
    <n v="23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_OC.xlsx"/>
    <s v="procesado"/>
    <d v="2026-06-25T00:00:00"/>
    <d v="2026-07-01T00:00:00"/>
    <s v="ok"/>
    <x v="0"/>
    <x v="1"/>
    <d v="2026-06-25T00:00:00"/>
    <d v="2026-07-01T00:00:00"/>
    <n v="21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n v="23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s v="procesado"/>
    <d v="2026-06-25T00:00:00"/>
    <d v="2026-07-01T00:00:00"/>
    <s v="ok"/>
    <x v="0"/>
    <x v="1"/>
    <d v="2026-06-25T00:00:00"/>
    <d v="2026-07-01T00:00:00"/>
    <n v="21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n v="24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s v="procesado"/>
    <m/>
    <d v="2026-06-05T00:00:00"/>
    <s v="ok"/>
    <x v="0"/>
    <x v="1"/>
    <d v="2026-06-25T00:00:00"/>
    <d v="2026-07-01T00:00:00"/>
    <n v="18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n v="24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s v="procesado"/>
    <m/>
    <d v="2026-06-05T00:00:00"/>
    <s v="ok"/>
    <x v="0"/>
    <x v="1"/>
    <d v="2026-06-25T00:00:00"/>
    <d v="2026-07-01T00:00:00"/>
    <n v="18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n v="24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s v="procesado"/>
    <m/>
    <d v="2026-06-05T00:00:00"/>
    <s v="ok"/>
    <x v="0"/>
    <x v="1"/>
    <m/>
    <d v="2026-06-05T00:00:00"/>
    <n v="-2"/>
    <m/>
    <n v="24"/>
  </r>
  <r>
    <s v="025_11062026"/>
    <s v="025_11062026_Control de perdida_Rancagua.xlsx"/>
    <s v="025_11062026_Control de perdida_Rancagua_cotizacion.xlsx"/>
    <s v="025_11062026_Control de perdida_Rancagua_Max service_26_OC.xlsx"/>
    <n v="25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s v="procesado"/>
    <m/>
    <d v="2026-06-26T00:00:00"/>
    <s v="ok"/>
    <x v="0"/>
    <x v="1"/>
    <m/>
    <d v="2026-06-05T00:00:00"/>
    <n v="-5"/>
    <m/>
    <n v="24"/>
  </r>
  <r>
    <s v="030_15062026"/>
    <s v="030_15062026_CYM_INGECAF_Villarrica.xlsx"/>
    <s v="030_15062026_CYM_INGECAF_Villarrica.xlsx"/>
    <s v="030_15062026_CYM_INGECAF_Villarrica_Casa del liniero_10_OC.xlsx"/>
    <n v="30"/>
    <s v="030"/>
    <s v="15-06-2026"/>
    <s v="15-06-2026"/>
    <s v="15-06-2026"/>
    <s v="CONTADO"/>
    <n v="89250"/>
    <s v="INGECAF"/>
    <s v="SEGURIDAD INDUSTRIAL CORVALAN E HIJOS LIMITADA"/>
    <s v="Sebastian Sandoval"/>
    <m/>
    <s v="12 Araucanía"/>
    <s v="Reposición"/>
    <s v="C:\Users\rcayuleo\OneDrive - Transformadores Tusan SA\Archivos de Claudia Muñoz Farias EXT - Proceso de compras\03 Ordenes de Compra\030_15062026_CYM_INGECAF_Villarrica_Casa del liniero_10_OC.xlsx"/>
    <s v="procesado"/>
    <m/>
    <d v="2026-06-30T00:00:00"/>
    <s v="ok"/>
    <x v="0"/>
    <x v="1"/>
    <m/>
    <d v="2026-06-05T00:00:00"/>
    <n v="-7"/>
    <m/>
    <n v="25"/>
  </r>
  <r>
    <s v="030_15062026"/>
    <s v="030_15062026_CYM_INGECAF_Villarrica.xlsx"/>
    <s v="030_15062026_CYM_INGECAF_Villarrica.xlsx"/>
    <s v="030_15062026_CYM_INGECAF_Villarrica_Kupfer_11_OC.xlsx"/>
    <n v="30"/>
    <s v="030"/>
    <s v="15-06-2026"/>
    <s v="15-06-2026"/>
    <s v="15-06-2026"/>
    <s v="CREDITO"/>
    <n v="65870"/>
    <s v="INGECAF"/>
    <s v="KUPFER HERMANOS S.A."/>
    <s v="Sebastian Sandoval"/>
    <m/>
    <s v="12 Araucanía"/>
    <s v="Reposición"/>
    <s v="C:\Users\rcayuleo\OneDrive - Transformadores Tusan SA\Archivos de Claudia Muñoz Farias EXT - Proceso de compras\03 Ordenes de Compra\030_15062026_CYM_INGECAF_Villarrica_Kupfer_11_OC.xlsx"/>
    <s v="procesado"/>
    <m/>
    <d v="2026-06-30T00:00:00"/>
    <s v="ok"/>
    <x v="0"/>
    <x v="1"/>
    <m/>
    <d v="2026-06-26T00:00:00"/>
    <n v="10"/>
    <m/>
    <n v="25"/>
  </r>
  <r>
    <s v="031_16062026"/>
    <s v="031_16062026_CYM_INGECAF_Villarrica.xlsx"/>
    <s v="031_16062026_CYM_INGECAF_Villarrica.xlsx"/>
    <s v="031_16062026_CYM_INGECAF_Villarrica_Comulsa_12_OC.xlsx"/>
    <n v="31"/>
    <s v="031"/>
    <s v="16-06-2026"/>
    <s v="16-06-2026"/>
    <s v="16-06-2026"/>
    <s v="CREDITO"/>
    <n v="336502"/>
    <s v="INGECAF"/>
    <s v="COMERCIALIZADORA MULTINACIONAL SP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s v="procesado"/>
    <m/>
    <d v="2027-07-03T00:00:00"/>
    <s v="ok"/>
    <x v="1"/>
    <x v="1"/>
    <m/>
    <m/>
    <s v=""/>
    <m/>
    <n v="25"/>
  </r>
  <r>
    <s v="032_18062026"/>
    <s v="032_18062026_Prevencion_INGECAF_Temuco.xlsx"/>
    <s v="032_18062026_Prevencion_INGECAF_Temuco_cotizacion.xlsx"/>
    <s v="032_18062026_Prevencion_INGECAF_Temuco_Max service_09_OC.xlsx"/>
    <n v="32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s v="procesado"/>
    <m/>
    <m/>
    <s v="ok"/>
    <x v="1"/>
    <x v="1"/>
    <m/>
    <m/>
    <s v=""/>
    <m/>
    <n v="25"/>
  </r>
  <r>
    <s v="033_17062026"/>
    <s v="033_17062026_Control perdida_Rancagua.xlsx"/>
    <s v="033_17062026_Control perdida_Rancagua_cotizacion.xlsx"/>
    <s v="033_17062026_Control perdida_Rancagua_segurycel_32_OC.xlsx"/>
    <n v="33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s v="procesado"/>
    <m/>
    <d v="2026-06-25T00:00:00"/>
    <s v="ok"/>
    <x v="1"/>
    <x v="1"/>
    <m/>
    <m/>
    <s v=""/>
    <m/>
    <n v="25"/>
  </r>
  <r>
    <s v="034_19062026"/>
    <s v="034_19062026_SAE_Maule Norte.xlsx"/>
    <s v="034_19062026_SAE_Maule Norte_cotizacion.xlsx"/>
    <s v="034_19062026_SAE_Maule Norte_Casa del liniero_34_OC.xlsx"/>
    <n v="34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s v="procesado"/>
    <m/>
    <d v="2026-07-06T00:00:00"/>
    <s v="ok"/>
    <x v="1"/>
    <x v="1"/>
    <m/>
    <m/>
    <s v=""/>
    <m/>
    <n v="25"/>
  </r>
  <r>
    <s v="034_19062026"/>
    <s v="034_19062026_SAE_Maule Norte.xlsx"/>
    <s v="034_19062026_SAE_Maule Norte_cotizacion.xlsx"/>
    <s v="034_19062026_SAE_Maule Norte_Coprelec_33_OC.xlsx"/>
    <n v="34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s v="procesado"/>
    <m/>
    <d v="2026-07-06T00:00:00"/>
    <s v="ok"/>
    <x v="0"/>
    <x v="1"/>
    <m/>
    <d v="2026-06-30T00:00:00"/>
    <n v="8"/>
    <m/>
    <n v="25"/>
  </r>
  <r>
    <s v="034_19062026"/>
    <s v="034_19062026_SAE_Maule Norte.xlsx"/>
    <s v="034_19062026_SAE_Maule Norte_cotizacion.xlsx"/>
    <s v="034_19062026_SAE_Maule Norte_Ferrelectrica_35_OC.xlsx"/>
    <n v="34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s v="procesado"/>
    <m/>
    <d v="2026-07-06T00:00:00"/>
    <s v="ok"/>
    <x v="0"/>
    <x v="1"/>
    <m/>
    <d v="2026-06-30T00:00:00"/>
    <n v="8"/>
    <m/>
    <n v="25"/>
  </r>
  <r>
    <s v="034_19062026"/>
    <s v="034_19062026_SAE_Maule Norte.xlsx"/>
    <s v="034_19062026_SAE_Maule Norte_cotizacion.xlsx"/>
    <s v="034_19062026_SAE_Maule Norte_Macaya_36_OC.xlsx"/>
    <n v="34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s v="procesado"/>
    <m/>
    <d v="2026-07-06T00:00:00"/>
    <s v="ok"/>
    <x v="0"/>
    <x v="1"/>
    <m/>
    <d v="2027-07-03T00:00:00"/>
    <n v="271"/>
    <m/>
    <n v="25"/>
  </r>
  <r>
    <s v="034_19062026"/>
    <s v="034_19062026_SAE_Maule Norte.xlsx"/>
    <s v="034_19062026_SAE_Maule Norte_cotizacion.xlsx"/>
    <s v="034_19062026_SAE_Maule Norte_Rac_37_OC.xlsx"/>
    <n v="34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s v="procesado"/>
    <m/>
    <d v="2026-07-06T00:00:00"/>
    <s v="ok"/>
    <x v="1"/>
    <x v="1"/>
    <m/>
    <m/>
    <s v=""/>
    <m/>
    <n v="25"/>
  </r>
  <r>
    <s v="035_22062026"/>
    <s v="035_22062026_SAE_INGECAF_Araucania.xlsx"/>
    <s v="035_22062026_SAE_INGECAF_Araucania.xlsx"/>
    <s v="035_22062026_SAE_INGECAF_Araucania_Prisa_13_OC.xlsx"/>
    <n v="35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s v="procesado"/>
    <m/>
    <d v="2026-07-08T00:00:00"/>
    <s v="ok"/>
    <x v="0"/>
    <x v="1"/>
    <m/>
    <d v="2026-06-25T00:00:00"/>
    <n v="4"/>
    <m/>
    <n v="26"/>
  </r>
  <r>
    <s v="036_22062026"/>
    <s v="036_22062026_Obra_Villarrica.xlsx"/>
    <s v="036_22062026_Obra_Villarrica_cotizacion.xlsx"/>
    <s v="036_22062026_Obra_Villarrica_INGECAF_PRISA_14_OC.xlsx"/>
    <n v="36"/>
    <s v="036"/>
    <s v="22-06-2026"/>
    <s v="22-06-2026"/>
    <s v="22-06-2026"/>
    <s v="CREDITO"/>
    <n v="98442"/>
    <s v="INGECAF"/>
    <s v="PROVEEDORES INTEGRALES PRISA S 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36_22062026_Obra_Villarrica_INGECAF_PRISA_14_OC.xlsx"/>
    <s v="procesado"/>
    <m/>
    <d v="2026-07-08T00:00:00"/>
    <s v="ok"/>
    <x v="0"/>
    <x v="1"/>
    <m/>
    <d v="2026-07-06T00:00:00"/>
    <n v="11"/>
    <m/>
    <n v="26"/>
  </r>
  <r>
    <s v="037_30062026"/>
    <s v="037_30062026_CYM_INGECAF_Villarrica.xlsx"/>
    <s v="037_30062026_CYM_INGECAF_Villarrica_cotizacion.xlsx"/>
    <s v="037_30062026_CYM_INGECAF_Villarrica_Mercado libre_15_OC.xlsx"/>
    <n v="37"/>
    <s v="037"/>
    <s v="30-06-2026"/>
    <s v="30-06-2026"/>
    <s v="30-06-2026"/>
    <s v="CONTADO"/>
    <n v="35195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37_30062026_CYM_INGECAF_Villarrica_Mercado libre_15_OC.xlsx"/>
    <s v="procesado"/>
    <m/>
    <d v="2026-07-06T00:00:00"/>
    <s v="ok"/>
    <x v="0"/>
    <x v="1"/>
    <m/>
    <d v="2026-07-06T00:00:00"/>
    <n v="5"/>
    <m/>
    <n v="27"/>
  </r>
  <r>
    <s v="038_30062026"/>
    <s v="038_30062026_SAE_INGECAF_Villarrica.xlsx"/>
    <s v="038_30062026_SAE_INGECAF_Villarrica_cotizacion.xlsx"/>
    <s v="038_30062026_SAE_INGECAF_Villarrica_Mercado libre_16_OC.xlsx"/>
    <n v="38"/>
    <s v="038"/>
    <s v="30-06-2026"/>
    <s v="30-06-2026"/>
    <s v="30-06-2026"/>
    <s v="CONTADO"/>
    <n v="35195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8_30062026_SAE_INGECAF_Villarrica_Mercado libre_16_OC.xlsx"/>
    <s v="procesado"/>
    <m/>
    <d v="2026-07-06T00:00:00"/>
    <s v="ok"/>
    <x v="0"/>
    <x v="1"/>
    <m/>
    <d v="2026-07-06T00:00:00"/>
    <n v="5"/>
    <m/>
    <n v="27"/>
  </r>
  <r>
    <s v="039_26062026"/>
    <s v="039_26062026_SAE_Maule Norte.xlsx"/>
    <s v="039_26062026_SAE_Maule Norte_cotizacion.xlsx"/>
    <s v="039_26062026_SAE_Maule Norte_Coprelec_38_OC.xlsx"/>
    <n v="39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s v="procesado"/>
    <m/>
    <d v="2026-07-08T00:00:00"/>
    <s v="ok"/>
    <x v="0"/>
    <x v="1"/>
    <m/>
    <d v="2026-07-06T00:00:00"/>
    <n v="7"/>
    <m/>
    <n v="26"/>
  </r>
  <r>
    <s v="040_30062026"/>
    <s v="040_30062026_Control perdida_Rancagua.xlsx"/>
    <s v="040_30062026_Control perdida_Rancagua_cotizacion.xlsx"/>
    <s v="040_30062026_Control perdida_Rancagua_Segurycel_41_OC.xlsx"/>
    <n v="40"/>
    <s v="040"/>
    <s v="30-06-2026"/>
    <s v="30-06-2026"/>
    <s v="30-06-2026"/>
    <s v="CREDITO"/>
    <n v="825384"/>
    <s v="APOYO ACTIVO"/>
    <s v="SEGURYCEL S.A"/>
    <s v="Sofía Navia Quezada "/>
    <s v="Control de Perdida (BBPP)"/>
    <s v="07 Rancagua"/>
    <s v="Planificada "/>
    <s v="C:\Users\rcayuleo\OneDrive - Transformadores Tusan SA\Archivos de Claudia Muñoz Farias EXT - Proceso de compras\03 Ordenes de Compra\040_30062026_Control perdida_Rancagua_Segurycel_41_OC.xlsx"/>
    <s v="procesado"/>
    <m/>
    <d v="2026-07-08T00:00:00"/>
    <s v="ok"/>
    <x v="0"/>
    <x v="1"/>
    <m/>
    <d v="2026-07-06T00:00:00"/>
    <n v="5"/>
    <m/>
    <n v="27"/>
  </r>
  <r>
    <s v="041_30062026"/>
    <s v="041_30062026_SSTT_Maule Norte.xlsx"/>
    <s v="041_30062026_SSTT_Maule Norte_cotizacion.xlsx"/>
    <s v="041_30062026_SSTT_Maule Norte_Coprelec_47_OC.xlsx"/>
    <n v="41"/>
    <s v="041"/>
    <s v="30-06-2026"/>
    <s v="30-06-2026"/>
    <s v="30-06-2026"/>
    <m/>
    <m/>
    <s v="APOYO ACTIVO"/>
    <m/>
    <s v="Alvaro Maldonado"/>
    <s v="Servicio Técnico (SSTT)"/>
    <s v="09 Maule Norte"/>
    <s v="Urgente"/>
    <s v="C:\Users\rcayuleo\OneDrive - Transformadores Tusan SA\Archivos de Claudia Muñoz Farias EXT - Proceso de compras\03 Ordenes de Compra\041_30062026_SSTT_Maule Norte_Coprelec_47_OC.xlsx"/>
    <s v="procesado"/>
    <m/>
    <d v="2026-07-14T00:00:00"/>
    <s v="ok"/>
    <x v="0"/>
    <x v="1"/>
    <m/>
    <d v="2026-07-08T00:00:00"/>
    <n v="7"/>
    <m/>
    <n v="27"/>
  </r>
  <r>
    <s v="041_30062026"/>
    <s v="041_30062026_SSTT_Maule Norte.xlsx"/>
    <s v="041_30062026_SSTT_Maule Norte_cotizacion.xlsx"/>
    <s v="041_30062026_SSTT_Maule Norte_Mercado Libre_48_OC.xlsx"/>
    <n v="41"/>
    <s v="041"/>
    <s v="30-06-2026"/>
    <s v="30-06-2026"/>
    <s v="30-06-2026"/>
    <s v="CONTADO"/>
    <n v="522648"/>
    <s v="APOYO ACTIVO"/>
    <s v="COPRELEC SEGURIDAD ELECTRICA E INSTRUMENTACION SPA"/>
    <s v="Alvaro Maldonado"/>
    <s v="Servicio Técnico (SSTT)"/>
    <s v="09 Maule Norte"/>
    <s v="Urgente"/>
    <s v="C:\Users\rcayuleo\OneDrive - Transformadores Tusan SA\Archivos de Claudia Muñoz Farias EXT - Proceso de compras\03 Ordenes de Compra\041_30062026_SSTT_Maule Norte_Mercado Libre_48_OC.xlsx"/>
    <s v="procesado"/>
    <m/>
    <d v="2026-07-14T00:00:00"/>
    <s v="ok"/>
    <x v="0"/>
    <x v="1"/>
    <m/>
    <d v="2026-07-08T00:00:00"/>
    <n v="7"/>
    <m/>
    <n v="27"/>
  </r>
  <r>
    <s v="043_02072026"/>
    <s v="043_02072026_Control Perdida_Arica-iquique.xlsx"/>
    <s v="043_02072026_Control Perdida_Arica-iquique_cotizacion.xlsx"/>
    <s v="043_02072026_Control Perdida_Arica y iquique_Segurycel_OC_40.xlsx"/>
    <n v="43"/>
    <s v="043"/>
    <s v="02-07-2026"/>
    <s v="02-07-2026"/>
    <s v="02-07-2026"/>
    <s v="CREDITO"/>
    <n v="356393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 y iquique_Segurycel_OC_40.xlsx"/>
    <s v="procesado"/>
    <d v="2026-07-13T00:00:00"/>
    <d v="2026-07-20T00:00:00"/>
    <s v="ok"/>
    <x v="0"/>
    <x v="2"/>
    <m/>
    <d v="2026-07-06T00:00:00"/>
    <n v="3"/>
    <m/>
    <n v="27"/>
  </r>
  <r>
    <s v="043_02072026"/>
    <s v="043_02072026_Control Perdida_Arica-iquique.xlsx"/>
    <s v="043_02072026_Control Perdida_Arica-iquique_cotizacion.xlsx"/>
    <s v="043_02072026_Control Perdida_Arica-iquique_Coprelec_49_OC.xlsx"/>
    <n v="43"/>
    <s v="043"/>
    <s v="02-07-2026"/>
    <s v="02-07-2026"/>
    <s v="02-07-2026"/>
    <s v="CREDITO"/>
    <m/>
    <s v="APOYO ACTIVO"/>
    <s v="COPRELEC SEGURIDAD ELECTRICA E INSTRUMENTACION SP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Coprelec_49_OC.xlsx"/>
    <s v="procesado"/>
    <d v="2026-07-13T00:00:00"/>
    <d v="2026-07-20T00:00:00"/>
    <s v="ok"/>
    <x v="0"/>
    <x v="2"/>
    <m/>
    <d v="2026-07-06T00:00:00"/>
    <n v="3"/>
    <m/>
    <n v="27"/>
  </r>
  <r>
    <s v="043_02072026"/>
    <s v="043_02072026_Control Perdida_Arica-iquique.xlsx"/>
    <s v="043_02072026_Control Perdida_Arica-iquique_cotizacion.xlsx"/>
    <s v="043_02072026_Control Perdida_Arica-iquique_Ferrelectrica_50_OC.xlsx"/>
    <n v="43"/>
    <s v="043"/>
    <s v="02-07-2026"/>
    <s v="02-07-2026"/>
    <s v="02-07-2026"/>
    <s v="CREDITO"/>
    <m/>
    <s v="APOYO ACTIVO"/>
    <s v="FERRELECTRICA SP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Ferrelectrica_50_OC.xlsx"/>
    <s v="procesado"/>
    <d v="2026-07-13T00:00:00"/>
    <d v="2026-07-20T00:00:00"/>
    <s v="ok"/>
    <x v="0"/>
    <x v="2"/>
    <m/>
    <d v="2026-07-08T00:00:00"/>
    <n v="5"/>
    <m/>
    <n v="27"/>
  </r>
  <r>
    <s v="043_02072026"/>
    <s v="043_02072026_Control Perdida_Arica-iquique.xlsx"/>
    <s v="043_02072026_Control Perdida_Arica-iquique_cotizacion.xlsx"/>
    <s v="043_02072026_Control Perdida_Arica-iquique_Mercado libre_51_OC.xlsx"/>
    <n v="43"/>
    <s v="043"/>
    <s v="02-07-2026"/>
    <s v="02-07-2026"/>
    <s v="02-07-2026"/>
    <s v="CONTADO"/>
    <m/>
    <s v="APOYO ACTIVO"/>
    <s v="MERCADOLIBRE CHILE LTD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Mercado libre_51_OC.xlsx"/>
    <s v="procesado"/>
    <d v="2026-07-13T00:00:00"/>
    <d v="2026-07-20T00:00:00"/>
    <s v="ok"/>
    <x v="0"/>
    <x v="2"/>
    <m/>
    <d v="2026-07-08T00:00:00"/>
    <n v="5"/>
    <m/>
    <n v="27"/>
  </r>
  <r>
    <s v="045_05072026"/>
    <s v="045_05072026_CYM_Vilarrica_Apoyo Activo.xlsx"/>
    <s v="045_05072026_CYM_Vilarrica_Apoyo Activo_cotizacion.xlsx"/>
    <s v="045_05072026_CYM_Vilarrica_Max service_42_OC.xlsx"/>
    <n v="45"/>
    <s v="045"/>
    <s v="05-07-2026"/>
    <s v="05-07-2026"/>
    <s v="05-07-2026"/>
    <s v="CREDITO"/>
    <n v="803095"/>
    <s v="INGECAF"/>
    <s v="MAX SERVICE SEGURIDAD INDUSTRIAL SPA"/>
    <s v="Sebastian Sandoval"/>
    <m/>
    <s v="12 Araucanía"/>
    <s v="Reposición"/>
    <s v="C:\Users\rcayuleo\OneDrive - Transformadores Tusan SA\Archivos de Claudia Muñoz Farias EXT - Proceso de compras\03 Ordenes de Compra\045_05072026_CYM_Vilarrica_Max service_42_OC.xlsx"/>
    <s v="procesado"/>
    <m/>
    <d v="2026-07-08T00:00:00"/>
    <s v="ok"/>
    <x v="0"/>
    <x v="2"/>
    <m/>
    <d v="2026-07-14T00:00:00"/>
    <n v="7"/>
    <m/>
    <n v="27"/>
  </r>
  <r>
    <s v="046_05072026"/>
    <s v="046_05072026_CYM_Villarrica_INGECAF.xlsx"/>
    <s v="046_05072026_CYM_Villarrica_INGECAF_cotizacion.xlsx"/>
    <s v="046_05072026_CYM_Villarrica_INGECAF_Max service_17_OC.xlsx"/>
    <n v="46"/>
    <s v="046"/>
    <s v="05-07-2026"/>
    <s v="05-07-2026"/>
    <s v="05-07-2026"/>
    <s v="CREDITO"/>
    <n v="734087"/>
    <s v="INGECAF"/>
    <s v="MAX SERVICE SEGURIDAD INDUSTRIAL SPA"/>
    <s v="Sebastian Sandoval"/>
    <m/>
    <s v="12 Araucanía"/>
    <s v="Reposición"/>
    <s v="C:\Users\rcayuleo\OneDrive - Transformadores Tusan SA\Archivos de Claudia Muñoz Farias EXT - Proceso de compras\03 Ordenes de Compra\046_05072026_CYM_Villarrica_INGECAF_Max service_17_OC.xlsx"/>
    <s v="pendiente"/>
    <m/>
    <m/>
    <s v="pendiente aprobacion "/>
    <x v="0"/>
    <x v="2"/>
    <m/>
    <d v="2026-07-14T00:00:00"/>
    <n v="7"/>
    <m/>
    <n v="27"/>
  </r>
  <r>
    <s v="049_06072026"/>
    <s v="049_06072026_SAE_Maule Sur.xlsx"/>
    <s v="049_06072026_SAE_Maule Sur_cotizacion.xlsx"/>
    <s v="049_06072026_SAE_Maule Sur_Coprelec_43_OC.xlsx"/>
    <n v="49"/>
    <s v="049"/>
    <s v="06-07-2026"/>
    <s v="06-07-2026"/>
    <s v="06-07-2026"/>
    <s v="CREDITO"/>
    <n v="44804"/>
    <s v="APOYO ACTIVO"/>
    <s v="COPRELEC SEGURIDAD ELECTRICA E INSTRUMENTACION SPA"/>
    <s v="Carlos Radatt "/>
    <s v="Servicio Atención Emergencia (SAE)"/>
    <s v="10 Maule Sur"/>
    <s v="Urgente"/>
    <s v="C:\Users\rcayuleo\OneDrive - Transformadores Tusan SA\Archivos de Claudia Muñoz Farias EXT - Proceso de compras\03 Ordenes de Compra\049_06072026_SAE_Maule Sur_Coprelec_43_OC.xlsx"/>
    <s v="procesado"/>
    <m/>
    <d v="2026-07-15T00:00:00"/>
    <s v="ok"/>
    <x v="1"/>
    <x v="2"/>
    <m/>
    <m/>
    <s v=""/>
    <m/>
    <n v="28"/>
  </r>
  <r>
    <s v="050_07072026"/>
    <s v="050_07072026_Flota_INGECAF.xlsx"/>
    <s v="050_07072026_Flota_INGECAF_cotizacion.xlsx"/>
    <s v="050_07072026_Flota_INGECAF_Mercado Libre_18_OC.xlsx"/>
    <n v="50"/>
    <s v="050"/>
    <s v="07-07-2026"/>
    <s v="07-07-2026"/>
    <s v="07-07-2026"/>
    <s v="CREDITO"/>
    <n v="85661"/>
    <s v="INGECAF"/>
    <s v="MERCADOLIBRE CHILE LTDA"/>
    <s v="Raúl Erazo"/>
    <s v="Flota"/>
    <s v="12 Araucanía"/>
    <s v="Urgente"/>
    <s v="C:\Users\rcayuleo\OneDrive - Transformadores Tusan SA\Archivos de Claudia Muñoz Farias EXT - Proceso de compras\03 Ordenes de Compra\050_07072026_Flota_INGECAF_Mercado Libre_18_OC.xlsx"/>
    <s v="procesado"/>
    <d v="2026-07-10T00:00:00"/>
    <d v="2026-07-14T00:00:00"/>
    <s v="ok"/>
    <x v="1"/>
    <x v="2"/>
    <m/>
    <m/>
    <s v=""/>
    <m/>
    <n v="28"/>
  </r>
  <r>
    <s v="051_06072026"/>
    <s v="051_06072026_Prevencion riesgos_Colchagua.xlsx"/>
    <s v="051_06072026_Prevencion riesgos_Colchagua_cotizacion.xlsx"/>
    <s v="051_06072026_Prevencion riesgos_Colchagua_Segurycel_45_OC.xlsx"/>
    <n v="51"/>
    <s v="051"/>
    <s v="06-07-2026"/>
    <s v="06-07-2026"/>
    <s v="06-07-2026"/>
    <s v="CREDITO"/>
    <n v="283291"/>
    <s v="APOYO ACTIVO"/>
    <s v="SEGURYCEL S.A"/>
    <s v="Roberto Yáñez Fuentes "/>
    <s v="Prevención de Riesgo"/>
    <s v="08 Colchagua-Cardenal Caro"/>
    <s v="Reposición"/>
    <s v="C:\Users\rcayuleo\OneDrive - Transformadores Tusan SA\Archivos de Claudia Muñoz Farias EXT - Proceso de compras\03 Ordenes de Compra\051_06072026_Prevencion riesgos_Colchagua_Segurycel_45_OC.xlsx"/>
    <s v="procesado"/>
    <m/>
    <d v="2026-07-10T00:00:00"/>
    <s v="ok"/>
    <x v="1"/>
    <x v="2"/>
    <m/>
    <m/>
    <s v=""/>
    <m/>
    <n v="28"/>
  </r>
  <r>
    <s v="052_07072026"/>
    <s v="052_07072026_SAE_Villarrica_INGECAF.xlsx"/>
    <s v="052_07072026_SAE_Villarrica_INGECAF_cotizacion.xlsx"/>
    <s v="052_07072026_SAE_Villarrica_INGECAF_Ferrelectrica_20_OC.xlsx"/>
    <n v="52"/>
    <s v="052"/>
    <s v="07-07-2026"/>
    <s v="07-07-2026"/>
    <s v="07-07-2026"/>
    <s v="CONTADO"/>
    <n v="46686"/>
    <m/>
    <s v="FERRELECTRICA SPA"/>
    <m/>
    <m/>
    <m/>
    <m/>
    <s v="C:\Users\rcayuleo\OneDrive - Transformadores Tusan SA\Archivos de Claudia Muñoz Farias EXT - Proceso de compras\03 Ordenes de Compra\052_07072026_SAE_Villarrica_INGECAF_Ferrelectrica_20_OC.xlsx"/>
    <s v="procesado"/>
    <m/>
    <d v="2026-07-15T00:00:00"/>
    <s v="ok"/>
    <x v="1"/>
    <x v="2"/>
    <m/>
    <m/>
    <s v=""/>
    <m/>
    <n v="28"/>
  </r>
  <r>
    <s v="052_07072026"/>
    <s v="052_07072026_SAE_Villarrica_INGECAF.xlsx"/>
    <s v="052_07072026_SAE_Villarrica_INGECAF_cotizacion.xlsx"/>
    <s v="052_07072026_SAE_Villarrica_INGECAF_Max service_19_OC.xlsx"/>
    <n v="52"/>
    <s v="052"/>
    <s v="07-07-2026"/>
    <s v="07-07-2026"/>
    <s v="07-07-2026"/>
    <s v="CREDITO"/>
    <n v="108089"/>
    <m/>
    <s v="MAX SERVICE SEGURIDAD INDUSTRIAL SPA"/>
    <m/>
    <m/>
    <m/>
    <m/>
    <s v="C:\Users\rcayuleo\OneDrive - Transformadores Tusan SA\Archivos de Claudia Muñoz Farias EXT - Proceso de compras\03 Ordenes de Compra\052_07072026_SAE_Villarrica_INGECAF_Max service_19_OC.xlsx"/>
    <s v="procesado"/>
    <m/>
    <d v="2026-07-15T00:00:00"/>
    <s v="ok"/>
    <x v="1"/>
    <x v="2"/>
    <m/>
    <m/>
    <s v=""/>
    <m/>
    <n v="28"/>
  </r>
  <r>
    <s v="053_08072026"/>
    <s v="053_08072026_Multiproposito_Rancagua.xlsx"/>
    <s v="053_08072026_Multiproposito_Rancagua_cotizacion.xlsx"/>
    <s v="053_08072026_Multiproposito_Rancagua_PC factory_44_OC.xlsx"/>
    <n v="53"/>
    <s v="053"/>
    <s v="08-07-2026"/>
    <s v="08-07-2026"/>
    <s v="08-07-2026"/>
    <s v="CONTADO"/>
    <n v="99990"/>
    <s v="APOYO ACTIVO"/>
    <s v="PC FACTORY"/>
    <s v="Guillermo Azua Gonzalez"/>
    <s v=" MULTIPROPOSITO "/>
    <s v="07 Rancagua"/>
    <s v="Urgente"/>
    <s v="C:\Users\rcayuleo\OneDrive - Transformadores Tusan SA\Archivos de Claudia Muñoz Farias EXT - Proceso de compras\03 Ordenes de Compra\053_08072026_Multiproposito_Rancagua_PC factory_44_OC.xlsx"/>
    <s v="procesado"/>
    <d v="2026-07-10T00:00:00"/>
    <d v="2026-07-15T00:00:00"/>
    <s v="ok"/>
    <x v="0"/>
    <x v="2"/>
    <m/>
    <d v="2026-07-15T00:00:00"/>
    <n v="6"/>
    <m/>
    <n v="28"/>
  </r>
  <r>
    <s v="054_08072026"/>
    <s v="054_08072026_Multiproposito_Maule Norte.xlsx"/>
    <s v="054_08072026_Multiproposito_Maule Norte_cotizacion.xlsx"/>
    <s v="054_08072026_Multiproposito_Maule Norte_Coprelec_55_OC.xlsx"/>
    <n v="54"/>
    <s v="054"/>
    <s v="08-07-2026"/>
    <s v="08-07-2026"/>
    <s v="08-07-2026"/>
    <s v="CREDITO"/>
    <m/>
    <s v="APOYO ACTIVO"/>
    <s v="COPRELEC SEGURIDAD ELECTRICA E INSTRUMENTACION SPA"/>
    <s v="Carlos Radatt "/>
    <s v=" MULTIPROPOSITO "/>
    <s v="09 Maule Norte"/>
    <s v="Urgente"/>
    <s v="C:\Users\rcayuleo\OneDrive - Transformadores Tusan SA\Archivos de Claudia Muñoz Farias EXT - Proceso de compras\03 Ordenes de Compra\054_08072026_Multiproposito_Maule Norte_Coprelec_55_OC.xlsx"/>
    <s v="procesado"/>
    <m/>
    <d v="2026-07-21T00:00:00"/>
    <s v="ok"/>
    <x v="1"/>
    <x v="2"/>
    <m/>
    <m/>
    <s v=""/>
    <m/>
    <n v="28"/>
  </r>
  <r>
    <s v="056_09072026"/>
    <s v="056_09072026_Prevencion_Araucania_INGECAF.xlsx"/>
    <s v="056_09072026_Prevencion_Araucania_INGECAF_cotizacion.xlsx"/>
    <s v="056_09072026_Prevencion_Araucania_INGECAF_Max service_21_OC.xlsx"/>
    <n v="56"/>
    <s v="056"/>
    <s v="09-07-2026"/>
    <s v="09-07-2026"/>
    <s v="09-07-2026"/>
    <s v="CREDITO"/>
    <n v="170170"/>
    <s v="INGECAF"/>
    <s v="MAX SERVICE SEGURIDAD INDUSTRIAL SPA"/>
    <s v="Sebastian Sandoval"/>
    <m/>
    <s v="12 Araucanía"/>
    <s v="Urgente"/>
    <s v="C:\Users\rcayuleo\OneDrive - Transformadores Tusan SA\Archivos de Claudia Muñoz Farias EXT - Proceso de compras\03 Ordenes de Compra\056_09072026_Prevencion_Araucania_INGECAF_Max service_21_OC.xlsx"/>
    <s v="procesado"/>
    <m/>
    <d v="2026-07-14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Comulsa_59_OC.xlsx"/>
    <n v="57"/>
    <s v="057"/>
    <s v="08-07-2026"/>
    <s v="08-07-2026"/>
    <s v="08-07-2026"/>
    <s v="CONTADO"/>
    <m/>
    <s v="APOYO ACTIVO"/>
    <s v="COPRELEC SEGURIDAD ELECTRICA E INSTRUMENTACION SP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Comulsa_59_OC.xlsx"/>
    <s v="procesado"/>
    <d v="2026-07-22T00:00:00"/>
    <d v="2026-07-28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Coprelec_60_OC.xlsx"/>
    <n v="57"/>
    <s v="057"/>
    <s v="08-07-2026"/>
    <s v="08-07-2026"/>
    <s v="08-07-2026"/>
    <s v="CREDITO"/>
    <m/>
    <s v="APOYO ACTIVO"/>
    <s v="COPRELEC SEGURIDAD ELECTRICA E INSTRUMENTACION SP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Coprelec_60_OC.xlsx"/>
    <s v="procesado"/>
    <d v="2026-07-22T00:00:00"/>
    <d v="2026-07-28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Mercado Libre_61_OC.xlsx"/>
    <n v="57"/>
    <s v="057"/>
    <s v="08-07-2026"/>
    <s v="08-07-2026"/>
    <s v="08-07-2026"/>
    <s v="CONTADO"/>
    <m/>
    <s v="APOYO ACTIVO"/>
    <s v="MERCADOLIBRE CHILE LTD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Mercado Libre_61_OC.xlsx"/>
    <s v="procesado"/>
    <d v="2026-07-22T00:00:00"/>
    <d v="2026-07-28T00:00:00"/>
    <m/>
    <x v="0"/>
    <x v="2"/>
    <m/>
    <d v="2026-07-15T00:00:00"/>
    <n v="6"/>
    <m/>
    <n v="28"/>
  </r>
  <r>
    <s v="057_08072026"/>
    <s v="057_08072026_Sae_Maule Norte.xlsx"/>
    <s v="057_08072026_Sae_Maule Norte_cotizacion.xlsx"/>
    <s v="057_08072026_Sae_Maule Norte_Pcelectric_62_OC.xlsx"/>
    <n v="57"/>
    <s v="057"/>
    <s v="08-07-2026"/>
    <s v="08-07-2026"/>
    <s v="08-07-2026"/>
    <s v="CONTADO"/>
    <m/>
    <s v="APOYO ACTIVO"/>
    <s v="COMERCIAL PCELECTRIC S.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Pcelectric_62_OC.xlsx"/>
    <s v="procesado"/>
    <d v="2026-07-22T00:00:00"/>
    <d v="2026-07-28T00:00:00"/>
    <m/>
    <x v="0"/>
    <x v="2"/>
    <d v="2026-07-10T00:00:00"/>
    <d v="2026-07-14T00:00:00"/>
    <n v="5"/>
    <m/>
    <n v="28"/>
  </r>
  <r>
    <s v="058_09072026"/>
    <s v="058_09072026_Administracion_Maule Norte.xlsx"/>
    <s v="058_09072026_Administracion_Maule Norte_cotizacion.xlsx"/>
    <s v="058_09072026_Administracion_Maule Norte_Prisa_46_OC.xlsx"/>
    <n v="58"/>
    <s v="058"/>
    <s v="09-07-2026"/>
    <s v="09-07-2026"/>
    <s v="09-07-2026"/>
    <s v="CONTADO"/>
    <n v="146581"/>
    <s v="APOYO ACTIVO"/>
    <s v="PROVEEDORES INTEGRALES PRISA S A"/>
    <s v="Bexsabet Opazo"/>
    <s v="Administración"/>
    <s v="09 Maule Norte"/>
    <s v="Urgente"/>
    <s v="C:\Users\rcayuleo\OneDrive - Transformadores Tusan SA\Archivos de Claudia Muñoz Farias EXT - Proceso de compras\03 Ordenes de Compra\058_09072026_Administracion_Maule Norte_Prisa_46_OC.xlsx"/>
    <s v="procesado"/>
    <d v="2026-07-10T00:00:00"/>
    <d v="2026-07-23T00:00:00"/>
    <s v="ok"/>
    <x v="0"/>
    <x v="2"/>
    <m/>
    <d v="2026-07-10T00:00:00"/>
    <n v="2"/>
    <m/>
    <n v="28"/>
  </r>
  <r>
    <s v="059_10072026"/>
    <s v="059_10072026_Flota_INGECAF.xlsx"/>
    <s v="059_10072026_Flota_INGECAF_cotizacion.xlsx"/>
    <s v="059_10072026_Flota_INGECAF_Boris letras adhesivas_22_OC.xlsx"/>
    <n v="59"/>
    <s v="059"/>
    <s v="10-07-2026"/>
    <s v="10-07-2026"/>
    <s v="10-07-2026"/>
    <s v="CONTADO"/>
    <n v="203395"/>
    <s v="INGECAF"/>
    <s v="LETRAS ADHESIVAS BORIS "/>
    <s v="Raúl Erazo"/>
    <s v="Flota"/>
    <s v="12 Araucanía"/>
    <s v="Urgente"/>
    <s v="C:\Users\rcayuleo\OneDrive - Transformadores Tusan SA\Archivos de Claudia Muñoz Farias EXT - Proceso de compras\03 Ordenes de Compra\059_10072026_Flota_INGECAF_Boris letras adhesivas_22_OC.xlsx"/>
    <s v="procesado"/>
    <d v="2026-07-17T00:00:00"/>
    <d v="2026-07-22T00:00:00"/>
    <s v="ok"/>
    <x v="0"/>
    <x v="2"/>
    <m/>
    <d v="2026-07-15T00:00:00"/>
    <n v="4"/>
    <m/>
    <n v="28"/>
  </r>
  <r>
    <s v="061_13072026"/>
    <s v="061_13072026_CYM_Colchagua.xlsx"/>
    <s v="061_13072026_CYM_Colchagua_cotizacion.xlsx"/>
    <s v="061_13072026_CYM_Colchagua_El castillo spa_53_OC.xlsx"/>
    <n v="61"/>
    <s v="061"/>
    <s v="13-07-2026"/>
    <s v="13-07-2026"/>
    <s v="13-07-2026"/>
    <s v="CONTADO"/>
    <m/>
    <s v="APOYO ACTIVO"/>
    <s v="EL CASTILLO SPA "/>
    <s v="Victor Riquelme Albornoz"/>
    <m/>
    <s v="Construcción y Mantenimiento (CYM)"/>
    <n v="46216"/>
    <s v="C:\Users\rcayuleo\OneDrive - Transformadores Tusan SA\Archivos de Claudia Muñoz Farias EXT - Proceso de compras\03 Ordenes de Compra\061_13072026_CYM_Colchagua_El castillo spa_53_OC.xlsx"/>
    <s v="procesado"/>
    <d v="2026-07-21T00:00:00"/>
    <d v="2026-07-27T00:00:00"/>
    <s v="ok"/>
    <x v="0"/>
    <x v="2"/>
    <m/>
    <d v="2026-07-15T00:00:00"/>
    <n v="3"/>
    <m/>
    <n v="29"/>
  </r>
  <r>
    <s v="061_13072026"/>
    <s v="061_13072026_CYM_Colchagua.xlsx"/>
    <s v="061_13072026_CYM_Colchagua_cotizacion.xlsx"/>
    <s v="061_13072026_CYM_Colchagua_El castillo spa_53_OC.xlsx"/>
    <n v="61"/>
    <s v="061"/>
    <s v="13-07-2026"/>
    <s v="13-07-2026"/>
    <s v="13-07-2026"/>
    <s v="CONTADO"/>
    <m/>
    <s v="APOYO ACTIVO"/>
    <s v="EL CASTILLO SPA "/>
    <s v="Victor Riquelme Albornoz"/>
    <m/>
    <s v="08 Colchagua-Cardenal Caro"/>
    <s v="Reposición"/>
    <s v="C:\Users\rcayuleo\OneDrive - Transformadores Tusan SA\Archivos de Claudia Muñoz Farias EXT - Proceso de compras\03 Ordenes de Compra\061_13072026_CYM_Colchagua_El castillo spa_53_OC.xlsx"/>
    <s v="procesado"/>
    <d v="2026-07-21T00:00:00"/>
    <d v="2026-07-27T00:00:00"/>
    <s v="ok"/>
    <x v="0"/>
    <x v="2"/>
    <d v="2026-07-10T00:00:00"/>
    <d v="2026-07-15T00:00:00"/>
    <n v="3"/>
    <m/>
    <n v="29"/>
  </r>
  <r>
    <s v="061_13072026"/>
    <s v="061_13072026_CYM_Colchagua.xlsx"/>
    <s v="061_13072026_CYM_Colchagua_cotizacion.xlsx"/>
    <s v="061_13072026_CYM_Colchagua_Prisa_52_OC.xlsx"/>
    <n v="61"/>
    <s v="061"/>
    <s v="13-07-2026"/>
    <s v="13-07-2026"/>
    <s v="13-07-2026"/>
    <s v="CONTADO"/>
    <m/>
    <s v="APOYO ACTIVO"/>
    <s v="PROVEEDORES INTEGRALES PRISA S A"/>
    <s v="Victor Riquelme Albornoz"/>
    <m/>
    <s v="Construcción y Mantenimiento (CYM)"/>
    <n v="46216"/>
    <s v="C:\Users\rcayuleo\OneDrive - Transformadores Tusan SA\Archivos de Claudia Muñoz Farias EXT - Proceso de compras\03 Ordenes de Compra\061_13072026_CYM_Colchagua_Prisa_52_OC.xlsx"/>
    <s v="procesado"/>
    <d v="2026-07-21T00:00:00"/>
    <d v="2026-07-27T00:00:00"/>
    <s v="ok"/>
    <x v="1"/>
    <x v="2"/>
    <m/>
    <m/>
    <s v=""/>
    <m/>
    <n v="29"/>
  </r>
  <r>
    <s v="061_13072026"/>
    <s v="061_13072026_CYM_Colchagua.xlsx"/>
    <s v="061_13072026_CYM_Colchagua_cotizacion.xlsx"/>
    <s v="061_13072026_CYM_Colchagua_Prisa_52_OC.xlsx"/>
    <n v="61"/>
    <s v="061"/>
    <s v="13-07-2026"/>
    <s v="13-07-2026"/>
    <s v="13-07-2026"/>
    <s v="CONTADO"/>
    <m/>
    <s v="APOYO ACTIVO"/>
    <s v="PROVEEDORES INTEGRALES PRISA S A"/>
    <s v="Victor Riquelme Albornoz"/>
    <m/>
    <s v="08 Colchagua-Cardenal Caro"/>
    <s v="Reposición"/>
    <s v="C:\Users\rcayuleo\OneDrive - Transformadores Tusan SA\Archivos de Claudia Muñoz Farias EXT - Proceso de compras\03 Ordenes de Compra\061_13072026_CYM_Colchagua_Prisa_52_OC.xlsx"/>
    <s v="procesado"/>
    <d v="2026-07-21T00:00:00"/>
    <d v="2026-07-27T00:00:00"/>
    <s v="ok"/>
    <x v="1"/>
    <x v="2"/>
    <m/>
    <m/>
    <s v=""/>
    <m/>
    <n v="29"/>
  </r>
  <r>
    <s v="063_15072026"/>
    <s v="063_15072026_SAE_INGECAF.xlsx"/>
    <s v="063_15072026_SAE_INGECAF_cotizacion.xlsx"/>
    <s v="063_15072026_SAE_INGECAF_Max service_25_OC.xlsx"/>
    <n v="63"/>
    <s v="063"/>
    <s v="15-07-2026"/>
    <s v="15-07-2026"/>
    <s v="15-07-2026"/>
    <s v="CREDITO"/>
    <n v="293249"/>
    <s v="INGECAF"/>
    <s v="MAX SERVICE SEGURIDAD INDUSTRIAL SPA"/>
    <s v="Katherine Monsalves "/>
    <s v="Servicio Atención Emergencia (SAE)"/>
    <s v="12 Araucanía"/>
    <s v="Urgente"/>
    <s v="C:\Users\rcayuleo\OneDrive - Transformadores Tusan SA\Archivos de Claudia Muñoz Farias EXT - Proceso de compras\03 Ordenes de Compra\063_15072026_SAE_INGECAF_Max service_25_OC.xlsx"/>
    <s v="procesado"/>
    <d v="2026-07-24T00:00:00"/>
    <d v="2026-07-29T00:00:00"/>
    <s v="pendiente a llegar lo de ferrelectrica"/>
    <x v="0"/>
    <x v="2"/>
    <m/>
    <d v="2026-07-14T00:00:00"/>
    <n v="-2"/>
    <m/>
    <n v="29"/>
  </r>
  <r>
    <s v="064_15072026"/>
    <s v="064_15072026_CYM_INGECAF.xlsx"/>
    <s v="064_15072026_CYM_INGECAF_cotizacion.xlsx"/>
    <s v="064_15072026_CYM_INGECAF_Comulsa_23_OC.xlsx"/>
    <n v="64"/>
    <s v="064"/>
    <s v="15-07-2026"/>
    <s v="15-07-2026"/>
    <s v="15-07-2026"/>
    <s v="CONTADO"/>
    <n v="293249"/>
    <m/>
    <s v="MAX SERVICE SEGURIDAD INDUSTRIAL SPA"/>
    <m/>
    <m/>
    <m/>
    <m/>
    <s v="C:\Users\rcayuleo\OneDrive - Transformadores Tusan SA\Archivos de Claudia Muñoz Farias EXT - Proceso de compras\03 Ordenes de Compra\064_15072026_CYM_INGECAF_Comulsa_23_OC.xlsx"/>
    <s v="procesado"/>
    <d v="2026-07-22T00:00:00"/>
    <d v="2026-07-27T00:00:00"/>
    <s v="ok"/>
    <x v="1"/>
    <x v="2"/>
    <m/>
    <m/>
    <s v=""/>
    <m/>
    <n v="29"/>
  </r>
  <r>
    <s v="064_15072026"/>
    <s v="064_15072026_CYM_INGECAF.xlsx"/>
    <s v="064_15072026_CYM_INGECAF_cotizacion.xlsx"/>
    <s v="064_15072026_CYM_INGECAF_Coprelec_24_OC.xlsx"/>
    <n v="64"/>
    <s v="064"/>
    <s v="15-07-2026"/>
    <s v="15-07-2026"/>
    <s v="15-07-2026"/>
    <s v="CREDITO"/>
    <n v="256788"/>
    <m/>
    <s v="MAX SERVICE SEGURIDAD INDUSTRIAL SPA"/>
    <m/>
    <m/>
    <m/>
    <m/>
    <s v="C:\Users\rcayuleo\OneDrive - Transformadores Tusan SA\Archivos de Claudia Muñoz Farias EXT - Proceso de compras\03 Ordenes de Compra\064_15072026_CYM_INGECAF_Coprelec_24_OC.xlsx"/>
    <s v="procesado"/>
    <d v="2026-07-22T00:00:00"/>
    <d v="2026-07-27T00:00:00"/>
    <s v="ok"/>
    <x v="0"/>
    <x v="2"/>
    <d v="2026-07-10T00:00:00"/>
    <d v="2026-07-13T00:00:00"/>
    <n v="-3"/>
    <m/>
    <n v="29"/>
  </r>
  <r>
    <s v="065_20072026"/>
    <s v="065_20072026_CYM_Maule Norte.xlsx"/>
    <s v="065_20072026_CYM_Maule norte_cotizacion.xlsx"/>
    <s v="065_20072026_CYM_Maule norte_Comulsa_54_OC.xlsx"/>
    <n v="65"/>
    <s v="065"/>
    <s v="20-07-2026"/>
    <s v="20-07-2026"/>
    <s v="20-07-2026"/>
    <s v="CONTADO"/>
    <m/>
    <s v="APOYO ACTIVO"/>
    <s v="COMULSA "/>
    <s v="Jorge Retamal "/>
    <s v="Construcción y Mantenimiento (CYM)"/>
    <s v="09 Maule Norte"/>
    <s v="Urgente"/>
    <s v="C:\Users\rcayuleo\OneDrive - Transformadores Tusan SA\Archivos de Claudia Muñoz Farias EXT - Proceso de compras\03 Ordenes de Compra\065_20072026_CYM_Maule norte_Comulsa_54_OC.xlsx"/>
    <s v="procesado"/>
    <m/>
    <d v="2026-07-27T00:00:00"/>
    <s v="ok"/>
    <x v="0"/>
    <x v="2"/>
    <d v="2026-07-17T00:00:00"/>
    <d v="2026-07-22T00:00:00"/>
    <n v="3"/>
    <m/>
    <n v="30"/>
  </r>
  <r>
    <s v="066_21072026"/>
    <s v="066_21072026_Multiproposito_Maule norte.xlsx"/>
    <m/>
    <s v="066_21072026_Multiproposito_Maule norte_Coprelec_56_OC.xlsx"/>
    <n v="66"/>
    <s v="066"/>
    <s v="21-07-2026"/>
    <m/>
    <s v="21-07-2026"/>
    <s v="CREDITO"/>
    <m/>
    <s v="APOYO ACTIVO"/>
    <s v="COPRELEC SEGURIDAD ELECTRICA E INSTRUMENTACION SPA"/>
    <s v="Dagoberto Acevedo"/>
    <s v=" MULTIPROPOSITO "/>
    <s v="09 Maule Norte"/>
    <s v="Urgente"/>
    <s v="C:\Users\rcayuleo\OneDrive - Transformadores Tusan SA\Archivos de Claudia Muñoz Farias EXT - Proceso de compras\03 Ordenes de Compra\066_21072026_Multiproposito_Maule norte_Coprelec_56_OC.xlsx"/>
    <s v="procesado"/>
    <m/>
    <d v="2026-07-21T00:00:00"/>
    <s v="ok"/>
    <x v="3"/>
    <x v="2"/>
    <m/>
    <m/>
    <s v=""/>
    <m/>
    <n v="30"/>
  </r>
  <r>
    <s v="067_21072026"/>
    <s v="067_21072026_CYM_Maule Norte.xlsx"/>
    <s v="067_21072026_CYM_Maule norte_cotizacion.xlsx"/>
    <s v="067_21072026_CYM_Maule norte_Coprelec_57_OC.xlsx"/>
    <n v="67"/>
    <s v="067"/>
    <s v="21-07-2026"/>
    <s v="21-07-2026"/>
    <s v="21-07-2026"/>
    <s v="CREDITO"/>
    <m/>
    <s v="APOYO ACTIVO"/>
    <s v="COPRELEC SEGURIDAD ELECTRICA E INSTRUMENTACION SPA"/>
    <s v="Dagoberto Acevedo"/>
    <s v="Construcción y Mantenimiento (CYM)"/>
    <s v="09 Maule Norte"/>
    <s v="Urgente"/>
    <s v="C:\Users\rcayuleo\OneDrive - Transformadores Tusan SA\Archivos de Claudia Muñoz Farias EXT - Proceso de compras\03 Ordenes de Compra\067_21072026_CYM_Maule norte_Coprelec_57_OC.xlsx"/>
    <s v="procesado"/>
    <m/>
    <d v="2026-07-21T00:00:00"/>
    <s v="ok"/>
    <x v="1"/>
    <x v="2"/>
    <m/>
    <m/>
    <s v=""/>
    <m/>
    <n v="30"/>
  </r>
  <r>
    <s v="068_22072026"/>
    <s v="068_22072026_Multiproposito_ Maule Norte.xlsx"/>
    <s v="068_22072026_Multiproposito_Maule norte_cotizacion.xlsx"/>
    <s v="068_22072026_Multiproposito_Maule norte_Coprelec_58_OC.xlsx"/>
    <n v="68"/>
    <s v="068"/>
    <s v="22-07-2026"/>
    <s v="22-07-2026"/>
    <s v="22-07-2026"/>
    <s v="CREDITO"/>
    <m/>
    <s v="APOYO ACTIVO"/>
    <s v="COPRELEC SEGURIDAD ELECTRICA E INSTRUMENTACION SPA"/>
    <s v="Esteban Pineda"/>
    <s v=" MULTIPROPOSITO "/>
    <s v="09 Maule Norte"/>
    <s v="Urgente"/>
    <s v="C:\Users\rcayuleo\OneDrive - Transformadores Tusan SA\Archivos de Claudia Muñoz Farias EXT - Proceso de compras\03 Ordenes de Compra\068_22072026_Multiproposito_Maule norte_Coprelec_58_OC.xlsx"/>
    <s v="procesado"/>
    <m/>
    <d v="2026-07-21T00:00:00"/>
    <s v="ok"/>
    <x v="1"/>
    <x v="2"/>
    <m/>
    <m/>
    <s v=""/>
    <m/>
    <n v="30"/>
  </r>
  <r>
    <s v="069_21072026"/>
    <s v="069_21072026_Servicio tecnico_Maule norte.xlsx"/>
    <s v="069_21072026_Servicio tecnico_Maule norte_cotizacion.xlsx"/>
    <s v="069_21072026_Servicio tecnico_Maule norte_Coprelec_63_OC.xlsx"/>
    <n v="69"/>
    <s v="069"/>
    <s v="21-07-2026"/>
    <s v="21-07-2026"/>
    <s v="21-07-2026"/>
    <s v="CREDITO"/>
    <m/>
    <s v="APOYO ACTIVO"/>
    <s v="COPRELEC SEGURIDAD ELECTRICA E INSTRUMENTACION SPA"/>
    <s v="Alvaro Maldonado"/>
    <s v="Servicio Técnico (SSTT)"/>
    <s v="09 Maule Norte"/>
    <s v="Urgente"/>
    <s v="C:\Users\rcayuleo\OneDrive - Transformadores Tusan SA\Archivos de Claudia Muñoz Farias EXT - Proceso de compras\03 Ordenes de Compra\069_21072026_Servicio tecnico_Maule norte_Coprelec_63_OC.xlsx"/>
    <s v="procesado"/>
    <m/>
    <d v="2026-07-28T00:00:00"/>
    <s v="oc enviada pendiente a recibir articulos "/>
    <x v="1"/>
    <x v="2"/>
    <m/>
    <m/>
    <s v=""/>
    <m/>
    <n v="30"/>
  </r>
  <r>
    <s v="018_02062026"/>
    <s v="018_02062026_CYM_INGECAF_VILLARRICA.xlsx"/>
    <s v="018_02062026_CYM_INGECAF_VILLARRICA_cotizacion.xlsx"/>
    <m/>
    <n v="18"/>
    <s v="018"/>
    <s v="02-06-2026"/>
    <s v="02-06-2026"/>
    <m/>
    <m/>
    <m/>
    <s v="INGECAF"/>
    <m/>
    <s v="Sebastian Sandoval"/>
    <s v="Prevención de Riesgo"/>
    <s v="12 Araucanía"/>
    <s v="Urgente"/>
    <m/>
    <s v="anulado"/>
    <m/>
    <m/>
    <m/>
    <x v="4"/>
    <x v="1"/>
    <m/>
    <m/>
    <s v=""/>
    <m/>
    <n v="23"/>
  </r>
  <r>
    <s v="021_03062026"/>
    <s v="021_03062026_Prevencion riesgos_Colchagua cardenal caro.xlsx"/>
    <s v="021_03062026_Prevencion riesgos_Colchagua cardenal caro.xlsx"/>
    <m/>
    <n v="21"/>
    <s v="021"/>
    <s v="03-06-2026"/>
    <s v="03-06-2026"/>
    <m/>
    <m/>
    <m/>
    <s v="APOYO ACTIVO"/>
    <m/>
    <s v="Roberto Yáñez "/>
    <s v="Prevención de Riesgo"/>
    <s v="08 Colchagua-Cardenal Caro"/>
    <s v="Urgente"/>
    <m/>
    <s v="pendiente"/>
    <m/>
    <m/>
    <m/>
    <x v="4"/>
    <x v="1"/>
    <m/>
    <m/>
    <s v=""/>
    <m/>
    <n v="23"/>
  </r>
  <r>
    <s v="026_15062026"/>
    <s v="026_15062026_Sae_Maule norte.xlsx"/>
    <s v="026_15062026_Sae_Maule norte_cotizacion.xlsx"/>
    <m/>
    <n v="26"/>
    <s v="026"/>
    <s v="15-06-2026"/>
    <s v="15-06-2026"/>
    <m/>
    <m/>
    <m/>
    <s v="APOYO ACTIVO"/>
    <m/>
    <s v="Esteban Pineda"/>
    <s v="Servicio Atención Emergencia (SAE)"/>
    <s v="09 Maule Norte"/>
    <s v="Urgente"/>
    <m/>
    <s v="no aprobado "/>
    <m/>
    <m/>
    <m/>
    <x v="4"/>
    <x v="1"/>
    <m/>
    <m/>
    <s v=""/>
    <m/>
    <n v="25"/>
  </r>
  <r>
    <s v="027_12062026"/>
    <s v="027_12062026_Sae_Maule Norte.xlsx"/>
    <s v="027_12062026_Sae_Maule Norte_cotizacion.xlsx"/>
    <m/>
    <n v="27"/>
    <s v="027"/>
    <s v="12-06-2026"/>
    <s v="12-06-2026"/>
    <m/>
    <m/>
    <m/>
    <s v="APOYO ACTIVO"/>
    <m/>
    <s v="Rodolfo Fuentes"/>
    <s v="Servicio Atención Emergencia (SAE)"/>
    <s v="09 Maule Norte"/>
    <s v="Urgente"/>
    <m/>
    <s v="no aprobado "/>
    <m/>
    <m/>
    <m/>
    <x v="4"/>
    <x v="1"/>
    <m/>
    <m/>
    <s v=""/>
    <m/>
    <n v="24"/>
  </r>
  <r>
    <s v="028_12062026"/>
    <s v="028_12062026_CYM_Maule Norte.xlsx"/>
    <s v="028_12062026_CYM_Maule Norte_cotizacion.xlsx"/>
    <m/>
    <n v="28"/>
    <s v="028"/>
    <s v="12-06-2026"/>
    <s v="12-06-2026"/>
    <m/>
    <m/>
    <m/>
    <s v="APOYO ACTIVO"/>
    <m/>
    <s v="Jorge Retamal"/>
    <s v="Construcción y Mantenimiento (CYM)"/>
    <s v="09 Maule Norte"/>
    <s v="Urgente"/>
    <m/>
    <s v="no aprobado "/>
    <m/>
    <m/>
    <m/>
    <x v="4"/>
    <x v="1"/>
    <m/>
    <m/>
    <s v=""/>
    <m/>
    <n v="24"/>
  </r>
  <r>
    <s v="029_15062026"/>
    <s v="029_15062026_Sae_Maule Norte.xlsx"/>
    <s v="029_15062026_Sae_Maule Norte_cotizacion.xlsx"/>
    <m/>
    <n v="29"/>
    <s v="029"/>
    <s v="15-06-2026"/>
    <s v="15-06-2026"/>
    <m/>
    <m/>
    <m/>
    <s v="APOYO ACTIVO"/>
    <m/>
    <s v="Rodolfo Fuentes"/>
    <s v="Servicio Atención Emergencia (SAE)"/>
    <s v="09 Maule Norte"/>
    <s v="Urgente"/>
    <m/>
    <s v="pendiente"/>
    <m/>
    <m/>
    <m/>
    <x v="4"/>
    <x v="1"/>
    <m/>
    <m/>
    <s v=""/>
    <m/>
    <n v="25"/>
  </r>
  <r>
    <s v="042_01072026"/>
    <s v="042_01072026_SAE_INGECAF_Araucania.xlsx"/>
    <s v="042_01072026_SAE_INGECAF_Araucania_cotizacion.xlsx"/>
    <m/>
    <n v="42"/>
    <s v="042"/>
    <s v="01-07-2026"/>
    <s v="01-07-2026"/>
    <m/>
    <m/>
    <m/>
    <s v="INGECAF"/>
    <m/>
    <s v="Katherine Monsalves "/>
    <s v="Servicio Atención Emergencia (SAE)"/>
    <s v="12 Araucanía"/>
    <s v="Urgente"/>
    <m/>
    <s v="pendiente"/>
    <m/>
    <m/>
    <m/>
    <x v="4"/>
    <x v="2"/>
    <m/>
    <m/>
    <s v=""/>
    <m/>
    <n v="27"/>
  </r>
  <r>
    <s v="044_02072026"/>
    <s v="044_02072026_Administracion_Maule norte.xlsx"/>
    <s v="044_02072026_Administracion_Maule norte_cotizacion.xlsx"/>
    <m/>
    <n v="44"/>
    <s v="044"/>
    <s v="02-07-2026"/>
    <s v="02-07-2026"/>
    <m/>
    <m/>
    <m/>
    <s v="APOYO ACTIVO"/>
    <m/>
    <s v="Bexsabet Opazo"/>
    <s v="Administración"/>
    <s v="09 Maule Norte"/>
    <s v="Urgente"/>
    <m/>
    <s v="procesado"/>
    <m/>
    <d v="2026-07-15T00:00:00"/>
    <s v="ok"/>
    <x v="4"/>
    <x v="2"/>
    <m/>
    <m/>
    <s v=""/>
    <m/>
    <n v="27"/>
  </r>
  <r>
    <s v="047_06072026"/>
    <s v="047_06072026_Flota_INGECAF.xlsx"/>
    <s v="047_06072026_Flota_INGECAF_cotizacion.xlsx"/>
    <m/>
    <n v="47"/>
    <s v="047"/>
    <s v="06-07-2026"/>
    <s v="06-07-2026"/>
    <m/>
    <m/>
    <m/>
    <s v="INGECAF"/>
    <m/>
    <s v="Raúl Erazo"/>
    <s v="Flota"/>
    <s v="12 Araucanía"/>
    <s v="Urgente"/>
    <m/>
    <s v="anulado"/>
    <m/>
    <m/>
    <s v="nula"/>
    <x v="2"/>
    <x v="2"/>
    <m/>
    <m/>
    <s v=""/>
    <m/>
    <n v="28"/>
  </r>
  <r>
    <s v="048_06072026"/>
    <s v="048_06072026_Administracion_INGECAF.xlsx"/>
    <s v="048_06072026_Administracion_INGECAF_cotizacion.xlsx"/>
    <m/>
    <n v="48"/>
    <s v="048"/>
    <s v="06-07-2026"/>
    <s v="06-07-2026"/>
    <m/>
    <m/>
    <m/>
    <m/>
    <m/>
    <s v="Manuel Cofré Sabaria"/>
    <s v="Administración"/>
    <s v="12 Araucanía"/>
    <s v="Planificada "/>
    <m/>
    <s v="pendiente"/>
    <m/>
    <m/>
    <s v="pendiente "/>
    <x v="4"/>
    <x v="2"/>
    <m/>
    <m/>
    <s v=""/>
    <m/>
    <n v="28"/>
  </r>
  <r>
    <s v="055_08072026"/>
    <s v="055_08072026_CYM_Maule Norte.xlsx"/>
    <s v="055_08072026_CYM_Maule Norte_cotizacion.xlsx"/>
    <m/>
    <n v="55"/>
    <s v="055"/>
    <s v="08-07-2026"/>
    <s v="08-07-2026"/>
    <m/>
    <m/>
    <m/>
    <s v="APOYO ACTIVO"/>
    <m/>
    <s v="Carlos Radatt "/>
    <s v="Construcción y Mantenimiento (CYM)"/>
    <s v="09 Maule Norte"/>
    <s v="Urgente"/>
    <m/>
    <s v="pendiente"/>
    <m/>
    <m/>
    <s v="pendiente aprobacion "/>
    <x v="4"/>
    <x v="2"/>
    <m/>
    <m/>
    <s v=""/>
    <m/>
    <n v="28"/>
  </r>
  <r>
    <s v="060_10072027"/>
    <s v="060_10072027_SAE_INGECAF.xlsx"/>
    <s v="060_10072027_SAE_INGECAF_cotizacion.xlsx"/>
    <m/>
    <n v="60"/>
    <s v="060"/>
    <s v="10-07-2027"/>
    <s v="10-07-2027"/>
    <m/>
    <m/>
    <m/>
    <m/>
    <m/>
    <m/>
    <m/>
    <m/>
    <m/>
    <m/>
    <s v="procesado"/>
    <d v="2026-07-24T00:00:00"/>
    <d v="2026-07-28T00:00:00"/>
    <s v="ok"/>
    <x v="4"/>
    <x v="3"/>
    <m/>
    <m/>
    <s v=""/>
    <m/>
    <n v="27"/>
  </r>
  <r>
    <s v="062_14072026"/>
    <s v="062_14072026_SAE_INGECAF.xlsx"/>
    <s v="062_14072026_SAE_INGECAF_cotizacion.xlsx"/>
    <m/>
    <n v="62"/>
    <s v="062"/>
    <s v="14-07-2026"/>
    <s v="14-07-2026"/>
    <m/>
    <m/>
    <m/>
    <s v="INGECAF"/>
    <m/>
    <s v="Sebastian Sandoval"/>
    <s v="Servicio Atención Emergencia (SAE)"/>
    <s v="12 Araucanía"/>
    <s v="Urgente"/>
    <m/>
    <s v="procesado"/>
    <m/>
    <d v="2026-07-17T00:00:00"/>
    <s v="ok"/>
    <x v="4"/>
    <x v="2"/>
    <m/>
    <m/>
    <s v=""/>
    <m/>
    <n v="29"/>
  </r>
  <r>
    <s v="070_22072026"/>
    <s v="070_22072026_Flota_INGECAF_Araucania.xlsx"/>
    <s v="070_22072026_Flota_INGECAF_Araucania_cotizacion.xlsx"/>
    <m/>
    <n v="70"/>
    <s v="070"/>
    <s v="22-07-2026"/>
    <s v="22-07-2026"/>
    <m/>
    <m/>
    <m/>
    <s v="INGECAF"/>
    <m/>
    <s v="Raúl Erazo"/>
    <s v="Flota"/>
    <s v="12 Araucanía"/>
    <s v="Urgente"/>
    <m/>
    <s v="pendiente"/>
    <m/>
    <m/>
    <s v="nomina pendiente de liberacion "/>
    <x v="4"/>
    <x v="2"/>
    <m/>
    <m/>
    <s v=""/>
    <m/>
    <n v="30"/>
  </r>
  <r>
    <s v="071_23072026"/>
    <s v="071_23072026_Prevencion de riesgos_Maule norte.xlsx"/>
    <s v="071_23072026_Prevencion de riesgos_Maule norte_cotizacion.xlsx"/>
    <m/>
    <n v="71"/>
    <s v="071"/>
    <s v="23-07-2026"/>
    <s v="23-07-2026"/>
    <m/>
    <m/>
    <m/>
    <s v="APOYO ACTIVO"/>
    <m/>
    <s v="Carlos Radatt "/>
    <s v="Prevención de Riesgo"/>
    <s v="09 Maule Norte"/>
    <s v="Urgente"/>
    <m/>
    <s v="pendiente"/>
    <m/>
    <m/>
    <s v="pendiente aprobacion "/>
    <x v="4"/>
    <x v="2"/>
    <m/>
    <m/>
    <s v=""/>
    <m/>
    <n v="30"/>
  </r>
  <r>
    <s v="072_23072026"/>
    <s v="072_23072026_prevencion riesgo_,maule norte.xlsx"/>
    <s v="072_23072026_prevencion riesgo_,maule norte_cotizacion.xlsx"/>
    <m/>
    <n v="72"/>
    <s v="072"/>
    <s v="23-07-2026"/>
    <s v="23-07-2026"/>
    <m/>
    <m/>
    <m/>
    <s v="APOYO ACTIVO"/>
    <m/>
    <s v="Carlos Radatt "/>
    <s v="Prevención de Riesgo"/>
    <s v="09 Maule Norte"/>
    <s v="Urgente"/>
    <m/>
    <s v="pendiente"/>
    <m/>
    <m/>
    <s v="pendiente aprobacion "/>
    <x v="4"/>
    <x v="2"/>
    <m/>
    <m/>
    <s v=""/>
    <m/>
    <n v="30"/>
  </r>
  <r>
    <s v="073_22072026"/>
    <s v="073_22072026_Adminmistracion_INGECAF_Villarrica_cotizacion.xlsx"/>
    <s v="073_22072026_Adminmistracion_INGECAF_Villarrica_cotizacion.xlsx"/>
    <m/>
    <n v="73"/>
    <s v="073"/>
    <s v="22-07-2026"/>
    <s v="22-07-2026"/>
    <m/>
    <m/>
    <m/>
    <m/>
    <m/>
    <m/>
    <m/>
    <m/>
    <m/>
    <m/>
    <m/>
    <m/>
    <m/>
    <m/>
    <x v="4"/>
    <x v="2"/>
    <m/>
    <m/>
    <s v=""/>
    <m/>
    <n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1321173"/>
    <n v="249954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n v="243450"/>
    <s v=""/>
  </r>
  <r>
    <s v="034"/>
    <n v="4175867"/>
    <n v="4175867"/>
    <s v=""/>
  </r>
  <r>
    <s v="036"/>
    <n v="98440"/>
    <n v="98442"/>
    <s v=""/>
  </r>
  <r>
    <s v="037"/>
    <n v="35196"/>
    <n v="35195"/>
    <s v=""/>
  </r>
  <r>
    <s v="038"/>
    <n v="35196"/>
    <n v="35195"/>
    <s v=""/>
  </r>
  <r>
    <s v="039"/>
    <n v="398948"/>
    <n v="398948"/>
    <s v=""/>
  </r>
  <r>
    <s v="042"/>
    <n v="1056863"/>
    <m/>
    <n v="1056863"/>
  </r>
  <r>
    <s v="045"/>
    <n v="803095"/>
    <n v="803095"/>
    <s v=""/>
  </r>
  <r>
    <s v="046"/>
    <n v="734087"/>
    <n v="734087"/>
    <s v=""/>
  </r>
  <r>
    <s v="048"/>
    <n v="394991"/>
    <m/>
    <n v="394991"/>
  </r>
  <r>
    <s v="049"/>
    <n v="44804"/>
    <n v="44804"/>
    <s v=""/>
  </r>
  <r>
    <s v="050"/>
    <n v="85661"/>
    <n v="85661"/>
    <s v=""/>
  </r>
  <r>
    <s v="051"/>
    <n v="283291"/>
    <n v="283291"/>
    <s v=""/>
  </r>
  <r>
    <s v="052"/>
    <n v="154774"/>
    <n v="154775"/>
    <s v=""/>
  </r>
  <r>
    <s v="053"/>
    <n v="99990"/>
    <n v="99990"/>
    <s v=""/>
  </r>
  <r>
    <s v="054"/>
    <n v="4003638"/>
    <m/>
    <n v="4003638"/>
  </r>
  <r>
    <s v="055"/>
    <n v="204957"/>
    <m/>
    <n v="204957"/>
  </r>
  <r>
    <s v="056"/>
    <n v="170170"/>
    <n v="170170"/>
    <s v=""/>
  </r>
  <r>
    <s v="057"/>
    <n v="1876347"/>
    <m/>
    <n v="1876347"/>
  </r>
  <r>
    <s v="058"/>
    <n v="146582"/>
    <n v="146581"/>
    <s v=""/>
  </r>
  <r>
    <s v="059"/>
    <n v="203395"/>
    <n v="203395"/>
    <s v=""/>
  </r>
  <r>
    <s v="060"/>
    <n v="36088"/>
    <m/>
    <n v="36088"/>
  </r>
  <r>
    <s v="061"/>
    <n v="200004"/>
    <m/>
    <n v="200004"/>
  </r>
  <r>
    <s v="062"/>
    <n v="432124"/>
    <m/>
    <n v="432124"/>
  </r>
  <r>
    <s v="063"/>
    <n v="470532"/>
    <n v="293249"/>
    <s v=""/>
  </r>
  <r>
    <s v="064"/>
    <n v="383766"/>
    <n v="550037"/>
    <s v=""/>
  </r>
  <r>
    <s v="065"/>
    <n v="336502"/>
    <m/>
    <n v="3365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10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08:E119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8">
      <pivotArea outline="0" collapsedLevelsAreSubtotals="1" fieldPosition="0"/>
    </format>
  </formats>
  <chartFormats count="4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10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2">
  <location ref="A48:G60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9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33:E153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9">
    <i>
      <x v="3"/>
    </i>
    <i>
      <x v="10"/>
    </i>
    <i>
      <x v="16"/>
    </i>
    <i>
      <x v="8"/>
    </i>
    <i>
      <x/>
    </i>
    <i>
      <x v="11"/>
    </i>
    <i>
      <x v="15"/>
    </i>
    <i>
      <x v="14"/>
    </i>
    <i>
      <x v="2"/>
    </i>
    <i>
      <x v="5"/>
    </i>
    <i>
      <x v="9"/>
    </i>
    <i>
      <x v="6"/>
    </i>
    <i>
      <x v="7"/>
    </i>
    <i>
      <x v="17"/>
    </i>
    <i>
      <x v="13"/>
    </i>
    <i>
      <x v="4"/>
    </i>
    <i>
      <x v="12"/>
    </i>
    <i>
      <x v="1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9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102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4">
  <location ref="A62:G73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10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8">
  <location ref="A16:K28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104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0">
  <location ref="A32:K44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10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96:E107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2" baseField="0" baseItem="0" numFmtId="41"/>
  </dataFields>
  <formats count="1">
    <format dxfId="10">
      <pivotArea outline="0" collapsedLevelsAreSubtotals="1" fieldPosition="0"/>
    </format>
  </formats>
  <chartFormats count="4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9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22:E132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11">
      <pivotArea outline="0" collapsedLevelsAreSubtotals="1" fieldPosition="0"/>
    </format>
  </formats>
  <chartFormats count="4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10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6">
  <location ref="A77:G88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9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6">
  <location ref="A3:B1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10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96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Y3:Z13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94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>
  <location ref="N1:O5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</pivotFields>
  <rowFields count="1">
    <field x="1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Items count="1">
    <i/>
  </colItems>
  <dataFields count="1">
    <dataField name="Recuento de OC" fld="0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97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4">
  <location ref="R1:X12" firstHeaderRow="1" firstDataRow="2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e Estado" fld="2" subtotal="count" baseField="0" baseItem="0"/>
  </dataFields>
  <chartFormats count="10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95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10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>
  <location ref="A33:B3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6">
        <item x="3"/>
        <item x="1"/>
        <item x="4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2"/>
  </rowFields>
  <rowItems count="6">
    <i>
      <x/>
    </i>
    <i>
      <x v="4"/>
    </i>
    <i>
      <x v="2"/>
    </i>
    <i>
      <x v="1"/>
    </i>
    <i>
      <x v="3"/>
    </i>
    <i t="grand">
      <x/>
    </i>
  </rowItems>
  <colItems count="1">
    <i/>
  </colItems>
  <dataFields count="1">
    <dataField name="Cuenta de Estado" fld="22" subtotal="count" baseField="0" baseItem="0"/>
  </dataFields>
  <chartFormats count="17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22" count="1" selected="0">
            <x v="4"/>
          </reference>
        </references>
      </pivotArea>
    </chartFormat>
    <chartFormat chart="12" format="28">
      <pivotArea type="data" outline="0" fieldPosition="0">
        <references count="2">
          <reference field="4294967294" count="1" selected="0">
            <x v="0"/>
          </reference>
          <reference field="2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10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4">
  <location ref="A1:B6" firstHeaderRow="1" firstDataRow="1" firstDataCol="1"/>
  <pivotFields count="3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9"/>
    <field x="23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5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1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09" tableType="queryTable" totalsRowShown="0" headerRowDxfId="36">
  <autoFilter ref="A1:AA109" xr:uid="{FDA11577-8B06-46D1-ADA8-5D8875297866}">
    <filterColumn colId="18">
      <filters>
        <filter val="anulada"/>
        <filter val="anulado"/>
        <filter val="no aprobado"/>
      </filters>
    </filterColumn>
  </autoFilter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35" dataCellStyle="Moneda [0]"/>
    <tableColumn id="5" xr3:uid="{E65A88A5-24CE-4A80-9F7D-8FCEFFDDBC10}" uniqueName="5" name="Empresa solicitante" queryTableFieldId="42" dataDxfId="34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33"/>
    <tableColumn id="31" xr3:uid="{C3500460-C4F6-4AB4-B89B-8B9CA9A8E046}" uniqueName="31" name="Fecha de entrega" queryTableFieldId="64" dataDxfId="32"/>
    <tableColumn id="27" xr3:uid="{F40F4A80-1B77-4557-9BE7-9B79092A2C5A}" uniqueName="27" name="Comentario" queryTableFieldId="57"/>
    <tableColumn id="6" xr3:uid="{A141DB03-FB77-4FCC-95E0-DEDE9DBFE217}" uniqueName="6" name="Estado" queryTableFieldId="6" dataDxfId="31">
      <calculatedColumnFormula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30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29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28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73" totalsRowShown="0" headerRowDxfId="19" dataDxfId="18">
  <autoFilter ref="A1:F73" xr:uid="{0EB08CB5-F347-46F6-A2BB-419FEB016475}"/>
  <tableColumns count="6">
    <tableColumn id="1" xr3:uid="{EA8F1E43-6EF0-43E9-B71B-98D3C4584ACC}" name="N° solicitud" dataDxfId="17"/>
    <tableColumn id="2" xr3:uid="{9FA8BFE5-861C-4596-A02E-A670F1BDB608}" name="Estado" dataDxfId="16"/>
    <tableColumn id="3" xr3:uid="{E58581DB-8B04-4C13-8B4F-27FC5E1AE281}" name="Empresa" dataDxfId="15"/>
    <tableColumn id="6" xr3:uid="{DAADF8D0-34FE-479B-9430-88C5F34DBAE2}" name="fecha pago " dataDxfId="14"/>
    <tableColumn id="7" xr3:uid="{7D80F5CD-A672-43F9-903B-537A4B66EACC}" name="fecha entrega" dataDxfId="13"/>
    <tableColumn id="5" xr3:uid="{16163A18-549A-4B29-B76F-2E153A8FC4F4}" name="Comentario" dataDxfId="1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36" tableType="queryTable" totalsRowShown="0" headerRowDxfId="6">
  <autoFilter ref="D74:G136" xr:uid="{35A09120-D77B-48C8-9426-9E70EA04C899}"/>
  <tableColumns count="4">
    <tableColumn id="1" xr3:uid="{170EDB67-62F3-4A39-B646-203BEE7F772D}" uniqueName="1" name="Nro solicitud" queryTableFieldId="1" dataDxfId="5"/>
    <tableColumn id="2" xr3:uid="{D7366FFB-BF7A-45A0-967E-4B233AD905E5}" uniqueName="2" name="Monto Cotizacion" queryTableFieldId="2" dataDxfId="4" dataCellStyle="Moneda [0]"/>
    <tableColumn id="3" xr3:uid="{429451C5-869E-4165-8119-4515E4C1B5C8}" uniqueName="3" name="Monto OC" queryTableFieldId="3" dataDxfId="3" dataCellStyle="Moneda [0]"/>
    <tableColumn id="4" xr3:uid="{347DAE8B-1358-4096-87AE-8BC0A688A37B}" uniqueName="4" name="Monto Faltante" queryTableFieldId="4" dataDxfId="2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3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25"/>
  <sheetViews>
    <sheetView tabSelected="1" topLeftCell="R1" zoomScale="110" zoomScaleNormal="110" workbookViewId="0">
      <selection activeCell="T96" sqref="T96"/>
    </sheetView>
  </sheetViews>
  <sheetFormatPr baseColWidth="10" defaultColWidth="11.42578125" defaultRowHeight="15"/>
  <cols>
    <col min="1" max="1" width="13.42578125" hidden="1" customWidth="1"/>
    <col min="2" max="2" width="58.85546875" style="2" hidden="1" customWidth="1"/>
    <col min="3" max="3" width="68" hidden="1" customWidth="1"/>
    <col min="4" max="4" width="79.5703125" hidden="1" customWidth="1"/>
    <col min="5" max="5" width="5.42578125" customWidth="1"/>
    <col min="6" max="6" width="15.28515625" style="6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bestFit="1" customWidth="1"/>
    <col min="18" max="18" width="81.140625" customWidth="1"/>
    <col min="19" max="19" width="16.5703125" customWidth="1"/>
    <col min="20" max="20" width="15.85546875" style="2" bestFit="1" customWidth="1"/>
    <col min="21" max="21" width="18.5703125" style="2" bestFit="1" customWidth="1"/>
    <col min="22" max="22" width="36.8554687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647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6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t="s">
        <v>16</v>
      </c>
      <c r="S1" s="10" t="s">
        <v>648</v>
      </c>
      <c r="T1" t="s">
        <v>19</v>
      </c>
      <c r="U1" s="2" t="s">
        <v>20</v>
      </c>
      <c r="V1" s="10" t="s">
        <v>541</v>
      </c>
      <c r="W1" s="31" t="s">
        <v>17</v>
      </c>
      <c r="X1" s="7" t="s">
        <v>18</v>
      </c>
      <c r="Y1" s="8" t="s">
        <v>21</v>
      </c>
      <c r="Z1" s="1" t="s">
        <v>22</v>
      </c>
      <c r="AA1" s="1" t="s">
        <v>23</v>
      </c>
    </row>
    <row r="2" spans="1:27" hidden="1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6">
        <v>485948</v>
      </c>
      <c r="L2" s="6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542</v>
      </c>
      <c r="T2" s="2">
        <v>46171</v>
      </c>
      <c r="U2" s="2">
        <v>46177</v>
      </c>
      <c r="V2"/>
      <c r="W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11">
        <f>+DATE(YEAR(Control[[#This Row],[Fecha Requisición]]),MONTH(Control[[#This Row],[Fecha Requisición]]),1)</f>
        <v>46143</v>
      </c>
      <c r="Y2" s="36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 hidden="1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6">
        <v>81998</v>
      </c>
      <c r="L3" s="6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542</v>
      </c>
      <c r="T3" s="2">
        <v>46171</v>
      </c>
      <c r="U3" s="2">
        <v>46177</v>
      </c>
      <c r="V3"/>
      <c r="W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11">
        <f>+DATE(YEAR(Control[[#This Row],[Fecha Requisición]]),MONTH(Control[[#This Row],[Fecha Requisición]]),1)</f>
        <v>46143</v>
      </c>
      <c r="Y3" s="36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hidden="1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6">
        <v>19990</v>
      </c>
      <c r="L4" s="6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542</v>
      </c>
      <c r="T4" s="2">
        <v>46171</v>
      </c>
      <c r="U4" s="2">
        <v>46177</v>
      </c>
      <c r="V4"/>
      <c r="W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11">
        <f>+DATE(YEAR(Control[[#This Row],[Fecha Requisición]]),MONTH(Control[[#This Row],[Fecha Requisición]]),1)</f>
        <v>46143</v>
      </c>
      <c r="Y4" s="36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hidden="1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6">
        <v>19190</v>
      </c>
      <c r="L5" s="6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542</v>
      </c>
      <c r="T5" s="2">
        <v>46171</v>
      </c>
      <c r="U5" s="2">
        <v>46177</v>
      </c>
      <c r="V5"/>
      <c r="W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11">
        <f>+DATE(YEAR(Control[[#This Row],[Fecha Requisición]]),MONTH(Control[[#This Row],[Fecha Requisición]]),1)</f>
        <v>46143</v>
      </c>
      <c r="Y5" s="36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hidden="1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6">
        <v>227646</v>
      </c>
      <c r="L6" s="6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542</v>
      </c>
      <c r="T6" s="2">
        <v>46168</v>
      </c>
      <c r="U6" s="2">
        <v>46171</v>
      </c>
      <c r="V6"/>
      <c r="W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11">
        <f>+DATE(YEAR(Control[[#This Row],[Fecha Requisición]]),MONTH(Control[[#This Row],[Fecha Requisición]]),1)</f>
        <v>46143</v>
      </c>
      <c r="Y6" s="36">
        <f>+IF(Control[[#This Row],[Fecha de entrega]]="","",NETWORKDAYS(Control[[#This Row],[Fecha Requisición]],Control[[#This Row],[Fecha de entrega]]))</f>
        <v>9</v>
      </c>
      <c r="AA6">
        <f>+_xlfn.ISOWEEKNUM(Control[[#This Row],[Fecha Requisición]])</f>
        <v>21</v>
      </c>
    </row>
    <row r="7" spans="1:27" hidden="1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6">
        <v>65695</v>
      </c>
      <c r="L7" s="6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542</v>
      </c>
      <c r="T7" s="2">
        <v>46171</v>
      </c>
      <c r="U7" s="2">
        <v>46171</v>
      </c>
      <c r="V7"/>
      <c r="W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11">
        <f>+DATE(YEAR(Control[[#This Row],[Fecha Requisición]]),MONTH(Control[[#This Row],[Fecha Requisición]]),1)</f>
        <v>46143</v>
      </c>
      <c r="Y7" s="36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hidden="1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6">
        <v>39999</v>
      </c>
      <c r="L8" s="6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542</v>
      </c>
      <c r="T8" s="2">
        <v>46170</v>
      </c>
      <c r="U8" s="2">
        <v>46177</v>
      </c>
      <c r="V8"/>
      <c r="W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11">
        <f>+DATE(YEAR(Control[[#This Row],[Fecha Requisición]]),MONTH(Control[[#This Row],[Fecha Requisición]]),1)</f>
        <v>46143</v>
      </c>
      <c r="Y8" s="36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hidden="1">
      <c r="A9" s="4" t="s">
        <v>69</v>
      </c>
      <c r="B9" t="s">
        <v>70</v>
      </c>
      <c r="C9" s="5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6">
        <v>364592</v>
      </c>
      <c r="L9" s="6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542</v>
      </c>
      <c r="T9" s="2">
        <v>46170</v>
      </c>
      <c r="U9" s="2">
        <v>46177</v>
      </c>
      <c r="V9"/>
      <c r="W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11">
        <f>+DATE(YEAR(Control[[#This Row],[Fecha Requisición]]),MONTH(Control[[#This Row],[Fecha Requisición]]),1)</f>
        <v>46143</v>
      </c>
      <c r="Y9" s="36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 hidden="1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6">
        <v>227646</v>
      </c>
      <c r="L10" s="6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542</v>
      </c>
      <c r="U10" s="2">
        <v>46171</v>
      </c>
      <c r="V10"/>
      <c r="W1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11">
        <f>+DATE(YEAR(Control[[#This Row],[Fecha Requisición]]),MONTH(Control[[#This Row],[Fecha Requisición]]),1)</f>
        <v>46143</v>
      </c>
      <c r="Y10" s="36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hidden="1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6">
        <v>29990</v>
      </c>
      <c r="L11" s="6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542</v>
      </c>
      <c r="T11" s="2">
        <v>46170</v>
      </c>
      <c r="U11" s="2">
        <v>46175</v>
      </c>
      <c r="V11"/>
      <c r="W1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11">
        <f>+DATE(YEAR(Control[[#This Row],[Fecha Requisición]]),MONTH(Control[[#This Row],[Fecha Requisición]]),1)</f>
        <v>46143</v>
      </c>
      <c r="Y11" s="36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hidden="1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6">
        <v>29990</v>
      </c>
      <c r="L12" s="6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542</v>
      </c>
      <c r="T12" s="2">
        <v>46171</v>
      </c>
      <c r="U12" s="2">
        <v>46175</v>
      </c>
      <c r="V12"/>
      <c r="W1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11">
        <f>+DATE(YEAR(Control[[#This Row],[Fecha Requisición]]),MONTH(Control[[#This Row],[Fecha Requisición]]),1)</f>
        <v>46143</v>
      </c>
      <c r="Y12" s="36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hidden="1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6">
        <v>71091</v>
      </c>
      <c r="L13" s="6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542</v>
      </c>
      <c r="U13" s="2">
        <v>46179</v>
      </c>
      <c r="V13"/>
      <c r="W1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11">
        <f>+DATE(YEAR(Control[[#This Row],[Fecha Requisición]]),MONTH(Control[[#This Row],[Fecha Requisición]]),1)</f>
        <v>46143</v>
      </c>
      <c r="Y13" s="36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hidden="1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6">
        <v>71091</v>
      </c>
      <c r="L14" s="6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542</v>
      </c>
      <c r="U14" s="2">
        <v>46179</v>
      </c>
      <c r="V14"/>
      <c r="W1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11">
        <f>+DATE(YEAR(Control[[#This Row],[Fecha Requisición]]),MONTH(Control[[#This Row],[Fecha Requisición]]),1)</f>
        <v>46143</v>
      </c>
      <c r="Y14" s="36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hidden="1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6">
        <v>51131</v>
      </c>
      <c r="L15" s="6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542</v>
      </c>
      <c r="T15" s="2">
        <v>46170</v>
      </c>
      <c r="U15" s="2">
        <v>46181</v>
      </c>
      <c r="V15"/>
      <c r="W1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11">
        <f>+DATE(YEAR(Control[[#This Row],[Fecha Requisición]]),MONTH(Control[[#This Row],[Fecha Requisición]]),1)</f>
        <v>46143</v>
      </c>
      <c r="Y15" s="36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 hidden="1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6">
        <v>51131</v>
      </c>
      <c r="L16" s="6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542</v>
      </c>
      <c r="T16" s="2">
        <v>46170</v>
      </c>
      <c r="U16" s="2">
        <v>46181</v>
      </c>
      <c r="V16"/>
      <c r="W1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11">
        <f>+DATE(YEAR(Control[[#This Row],[Fecha Requisición]]),MONTH(Control[[#This Row],[Fecha Requisición]]),1)</f>
        <v>46143</v>
      </c>
      <c r="Y16" s="36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hidden="1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6">
        <v>460942</v>
      </c>
      <c r="L17" s="6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542</v>
      </c>
      <c r="T17" s="2">
        <v>46170</v>
      </c>
      <c r="U17" s="2">
        <v>46181</v>
      </c>
      <c r="V17"/>
      <c r="W1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11">
        <f>+DATE(YEAR(Control[[#This Row],[Fecha Requisición]]),MONTH(Control[[#This Row],[Fecha Requisición]]),1)</f>
        <v>46143</v>
      </c>
      <c r="Y17" s="36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 hidden="1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6">
        <v>21459</v>
      </c>
      <c r="L18" s="6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542</v>
      </c>
      <c r="T18" s="2">
        <v>46170</v>
      </c>
      <c r="U18" s="2">
        <v>46170</v>
      </c>
      <c r="V18"/>
      <c r="W1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11">
        <f>+DATE(YEAR(Control[[#This Row],[Fecha Requisición]]),MONTH(Control[[#This Row],[Fecha Requisición]]),1)</f>
        <v>46143</v>
      </c>
      <c r="Y18" s="36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hidden="1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6">
        <v>64172</v>
      </c>
      <c r="L19" s="6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542</v>
      </c>
      <c r="T19" s="2">
        <v>46170</v>
      </c>
      <c r="U19" s="2">
        <v>46170</v>
      </c>
      <c r="V19"/>
      <c r="W1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11">
        <f>+DATE(YEAR(Control[[#This Row],[Fecha Requisición]]),MONTH(Control[[#This Row],[Fecha Requisición]]),1)</f>
        <v>46143</v>
      </c>
      <c r="Y19" s="36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hidden="1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6">
        <v>39190</v>
      </c>
      <c r="L20" s="6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542</v>
      </c>
      <c r="T20" s="2">
        <v>46170</v>
      </c>
      <c r="U20" s="2">
        <v>46170</v>
      </c>
      <c r="V20"/>
      <c r="W2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11">
        <f>+DATE(YEAR(Control[[#This Row],[Fecha Requisición]]),MONTH(Control[[#This Row],[Fecha Requisición]]),1)</f>
        <v>46143</v>
      </c>
      <c r="Y20" s="36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hidden="1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6">
        <v>47558</v>
      </c>
      <c r="L21" s="6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542</v>
      </c>
      <c r="T21" s="2">
        <v>46170</v>
      </c>
      <c r="U21" s="2">
        <v>46170</v>
      </c>
      <c r="V21"/>
      <c r="W2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11">
        <f>+DATE(YEAR(Control[[#This Row],[Fecha Requisición]]),MONTH(Control[[#This Row],[Fecha Requisición]]),1)</f>
        <v>46143</v>
      </c>
      <c r="Y21" s="36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hidden="1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6">
        <v>460942</v>
      </c>
      <c r="L22" s="6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542</v>
      </c>
      <c r="T22" s="2">
        <v>46170</v>
      </c>
      <c r="U22" s="2">
        <v>46170</v>
      </c>
      <c r="V22"/>
      <c r="W2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11">
        <f>+DATE(YEAR(Control[[#This Row],[Fecha Requisición]]),MONTH(Control[[#This Row],[Fecha Requisición]]),1)</f>
        <v>46143</v>
      </c>
      <c r="Y22" s="36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hidden="1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6">
        <v>130319</v>
      </c>
      <c r="L23" s="6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542</v>
      </c>
      <c r="T23" s="2">
        <v>46169</v>
      </c>
      <c r="U23" s="2">
        <v>46170</v>
      </c>
      <c r="V23"/>
      <c r="W2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11">
        <f>+DATE(YEAR(Control[[#This Row],[Fecha Requisición]]),MONTH(Control[[#This Row],[Fecha Requisición]]),1)</f>
        <v>46143</v>
      </c>
      <c r="Y23" s="36">
        <f>+IF(Control[[#This Row],[Fecha de entrega]]="","",NETWORKDAYS(Control[[#This Row],[Fecha Requisición]],Control[[#This Row],[Fecha de entrega]]))</f>
        <v>8</v>
      </c>
      <c r="AA23">
        <f>+_xlfn.ISOWEEKNUM(Control[[#This Row],[Fecha Requisición]])</f>
        <v>21</v>
      </c>
    </row>
    <row r="24" spans="1:27" hidden="1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6">
        <v>728280</v>
      </c>
      <c r="L24" s="6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542</v>
      </c>
      <c r="U24" s="2">
        <v>46176</v>
      </c>
      <c r="V24"/>
      <c r="W2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11">
        <f>+DATE(YEAR(Control[[#This Row],[Fecha Requisición]]),MONTH(Control[[#This Row],[Fecha Requisición]]),1)</f>
        <v>46174</v>
      </c>
      <c r="Y24" s="36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hidden="1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6">
        <v>101909</v>
      </c>
      <c r="L25" s="6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542</v>
      </c>
      <c r="T25" s="2">
        <v>46184</v>
      </c>
      <c r="U25" s="2">
        <v>46188</v>
      </c>
      <c r="V25"/>
      <c r="W2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11">
        <f>+DATE(YEAR(Control[[#This Row],[Fecha Requisición]]),MONTH(Control[[#This Row],[Fecha Requisición]]),1)</f>
        <v>46174</v>
      </c>
      <c r="Y25" s="36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hidden="1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6">
        <v>43358</v>
      </c>
      <c r="L26" s="6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542</v>
      </c>
      <c r="T26" s="2">
        <v>46184</v>
      </c>
      <c r="U26" s="2">
        <v>46188</v>
      </c>
      <c r="V26"/>
      <c r="W2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11">
        <f>+DATE(YEAR(Control[[#This Row],[Fecha Requisición]]),MONTH(Control[[#This Row],[Fecha Requisición]]),1)</f>
        <v>46174</v>
      </c>
      <c r="Y26" s="36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hidden="1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6">
        <v>25655</v>
      </c>
      <c r="L27" s="6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542</v>
      </c>
      <c r="T27" s="2">
        <v>46184</v>
      </c>
      <c r="U27" s="2">
        <v>46188</v>
      </c>
      <c r="V27"/>
      <c r="W2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11">
        <f>+DATE(YEAR(Control[[#This Row],[Fecha Requisición]]),MONTH(Control[[#This Row],[Fecha Requisición]]),1)</f>
        <v>46174</v>
      </c>
      <c r="Y27" s="36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hidden="1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6">
        <v>1895829</v>
      </c>
      <c r="L28" s="6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542</v>
      </c>
      <c r="T28" s="2">
        <v>46175</v>
      </c>
      <c r="V28"/>
      <c r="W2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8" s="11">
        <f>+DATE(YEAR(Control[[#This Row],[Fecha Requisición]]),MONTH(Control[[#This Row],[Fecha Requisición]]),1)</f>
        <v>46174</v>
      </c>
      <c r="Y28" s="36" t="str">
        <f>+IF(Control[[#This Row],[Fecha de entrega]]="","",NETWORKDAYS(Control[[#This Row],[Fecha Requisición]],Control[[#This Row],[Fecha de entrega]]))</f>
        <v/>
      </c>
      <c r="AA28">
        <f>+_xlfn.ISOWEEKNUM(Control[[#This Row],[Fecha Requisición]])</f>
        <v>23</v>
      </c>
    </row>
    <row r="29" spans="1:27" hidden="1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6">
        <v>584980</v>
      </c>
      <c r="L29" s="6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542</v>
      </c>
      <c r="U29" s="2">
        <v>46189</v>
      </c>
      <c r="V29"/>
      <c r="W2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11">
        <f>+DATE(YEAR(Control[[#This Row],[Fecha Requisición]]),MONTH(Control[[#This Row],[Fecha Requisición]]),1)</f>
        <v>46174</v>
      </c>
      <c r="Y29" s="36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hidden="1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6">
        <v>174204</v>
      </c>
      <c r="L30" s="6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542</v>
      </c>
      <c r="U30" s="2">
        <v>46192</v>
      </c>
      <c r="V30" t="s">
        <v>679</v>
      </c>
      <c r="W3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11">
        <f>+DATE(YEAR(Control[[#This Row],[Fecha Requisición]]),MONTH(Control[[#This Row],[Fecha Requisición]]),1)</f>
        <v>46174</v>
      </c>
      <c r="Y30" s="36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 hidden="1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6">
        <v>1281701</v>
      </c>
      <c r="L31" s="6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542</v>
      </c>
      <c r="V31" t="s">
        <v>679</v>
      </c>
      <c r="W3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1" s="11">
        <f>+DATE(YEAR(Control[[#This Row],[Fecha Requisición]]),MONTH(Control[[#This Row],[Fecha Requisición]]),1)</f>
        <v>46174</v>
      </c>
      <c r="Y31" s="36" t="str">
        <f>+IF(Control[[#This Row],[Fecha de entrega]]="","",NETWORKDAYS(Control[[#This Row],[Fecha Requisición]],Control[[#This Row],[Fecha de entrega]]))</f>
        <v/>
      </c>
      <c r="AA31">
        <f>+_xlfn.ISOWEEKNUM(Control[[#This Row],[Fecha Requisición]])</f>
        <v>23</v>
      </c>
    </row>
    <row r="32" spans="1:27" hidden="1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6">
        <v>164277</v>
      </c>
      <c r="L32" s="6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542</v>
      </c>
      <c r="V32" t="s">
        <v>679</v>
      </c>
      <c r="W3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2" s="11">
        <f>+DATE(YEAR(Control[[#This Row],[Fecha Requisición]]),MONTH(Control[[#This Row],[Fecha Requisición]]),1)</f>
        <v>46174</v>
      </c>
      <c r="Y32" s="36" t="str">
        <f>+IF(Control[[#This Row],[Fecha de entrega]]="","",NETWORKDAYS(Control[[#This Row],[Fecha Requisición]],Control[[#This Row],[Fecha de entrega]]))</f>
        <v/>
      </c>
      <c r="AA32">
        <f>+_xlfn.ISOWEEKNUM(Control[[#This Row],[Fecha Requisición]])</f>
        <v>23</v>
      </c>
    </row>
    <row r="33" spans="1:27" hidden="1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6">
        <v>475324</v>
      </c>
      <c r="L33" s="6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542</v>
      </c>
      <c r="V33" t="s">
        <v>679</v>
      </c>
      <c r="W3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3" s="11">
        <f>+DATE(YEAR(Control[[#This Row],[Fecha Requisición]]),MONTH(Control[[#This Row],[Fecha Requisición]]),1)</f>
        <v>46174</v>
      </c>
      <c r="Y33" s="36" t="str">
        <f>+IF(Control[[#This Row],[Fecha de entrega]]="","",NETWORKDAYS(Control[[#This Row],[Fecha Requisición]],Control[[#This Row],[Fecha de entrega]]))</f>
        <v/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6">
        <v>305487</v>
      </c>
      <c r="L34" s="6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545</v>
      </c>
      <c r="V34" t="s">
        <v>549</v>
      </c>
      <c r="W34" t="s">
        <v>720</v>
      </c>
      <c r="X34" s="11">
        <f>+DATE(YEAR(Control[[#This Row],[Fecha Requisición]]),MONTH(Control[[#This Row],[Fecha Requisición]]),1)</f>
        <v>46174</v>
      </c>
      <c r="Y34" s="36" t="str">
        <f>+IF(Control[[#This Row],[Fecha de entrega]]="","",NETWORKDAYS(Control[[#This Row],[Fecha Requisición]],Control[[#This Row],[Fecha de entrega]]))</f>
        <v/>
      </c>
      <c r="AA34">
        <f>+_xlfn.ISOWEEKNUM(Control[[#This Row],[Fecha Requisición]])</f>
        <v>24</v>
      </c>
    </row>
    <row r="35" spans="1:27" hidden="1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6">
        <v>320443</v>
      </c>
      <c r="L35" s="6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542</v>
      </c>
      <c r="T35" s="2">
        <v>46198</v>
      </c>
      <c r="U35" s="2">
        <v>46204</v>
      </c>
      <c r="V35" t="s">
        <v>679</v>
      </c>
      <c r="W3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11">
        <f>+DATE(YEAR(Control[[#This Row],[Fecha Requisición]]),MONTH(Control[[#This Row],[Fecha Requisición]]),1)</f>
        <v>46174</v>
      </c>
      <c r="Y35" s="36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 hidden="1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6">
        <v>929330</v>
      </c>
      <c r="L36" s="6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40" t="s">
        <v>542</v>
      </c>
      <c r="T36" s="2">
        <v>46198</v>
      </c>
      <c r="U36" s="2">
        <v>46204</v>
      </c>
      <c r="V36" s="40" t="s">
        <v>679</v>
      </c>
      <c r="W3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11">
        <f>+DATE(YEAR(Control[[#This Row],[Fecha Requisición]]),MONTH(Control[[#This Row],[Fecha Requisición]]),1)</f>
        <v>46174</v>
      </c>
      <c r="Y36" s="36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 hidden="1">
      <c r="A37" t="s">
        <v>258</v>
      </c>
      <c r="B37" t="s">
        <v>259</v>
      </c>
      <c r="C37" t="s">
        <v>260</v>
      </c>
      <c r="D37" t="s">
        <v>555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6">
        <v>929330</v>
      </c>
      <c r="L37" s="6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556</v>
      </c>
      <c r="S37" t="s">
        <v>542</v>
      </c>
      <c r="T37" s="2">
        <v>46198</v>
      </c>
      <c r="U37" s="2">
        <v>46204</v>
      </c>
      <c r="V37" t="s">
        <v>679</v>
      </c>
      <c r="W3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11">
        <f>+DATE(YEAR(Control[[#This Row],[Fecha Requisición]]),MONTH(Control[[#This Row],[Fecha Requisición]]),1)</f>
        <v>46174</v>
      </c>
      <c r="Y37" s="36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hidden="1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6">
        <v>320443</v>
      </c>
      <c r="L38" s="6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542</v>
      </c>
      <c r="T38" s="2">
        <v>46198</v>
      </c>
      <c r="U38" s="2">
        <v>46204</v>
      </c>
      <c r="V38" t="s">
        <v>679</v>
      </c>
      <c r="W3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11">
        <f>+DATE(YEAR(Control[[#This Row],[Fecha Requisición]]),MONTH(Control[[#This Row],[Fecha Requisición]]),1)</f>
        <v>46174</v>
      </c>
      <c r="Y38" s="36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hidden="1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6">
        <v>490839</v>
      </c>
      <c r="L39" s="6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542</v>
      </c>
      <c r="U39" s="2">
        <v>46178</v>
      </c>
      <c r="V39" t="s">
        <v>679</v>
      </c>
      <c r="W3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11">
        <f>+DATE(YEAR(Control[[#This Row],[Fecha Requisición]]),MONTH(Control[[#This Row],[Fecha Requisición]]),1)</f>
        <v>46174</v>
      </c>
      <c r="Y39" s="36">
        <f>+IF(Control[[#This Row],[Fecha de entrega]]="","",NETWORKDAYS(Control[[#This Row],[Fecha Requisición]],Control[[#This Row],[Fecha de entrega]]))</f>
        <v>-2</v>
      </c>
      <c r="AA39">
        <f>+_xlfn.ISOWEEKNUM(Control[[#This Row],[Fecha Requisición]])</f>
        <v>24</v>
      </c>
    </row>
    <row r="40" spans="1:27" hidden="1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6">
        <v>15257</v>
      </c>
      <c r="L40" s="6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542</v>
      </c>
      <c r="U40" s="2">
        <v>46178</v>
      </c>
      <c r="V40" t="s">
        <v>679</v>
      </c>
      <c r="W4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11">
        <f>+DATE(YEAR(Control[[#This Row],[Fecha Requisición]]),MONTH(Control[[#This Row],[Fecha Requisición]]),1)</f>
        <v>46174</v>
      </c>
      <c r="Y40" s="36">
        <f>+IF(Control[[#This Row],[Fecha de entrega]]="","",NETWORKDAYS(Control[[#This Row],[Fecha Requisición]],Control[[#This Row],[Fecha de entrega]]))</f>
        <v>-2</v>
      </c>
      <c r="AA40">
        <f>+_xlfn.ISOWEEKNUM(Control[[#This Row],[Fecha Requisición]])</f>
        <v>24</v>
      </c>
    </row>
    <row r="41" spans="1:27" hidden="1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6">
        <v>68900</v>
      </c>
      <c r="L41" s="6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542</v>
      </c>
      <c r="U41" s="2">
        <v>46178</v>
      </c>
      <c r="V41" t="s">
        <v>679</v>
      </c>
      <c r="W4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11">
        <f>+DATE(YEAR(Control[[#This Row],[Fecha Requisición]]),MONTH(Control[[#This Row],[Fecha Requisición]]),1)</f>
        <v>46174</v>
      </c>
      <c r="Y41" s="36">
        <f>+IF(Control[[#This Row],[Fecha de entrega]]="","",NETWORKDAYS(Control[[#This Row],[Fecha Requisición]],Control[[#This Row],[Fecha de entrega]]))</f>
        <v>-2</v>
      </c>
      <c r="AA41">
        <f>+_xlfn.ISOWEEKNUM(Control[[#This Row],[Fecha Requisición]])</f>
        <v>24</v>
      </c>
    </row>
    <row r="42" spans="1:27" hidden="1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6">
        <v>232348</v>
      </c>
      <c r="L42" s="6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542</v>
      </c>
      <c r="U42" s="2">
        <v>46199</v>
      </c>
      <c r="V42" t="s">
        <v>679</v>
      </c>
      <c r="W4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11">
        <f>+DATE(YEAR(Control[[#This Row],[Fecha Requisición]]),MONTH(Control[[#This Row],[Fecha Requisición]]),1)</f>
        <v>46174</v>
      </c>
      <c r="Y42" s="36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 hidden="1">
      <c r="A43" t="s">
        <v>228</v>
      </c>
      <c r="B43" t="s">
        <v>229</v>
      </c>
      <c r="C43" t="s">
        <v>229</v>
      </c>
      <c r="D43" t="s">
        <v>557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6">
        <v>89250</v>
      </c>
      <c r="L43" s="6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558</v>
      </c>
      <c r="S43" t="s">
        <v>542</v>
      </c>
      <c r="U43" s="2">
        <v>46203</v>
      </c>
      <c r="V43" t="s">
        <v>679</v>
      </c>
      <c r="W4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11">
        <f>+DATE(YEAR(Control[[#This Row],[Fecha Requisición]]),MONTH(Control[[#This Row],[Fecha Requisición]]),1)</f>
        <v>46174</v>
      </c>
      <c r="Y43" s="36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 hidden="1">
      <c r="A44" t="s">
        <v>228</v>
      </c>
      <c r="B44" t="s">
        <v>229</v>
      </c>
      <c r="C44" t="s">
        <v>229</v>
      </c>
      <c r="D44" t="s">
        <v>559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6">
        <v>65870</v>
      </c>
      <c r="L44" s="6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560</v>
      </c>
      <c r="S44" t="s">
        <v>542</v>
      </c>
      <c r="U44" s="2">
        <v>46203</v>
      </c>
      <c r="V44" t="s">
        <v>679</v>
      </c>
      <c r="W4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11">
        <f>+DATE(YEAR(Control[[#This Row],[Fecha Requisición]]),MONTH(Control[[#This Row],[Fecha Requisición]]),1)</f>
        <v>46174</v>
      </c>
      <c r="Y44" s="36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 hidden="1">
      <c r="A45" t="s">
        <v>287</v>
      </c>
      <c r="B45" t="s">
        <v>288</v>
      </c>
      <c r="C45" t="s">
        <v>288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6">
        <v>336502</v>
      </c>
      <c r="L45" s="6" t="s">
        <v>55</v>
      </c>
      <c r="M45" t="s">
        <v>561</v>
      </c>
      <c r="N45" t="s">
        <v>204</v>
      </c>
      <c r="P45" t="s">
        <v>58</v>
      </c>
      <c r="Q45" t="s">
        <v>36</v>
      </c>
      <c r="R45" t="s">
        <v>292</v>
      </c>
      <c r="S45" t="s">
        <v>542</v>
      </c>
      <c r="U45" s="2">
        <v>46571</v>
      </c>
      <c r="V45" t="s">
        <v>679</v>
      </c>
      <c r="W4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11">
        <f>+DATE(YEAR(Control[[#This Row],[Fecha Requisición]]),MONTH(Control[[#This Row],[Fecha Requisición]]),1)</f>
        <v>46174</v>
      </c>
      <c r="Y45" s="36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 hidden="1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6">
        <v>48552</v>
      </c>
      <c r="L46" s="6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542</v>
      </c>
      <c r="V46" t="s">
        <v>679</v>
      </c>
      <c r="W4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46" s="11">
        <f>+DATE(YEAR(Control[[#This Row],[Fecha Requisición]]),MONTH(Control[[#This Row],[Fecha Requisición]]),1)</f>
        <v>46174</v>
      </c>
      <c r="Y46" s="36" t="str">
        <f>+IF(Control[[#This Row],[Fecha de entrega]]="","",NETWORKDAYS(Control[[#This Row],[Fecha Requisición]],Control[[#This Row],[Fecha de entrega]]))</f>
        <v/>
      </c>
      <c r="AA46">
        <f>+_xlfn.ISOWEEKNUM(Control[[#This Row],[Fecha Requisición]])</f>
        <v>25</v>
      </c>
    </row>
    <row r="47" spans="1:27" hidden="1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6">
        <v>243450</v>
      </c>
      <c r="L47" s="6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542</v>
      </c>
      <c r="U47" s="2">
        <v>46198</v>
      </c>
      <c r="V47" t="s">
        <v>679</v>
      </c>
      <c r="W4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11">
        <f>+DATE(YEAR(Control[[#This Row],[Fecha Requisición]]),MONTH(Control[[#This Row],[Fecha Requisición]]),1)</f>
        <v>46174</v>
      </c>
      <c r="Y47" s="36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 hidden="1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6">
        <v>335894</v>
      </c>
      <c r="L48" s="6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542</v>
      </c>
      <c r="U48" s="2">
        <v>46209</v>
      </c>
      <c r="V48" t="s">
        <v>679</v>
      </c>
      <c r="W4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11">
        <f>+DATE(YEAR(Control[[#This Row],[Fecha Requisición]]),MONTH(Control[[#This Row],[Fecha Requisición]]),1)</f>
        <v>46174</v>
      </c>
      <c r="Y48" s="36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 hidden="1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6">
        <v>3287381</v>
      </c>
      <c r="L49" s="6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542</v>
      </c>
      <c r="U49" s="2">
        <v>46209</v>
      </c>
      <c r="V49" t="s">
        <v>679</v>
      </c>
      <c r="W4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11">
        <f>+DATE(YEAR(Control[[#This Row],[Fecha Requisición]]),MONTH(Control[[#This Row],[Fecha Requisición]]),1)</f>
        <v>46174</v>
      </c>
      <c r="Y49" s="36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hidden="1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6">
        <v>238455</v>
      </c>
      <c r="L50" s="6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542</v>
      </c>
      <c r="U50" s="2">
        <v>46209</v>
      </c>
      <c r="V50" t="s">
        <v>679</v>
      </c>
      <c r="W5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11">
        <f>+DATE(YEAR(Control[[#This Row],[Fecha Requisición]]),MONTH(Control[[#This Row],[Fecha Requisición]]),1)</f>
        <v>46174</v>
      </c>
      <c r="Y50" s="36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hidden="1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6">
        <v>127330</v>
      </c>
      <c r="L51" s="6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542</v>
      </c>
      <c r="U51" s="2">
        <v>46209</v>
      </c>
      <c r="V51" t="s">
        <v>679</v>
      </c>
      <c r="W5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11">
        <f>+DATE(YEAR(Control[[#This Row],[Fecha Requisición]]),MONTH(Control[[#This Row],[Fecha Requisición]]),1)</f>
        <v>46174</v>
      </c>
      <c r="Y51" s="36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 hidden="1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6">
        <v>186807</v>
      </c>
      <c r="L52" s="6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40" t="s">
        <v>542</v>
      </c>
      <c r="U52" s="2">
        <v>46209</v>
      </c>
      <c r="V52" s="40" t="s">
        <v>679</v>
      </c>
      <c r="W5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11">
        <f>+DATE(YEAR(Control[[#This Row],[Fecha Requisición]]),MONTH(Control[[#This Row],[Fecha Requisición]]),1)</f>
        <v>46174</v>
      </c>
      <c r="Y52" s="36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 hidden="1">
      <c r="A53" t="s">
        <v>324</v>
      </c>
      <c r="B53" t="s">
        <v>325</v>
      </c>
      <c r="C53" t="s">
        <v>325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6">
        <v>102295</v>
      </c>
      <c r="L53" s="6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542</v>
      </c>
      <c r="U53" s="2">
        <v>46211</v>
      </c>
      <c r="V53" t="s">
        <v>679</v>
      </c>
      <c r="W5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11">
        <f>+DATE(YEAR(Control[[#This Row],[Fecha Requisición]]),MONTH(Control[[#This Row],[Fecha Requisición]]),1)</f>
        <v>46174</v>
      </c>
      <c r="Y53" s="36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 hidden="1">
      <c r="A54" t="s">
        <v>330</v>
      </c>
      <c r="B54" t="s">
        <v>331</v>
      </c>
      <c r="C54" t="s">
        <v>332</v>
      </c>
      <c r="D54" t="s">
        <v>562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6">
        <v>98442</v>
      </c>
      <c r="L54" s="6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563</v>
      </c>
      <c r="S54" t="s">
        <v>542</v>
      </c>
      <c r="U54" s="2">
        <v>46211</v>
      </c>
      <c r="V54" t="s">
        <v>679</v>
      </c>
      <c r="W5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11">
        <f>+DATE(YEAR(Control[[#This Row],[Fecha Requisición]]),MONTH(Control[[#This Row],[Fecha Requisición]]),1)</f>
        <v>46174</v>
      </c>
      <c r="Y54" s="36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 hidden="1">
      <c r="A55" t="s">
        <v>334</v>
      </c>
      <c r="B55" t="s">
        <v>335</v>
      </c>
      <c r="C55" t="s">
        <v>336</v>
      </c>
      <c r="D55" t="s">
        <v>564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6">
        <v>35195</v>
      </c>
      <c r="L55" s="6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565</v>
      </c>
      <c r="S55" t="s">
        <v>542</v>
      </c>
      <c r="U55" s="2">
        <v>46209</v>
      </c>
      <c r="V55" t="s">
        <v>679</v>
      </c>
      <c r="W5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11">
        <f>+DATE(YEAR(Control[[#This Row],[Fecha Requisición]]),MONTH(Control[[#This Row],[Fecha Requisición]]),1)</f>
        <v>46174</v>
      </c>
      <c r="Y55" s="36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 hidden="1">
      <c r="A56" t="s">
        <v>339</v>
      </c>
      <c r="B56" t="s">
        <v>340</v>
      </c>
      <c r="C56" t="s">
        <v>341</v>
      </c>
      <c r="D56" t="s">
        <v>566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6">
        <v>35195</v>
      </c>
      <c r="L56" s="6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567</v>
      </c>
      <c r="S56" t="s">
        <v>542</v>
      </c>
      <c r="U56" s="2">
        <v>46209</v>
      </c>
      <c r="V56" t="s">
        <v>679</v>
      </c>
      <c r="W5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11">
        <f>+DATE(YEAR(Control[[#This Row],[Fecha Requisición]]),MONTH(Control[[#This Row],[Fecha Requisición]]),1)</f>
        <v>46174</v>
      </c>
      <c r="Y56" s="36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 hidden="1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6">
        <v>398948</v>
      </c>
      <c r="L57" s="6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542</v>
      </c>
      <c r="U57" s="2">
        <v>46211</v>
      </c>
      <c r="V57" t="s">
        <v>679</v>
      </c>
      <c r="W5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11">
        <f>+DATE(YEAR(Control[[#This Row],[Fecha Requisición]]),MONTH(Control[[#This Row],[Fecha Requisición]]),1)</f>
        <v>46174</v>
      </c>
      <c r="Y57" s="36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 hidden="1">
      <c r="A58" t="s">
        <v>350</v>
      </c>
      <c r="B58" t="s">
        <v>351</v>
      </c>
      <c r="C58" t="s">
        <v>683</v>
      </c>
      <c r="D58" t="s">
        <v>568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6">
        <v>825384</v>
      </c>
      <c r="L58" s="6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569</v>
      </c>
      <c r="S58" t="s">
        <v>542</v>
      </c>
      <c r="U58" s="2">
        <v>46211</v>
      </c>
      <c r="V58" t="s">
        <v>679</v>
      </c>
      <c r="W5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11">
        <f>+DATE(YEAR(Control[[#This Row],[Fecha Requisición]]),MONTH(Control[[#This Row],[Fecha Requisición]]),1)</f>
        <v>46174</v>
      </c>
      <c r="Y58" s="36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 hidden="1">
      <c r="A59" t="s">
        <v>359</v>
      </c>
      <c r="B59" t="s">
        <v>360</v>
      </c>
      <c r="C59" t="s">
        <v>684</v>
      </c>
      <c r="D59" t="s">
        <v>570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6"/>
      <c r="L59" s="6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571</v>
      </c>
      <c r="S59" t="s">
        <v>542</v>
      </c>
      <c r="U59" s="2">
        <v>46217</v>
      </c>
      <c r="V59" t="s">
        <v>679</v>
      </c>
      <c r="W5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11">
        <f>+DATE(YEAR(Control[[#This Row],[Fecha Requisición]]),MONTH(Control[[#This Row],[Fecha Requisición]]),1)</f>
        <v>46174</v>
      </c>
      <c r="Y59" s="36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 hidden="1">
      <c r="A60" t="s">
        <v>359</v>
      </c>
      <c r="B60" t="s">
        <v>360</v>
      </c>
      <c r="C60" t="s">
        <v>684</v>
      </c>
      <c r="D60" t="s">
        <v>572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6">
        <v>522648</v>
      </c>
      <c r="L60" s="6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573</v>
      </c>
      <c r="S60" t="s">
        <v>542</v>
      </c>
      <c r="U60" s="2">
        <v>46217</v>
      </c>
      <c r="V60" t="s">
        <v>679</v>
      </c>
      <c r="W6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11">
        <f>+DATE(YEAR(Control[[#This Row],[Fecha Requisición]]),MONTH(Control[[#This Row],[Fecha Requisición]]),1)</f>
        <v>46174</v>
      </c>
      <c r="Y60" s="36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 hidden="1">
      <c r="A61" t="s">
        <v>363</v>
      </c>
      <c r="B61" t="s">
        <v>364</v>
      </c>
      <c r="C61" t="s">
        <v>365</v>
      </c>
      <c r="D61" t="s">
        <v>574</v>
      </c>
      <c r="E61">
        <v>43</v>
      </c>
      <c r="F61" t="s">
        <v>366</v>
      </c>
      <c r="G61" t="s">
        <v>367</v>
      </c>
      <c r="H61" t="s">
        <v>367</v>
      </c>
      <c r="I61" t="s">
        <v>367</v>
      </c>
      <c r="J61" t="s">
        <v>30</v>
      </c>
      <c r="K61" s="6">
        <v>356393</v>
      </c>
      <c r="L61" s="6" t="s">
        <v>31</v>
      </c>
      <c r="M61" t="s">
        <v>166</v>
      </c>
      <c r="N61" t="s">
        <v>307</v>
      </c>
      <c r="O61" t="s">
        <v>34</v>
      </c>
      <c r="P61" t="s">
        <v>273</v>
      </c>
      <c r="Q61" t="s">
        <v>36</v>
      </c>
      <c r="R61" t="s">
        <v>575</v>
      </c>
      <c r="S61" t="s">
        <v>542</v>
      </c>
      <c r="T61" s="2">
        <v>46216</v>
      </c>
      <c r="U61" s="2">
        <v>46223</v>
      </c>
      <c r="V61" t="s">
        <v>679</v>
      </c>
      <c r="W6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11">
        <f>+DATE(YEAR(Control[[#This Row],[Fecha Requisición]]),MONTH(Control[[#This Row],[Fecha Requisición]]),1)</f>
        <v>46204</v>
      </c>
      <c r="Y61" s="36">
        <f>+IF(Control[[#This Row],[Fecha de entrega]]="","",NETWORKDAYS(Control[[#This Row],[Fecha Requisición]],Control[[#This Row],[Fecha de entrega]]))</f>
        <v>13</v>
      </c>
      <c r="AA61">
        <f>+_xlfn.ISOWEEKNUM(Control[[#This Row],[Fecha Requisición]])</f>
        <v>27</v>
      </c>
    </row>
    <row r="62" spans="1:27" hidden="1">
      <c r="A62" t="s">
        <v>363</v>
      </c>
      <c r="B62" t="s">
        <v>364</v>
      </c>
      <c r="C62" t="s">
        <v>365</v>
      </c>
      <c r="D62" t="s">
        <v>576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6"/>
      <c r="L62" s="6" t="s">
        <v>31</v>
      </c>
      <c r="M62" t="s">
        <v>243</v>
      </c>
      <c r="N62" t="s">
        <v>307</v>
      </c>
      <c r="O62" t="s">
        <v>34</v>
      </c>
      <c r="P62" t="s">
        <v>273</v>
      </c>
      <c r="Q62" t="s">
        <v>36</v>
      </c>
      <c r="R62" t="s">
        <v>577</v>
      </c>
      <c r="S62" t="s">
        <v>542</v>
      </c>
      <c r="T62" s="2">
        <v>46216</v>
      </c>
      <c r="U62" s="2">
        <v>46223</v>
      </c>
      <c r="V62" t="s">
        <v>679</v>
      </c>
      <c r="W6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11">
        <f>+DATE(YEAR(Control[[#This Row],[Fecha Requisición]]),MONTH(Control[[#This Row],[Fecha Requisición]]),1)</f>
        <v>46204</v>
      </c>
      <c r="Y62" s="36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 hidden="1">
      <c r="A63" t="s">
        <v>363</v>
      </c>
      <c r="B63" t="s">
        <v>364</v>
      </c>
      <c r="C63" t="s">
        <v>365</v>
      </c>
      <c r="D63" t="s">
        <v>578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6"/>
      <c r="L63" s="6" t="s">
        <v>31</v>
      </c>
      <c r="M63" t="s">
        <v>148</v>
      </c>
      <c r="N63" t="s">
        <v>307</v>
      </c>
      <c r="O63" t="s">
        <v>34</v>
      </c>
      <c r="P63" t="s">
        <v>273</v>
      </c>
      <c r="Q63" t="s">
        <v>36</v>
      </c>
      <c r="R63" t="s">
        <v>579</v>
      </c>
      <c r="S63" t="s">
        <v>542</v>
      </c>
      <c r="T63" s="2">
        <v>46216</v>
      </c>
      <c r="U63" s="2">
        <v>46223</v>
      </c>
      <c r="V63" t="s">
        <v>679</v>
      </c>
      <c r="W6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11">
        <f>+DATE(YEAR(Control[[#This Row],[Fecha Requisición]]),MONTH(Control[[#This Row],[Fecha Requisición]]),1)</f>
        <v>46204</v>
      </c>
      <c r="Y63" s="36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 hidden="1">
      <c r="A64" t="s">
        <v>363</v>
      </c>
      <c r="B64" t="s">
        <v>364</v>
      </c>
      <c r="C64" t="s">
        <v>365</v>
      </c>
      <c r="D64" t="s">
        <v>580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39</v>
      </c>
      <c r="K64" s="6"/>
      <c r="L64" s="6" t="s">
        <v>31</v>
      </c>
      <c r="M64" t="s">
        <v>74</v>
      </c>
      <c r="N64" t="s">
        <v>307</v>
      </c>
      <c r="O64" t="s">
        <v>34</v>
      </c>
      <c r="P64" t="s">
        <v>273</v>
      </c>
      <c r="Q64" t="s">
        <v>36</v>
      </c>
      <c r="R64" t="s">
        <v>581</v>
      </c>
      <c r="S64" s="41" t="s">
        <v>542</v>
      </c>
      <c r="T64" s="2">
        <v>46216</v>
      </c>
      <c r="U64" s="2">
        <v>46223</v>
      </c>
      <c r="V64" s="41" t="s">
        <v>679</v>
      </c>
      <c r="W6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11">
        <f>+DATE(YEAR(Control[[#This Row],[Fecha Requisición]]),MONTH(Control[[#This Row],[Fecha Requisición]]),1)</f>
        <v>46204</v>
      </c>
      <c r="Y64" s="36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 hidden="1">
      <c r="A65" t="s">
        <v>372</v>
      </c>
      <c r="B65" t="s">
        <v>373</v>
      </c>
      <c r="C65" t="s">
        <v>582</v>
      </c>
      <c r="D65" t="s">
        <v>583</v>
      </c>
      <c r="E65">
        <v>45</v>
      </c>
      <c r="F65" t="s">
        <v>374</v>
      </c>
      <c r="G65" t="s">
        <v>375</v>
      </c>
      <c r="H65" t="s">
        <v>375</v>
      </c>
      <c r="I65" t="s">
        <v>375</v>
      </c>
      <c r="J65" t="s">
        <v>30</v>
      </c>
      <c r="K65" s="6">
        <v>803095</v>
      </c>
      <c r="L65" s="6" t="s">
        <v>55</v>
      </c>
      <c r="M65" t="s">
        <v>32</v>
      </c>
      <c r="N65" t="s">
        <v>204</v>
      </c>
      <c r="P65" t="s">
        <v>58</v>
      </c>
      <c r="Q65" t="s">
        <v>59</v>
      </c>
      <c r="R65" t="s">
        <v>584</v>
      </c>
      <c r="S65" s="41" t="s">
        <v>542</v>
      </c>
      <c r="U65" s="2">
        <v>46211</v>
      </c>
      <c r="V65" s="41" t="s">
        <v>679</v>
      </c>
      <c r="W6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11">
        <f>+DATE(YEAR(Control[[#This Row],[Fecha Requisición]]),MONTH(Control[[#This Row],[Fecha Requisición]]),1)</f>
        <v>46204</v>
      </c>
      <c r="Y65" s="36">
        <f>+IF(Control[[#This Row],[Fecha de entrega]]="","",NETWORKDAYS(Control[[#This Row],[Fecha Requisición]],Control[[#This Row],[Fecha de entrega]]))</f>
        <v>3</v>
      </c>
      <c r="AA65">
        <f>+_xlfn.ISOWEEKNUM(Control[[#This Row],[Fecha Requisición]])</f>
        <v>27</v>
      </c>
    </row>
    <row r="66" spans="1:27" hidden="1">
      <c r="A66" t="s">
        <v>376</v>
      </c>
      <c r="B66" t="s">
        <v>377</v>
      </c>
      <c r="C66" t="s">
        <v>585</v>
      </c>
      <c r="D66" t="s">
        <v>586</v>
      </c>
      <c r="E66">
        <v>46</v>
      </c>
      <c r="F66" t="s">
        <v>378</v>
      </c>
      <c r="G66" t="s">
        <v>375</v>
      </c>
      <c r="H66" t="s">
        <v>375</v>
      </c>
      <c r="I66" t="s">
        <v>375</v>
      </c>
      <c r="J66" t="s">
        <v>30</v>
      </c>
      <c r="K66" s="6">
        <v>734087</v>
      </c>
      <c r="L66" s="6" t="s">
        <v>55</v>
      </c>
      <c r="M66" t="s">
        <v>32</v>
      </c>
      <c r="N66" t="s">
        <v>204</v>
      </c>
      <c r="P66" t="s">
        <v>58</v>
      </c>
      <c r="Q66" t="s">
        <v>59</v>
      </c>
      <c r="R66" t="s">
        <v>587</v>
      </c>
      <c r="S66" s="41" t="s">
        <v>546</v>
      </c>
      <c r="V66" s="41" t="s">
        <v>548</v>
      </c>
      <c r="W6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6" s="11">
        <f>+DATE(YEAR(Control[[#This Row],[Fecha Requisición]]),MONTH(Control[[#This Row],[Fecha Requisición]]),1)</f>
        <v>46204</v>
      </c>
      <c r="Y66" s="36" t="str">
        <f>+IF(Control[[#This Row],[Fecha de entrega]]="","",NETWORKDAYS(Control[[#This Row],[Fecha Requisición]],Control[[#This Row],[Fecha de entrega]]))</f>
        <v/>
      </c>
      <c r="AA66">
        <f>+_xlfn.ISOWEEKNUM(Control[[#This Row],[Fecha Requisición]])</f>
        <v>27</v>
      </c>
    </row>
    <row r="67" spans="1:27" hidden="1">
      <c r="A67" t="s">
        <v>389</v>
      </c>
      <c r="B67" t="s">
        <v>390</v>
      </c>
      <c r="C67" t="s">
        <v>588</v>
      </c>
      <c r="D67" t="s">
        <v>589</v>
      </c>
      <c r="E67">
        <v>49</v>
      </c>
      <c r="F67" t="s">
        <v>391</v>
      </c>
      <c r="G67" t="s">
        <v>382</v>
      </c>
      <c r="H67" t="s">
        <v>382</v>
      </c>
      <c r="I67" t="s">
        <v>382</v>
      </c>
      <c r="J67" t="s">
        <v>30</v>
      </c>
      <c r="K67" s="6">
        <v>44804</v>
      </c>
      <c r="L67" s="6" t="s">
        <v>31</v>
      </c>
      <c r="M67" t="s">
        <v>243</v>
      </c>
      <c r="N67" t="s">
        <v>307</v>
      </c>
      <c r="O67" t="s">
        <v>101</v>
      </c>
      <c r="P67" t="s">
        <v>392</v>
      </c>
      <c r="Q67" t="s">
        <v>36</v>
      </c>
      <c r="R67" t="s">
        <v>590</v>
      </c>
      <c r="S67" s="40" t="s">
        <v>542</v>
      </c>
      <c r="U67" s="2">
        <v>46218</v>
      </c>
      <c r="V67" s="40" t="s">
        <v>679</v>
      </c>
      <c r="W6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11">
        <f>+DATE(YEAR(Control[[#This Row],[Fecha Requisición]]),MONTH(Control[[#This Row],[Fecha Requisición]]),1)</f>
        <v>46204</v>
      </c>
      <c r="Y67" s="36">
        <f>+IF(Control[[#This Row],[Fecha de entrega]]="","",NETWORKDAYS(Control[[#This Row],[Fecha Requisición]],Control[[#This Row],[Fecha de entrega]]))</f>
        <v>8</v>
      </c>
      <c r="AA67">
        <f>+_xlfn.ISOWEEKNUM(Control[[#This Row],[Fecha Requisición]])</f>
        <v>28</v>
      </c>
    </row>
    <row r="68" spans="1:27" hidden="1">
      <c r="A68" t="s">
        <v>393</v>
      </c>
      <c r="B68" t="s">
        <v>394</v>
      </c>
      <c r="C68" t="s">
        <v>591</v>
      </c>
      <c r="D68" t="s">
        <v>592</v>
      </c>
      <c r="E68">
        <v>50</v>
      </c>
      <c r="F68" t="s">
        <v>395</v>
      </c>
      <c r="G68" t="s">
        <v>396</v>
      </c>
      <c r="H68" t="s">
        <v>396</v>
      </c>
      <c r="I68" t="s">
        <v>396</v>
      </c>
      <c r="J68" t="s">
        <v>30</v>
      </c>
      <c r="K68" s="6">
        <v>85661</v>
      </c>
      <c r="L68" s="6" t="s">
        <v>55</v>
      </c>
      <c r="M68" t="s">
        <v>74</v>
      </c>
      <c r="N68" t="s">
        <v>383</v>
      </c>
      <c r="O68" t="s">
        <v>384</v>
      </c>
      <c r="P68" t="s">
        <v>58</v>
      </c>
      <c r="Q68" t="s">
        <v>36</v>
      </c>
      <c r="R68" t="s">
        <v>593</v>
      </c>
      <c r="S68" s="41" t="s">
        <v>542</v>
      </c>
      <c r="T68" s="2">
        <v>46213</v>
      </c>
      <c r="U68" s="2">
        <v>46217</v>
      </c>
      <c r="V68" s="41" t="s">
        <v>679</v>
      </c>
      <c r="W6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11">
        <f>+DATE(YEAR(Control[[#This Row],[Fecha Requisición]]),MONTH(Control[[#This Row],[Fecha Requisición]]),1)</f>
        <v>46204</v>
      </c>
      <c r="Y68" s="36">
        <f>+IF(Control[[#This Row],[Fecha de entrega]]="","",NETWORKDAYS(Control[[#This Row],[Fecha Requisición]],Control[[#This Row],[Fecha de entrega]]))</f>
        <v>6</v>
      </c>
      <c r="AA68">
        <f>+_xlfn.ISOWEEKNUM(Control[[#This Row],[Fecha Requisición]])</f>
        <v>28</v>
      </c>
    </row>
    <row r="69" spans="1:27" hidden="1">
      <c r="A69" t="s">
        <v>397</v>
      </c>
      <c r="B69" t="s">
        <v>398</v>
      </c>
      <c r="C69" t="s">
        <v>594</v>
      </c>
      <c r="D69" t="s">
        <v>595</v>
      </c>
      <c r="E69">
        <v>51</v>
      </c>
      <c r="F69" t="s">
        <v>399</v>
      </c>
      <c r="G69" t="s">
        <v>382</v>
      </c>
      <c r="H69" t="s">
        <v>382</v>
      </c>
      <c r="I69" t="s">
        <v>382</v>
      </c>
      <c r="J69" t="s">
        <v>30</v>
      </c>
      <c r="K69" s="6">
        <v>283291</v>
      </c>
      <c r="L69" s="6" t="s">
        <v>31</v>
      </c>
      <c r="M69" t="s">
        <v>166</v>
      </c>
      <c r="N69" t="s">
        <v>400</v>
      </c>
      <c r="O69" t="s">
        <v>86</v>
      </c>
      <c r="P69" t="s">
        <v>35</v>
      </c>
      <c r="Q69" t="s">
        <v>59</v>
      </c>
      <c r="R69" t="s">
        <v>596</v>
      </c>
      <c r="S69" s="41" t="s">
        <v>542</v>
      </c>
      <c r="U69" s="2">
        <v>46213</v>
      </c>
      <c r="V69" s="41" t="s">
        <v>679</v>
      </c>
      <c r="W6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11">
        <f>+DATE(YEAR(Control[[#This Row],[Fecha Requisición]]),MONTH(Control[[#This Row],[Fecha Requisición]]),1)</f>
        <v>46204</v>
      </c>
      <c r="Y69" s="36">
        <f>+IF(Control[[#This Row],[Fecha de entrega]]="","",NETWORKDAYS(Control[[#This Row],[Fecha Requisición]],Control[[#This Row],[Fecha de entrega]]))</f>
        <v>5</v>
      </c>
      <c r="AA69">
        <f>+_xlfn.ISOWEEKNUM(Control[[#This Row],[Fecha Requisición]])</f>
        <v>28</v>
      </c>
    </row>
    <row r="70" spans="1:27" hidden="1">
      <c r="A70" t="s">
        <v>401</v>
      </c>
      <c r="B70" t="s">
        <v>402</v>
      </c>
      <c r="C70" t="s">
        <v>597</v>
      </c>
      <c r="D70" t="s">
        <v>598</v>
      </c>
      <c r="E70">
        <v>52</v>
      </c>
      <c r="F70" t="s">
        <v>403</v>
      </c>
      <c r="G70" t="s">
        <v>396</v>
      </c>
      <c r="H70" t="s">
        <v>396</v>
      </c>
      <c r="I70" t="s">
        <v>396</v>
      </c>
      <c r="J70" t="s">
        <v>39</v>
      </c>
      <c r="K70" s="6">
        <v>46686</v>
      </c>
      <c r="L70" s="6"/>
      <c r="M70" t="s">
        <v>148</v>
      </c>
      <c r="R70" t="s">
        <v>599</v>
      </c>
      <c r="S70" s="41" t="s">
        <v>542</v>
      </c>
      <c r="U70" s="2">
        <v>46218</v>
      </c>
      <c r="V70" s="41" t="s">
        <v>679</v>
      </c>
      <c r="W7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11">
        <f>+DATE(YEAR(Control[[#This Row],[Fecha Requisición]]),MONTH(Control[[#This Row],[Fecha Requisición]]),1)</f>
        <v>46204</v>
      </c>
      <c r="Y70" s="36">
        <f>+IF(Control[[#This Row],[Fecha de entrega]]="","",NETWORKDAYS(Control[[#This Row],[Fecha Requisición]],Control[[#This Row],[Fecha de entrega]]))</f>
        <v>7</v>
      </c>
      <c r="AA70">
        <f>+_xlfn.ISOWEEKNUM(Control[[#This Row],[Fecha Requisición]])</f>
        <v>28</v>
      </c>
    </row>
    <row r="71" spans="1:27" hidden="1">
      <c r="A71" t="s">
        <v>401</v>
      </c>
      <c r="B71" t="s">
        <v>402</v>
      </c>
      <c r="C71" t="s">
        <v>597</v>
      </c>
      <c r="D71" t="s">
        <v>600</v>
      </c>
      <c r="E71">
        <v>52</v>
      </c>
      <c r="F71" t="s">
        <v>403</v>
      </c>
      <c r="G71" t="s">
        <v>396</v>
      </c>
      <c r="H71" t="s">
        <v>396</v>
      </c>
      <c r="I71" t="s">
        <v>396</v>
      </c>
      <c r="J71" t="s">
        <v>30</v>
      </c>
      <c r="K71" s="6">
        <v>108089</v>
      </c>
      <c r="L71" s="6"/>
      <c r="M71" t="s">
        <v>32</v>
      </c>
      <c r="R71" t="s">
        <v>601</v>
      </c>
      <c r="S71" s="41" t="s">
        <v>542</v>
      </c>
      <c r="U71" s="2">
        <v>46218</v>
      </c>
      <c r="V71" s="41" t="s">
        <v>679</v>
      </c>
      <c r="W7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11">
        <f>+DATE(YEAR(Control[[#This Row],[Fecha Requisición]]),MONTH(Control[[#This Row],[Fecha Requisición]]),1)</f>
        <v>46204</v>
      </c>
      <c r="Y71" s="36">
        <f>+IF(Control[[#This Row],[Fecha de entrega]]="","",NETWORKDAYS(Control[[#This Row],[Fecha Requisición]],Control[[#This Row],[Fecha de entrega]]))</f>
        <v>7</v>
      </c>
      <c r="AA71">
        <f>+_xlfn.ISOWEEKNUM(Control[[#This Row],[Fecha Requisición]])</f>
        <v>28</v>
      </c>
    </row>
    <row r="72" spans="1:27" hidden="1">
      <c r="A72" t="s">
        <v>404</v>
      </c>
      <c r="B72" t="s">
        <v>405</v>
      </c>
      <c r="C72" t="s">
        <v>602</v>
      </c>
      <c r="D72" t="s">
        <v>603</v>
      </c>
      <c r="E72">
        <v>53</v>
      </c>
      <c r="F72" t="s">
        <v>406</v>
      </c>
      <c r="G72" t="s">
        <v>407</v>
      </c>
      <c r="H72" t="s">
        <v>407</v>
      </c>
      <c r="I72" t="s">
        <v>407</v>
      </c>
      <c r="J72" t="s">
        <v>39</v>
      </c>
      <c r="K72" s="6">
        <v>99990</v>
      </c>
      <c r="L72" s="6" t="s">
        <v>31</v>
      </c>
      <c r="M72" t="s">
        <v>604</v>
      </c>
      <c r="N72" t="s">
        <v>196</v>
      </c>
      <c r="O72" t="s">
        <v>197</v>
      </c>
      <c r="P72" t="s">
        <v>75</v>
      </c>
      <c r="Q72" t="s">
        <v>36</v>
      </c>
      <c r="R72" t="s">
        <v>605</v>
      </c>
      <c r="S72" s="41" t="s">
        <v>542</v>
      </c>
      <c r="T72" s="2">
        <v>46213</v>
      </c>
      <c r="U72" s="2">
        <v>46218</v>
      </c>
      <c r="V72" s="41" t="s">
        <v>679</v>
      </c>
      <c r="W7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11">
        <f>+DATE(YEAR(Control[[#This Row],[Fecha Requisición]]),MONTH(Control[[#This Row],[Fecha Requisición]]),1)</f>
        <v>46204</v>
      </c>
      <c r="Y72" s="36">
        <f>+IF(Control[[#This Row],[Fecha de entrega]]="","",NETWORKDAYS(Control[[#This Row],[Fecha Requisición]],Control[[#This Row],[Fecha de entrega]]))</f>
        <v>6</v>
      </c>
      <c r="AA72">
        <f>+_xlfn.ISOWEEKNUM(Control[[#This Row],[Fecha Requisición]])</f>
        <v>28</v>
      </c>
    </row>
    <row r="73" spans="1:27" hidden="1">
      <c r="A73" t="s">
        <v>408</v>
      </c>
      <c r="B73" t="s">
        <v>409</v>
      </c>
      <c r="C73" t="s">
        <v>637</v>
      </c>
      <c r="D73" t="s">
        <v>685</v>
      </c>
      <c r="E73">
        <v>54</v>
      </c>
      <c r="F73" t="s">
        <v>410</v>
      </c>
      <c r="G73" t="s">
        <v>407</v>
      </c>
      <c r="H73" t="s">
        <v>407</v>
      </c>
      <c r="I73" t="s">
        <v>407</v>
      </c>
      <c r="J73" t="s">
        <v>30</v>
      </c>
      <c r="K73" s="6"/>
      <c r="L73" s="6" t="s">
        <v>31</v>
      </c>
      <c r="M73" t="s">
        <v>243</v>
      </c>
      <c r="N73" t="s">
        <v>307</v>
      </c>
      <c r="O73" t="s">
        <v>197</v>
      </c>
      <c r="P73" t="s">
        <v>124</v>
      </c>
      <c r="Q73" t="s">
        <v>36</v>
      </c>
      <c r="R73" t="s">
        <v>686</v>
      </c>
      <c r="S73" t="s">
        <v>542</v>
      </c>
      <c r="U73" s="2">
        <v>46224</v>
      </c>
      <c r="V73" t="s">
        <v>679</v>
      </c>
      <c r="W7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11">
        <f>+DATE(YEAR(Control[[#This Row],[Fecha Requisición]]),MONTH(Control[[#This Row],[Fecha Requisición]]),1)</f>
        <v>46204</v>
      </c>
      <c r="Y73" s="36">
        <f>+IF(Control[[#This Row],[Fecha de entrega]]="","",NETWORKDAYS(Control[[#This Row],[Fecha Requisición]],Control[[#This Row],[Fecha de entrega]]))</f>
        <v>10</v>
      </c>
      <c r="AA73">
        <f>+_xlfn.ISOWEEKNUM(Control[[#This Row],[Fecha Requisición]])</f>
        <v>28</v>
      </c>
    </row>
    <row r="74" spans="1:27" hidden="1">
      <c r="A74" t="s">
        <v>414</v>
      </c>
      <c r="B74" t="s">
        <v>415</v>
      </c>
      <c r="C74" t="s">
        <v>606</v>
      </c>
      <c r="D74" t="s">
        <v>607</v>
      </c>
      <c r="E74">
        <v>56</v>
      </c>
      <c r="F74" t="s">
        <v>416</v>
      </c>
      <c r="G74" t="s">
        <v>417</v>
      </c>
      <c r="H74" t="s">
        <v>417</v>
      </c>
      <c r="I74" t="s">
        <v>417</v>
      </c>
      <c r="J74" t="s">
        <v>30</v>
      </c>
      <c r="K74" s="6">
        <v>170170</v>
      </c>
      <c r="L74" s="6" t="s">
        <v>55</v>
      </c>
      <c r="M74" t="s">
        <v>32</v>
      </c>
      <c r="N74" t="s">
        <v>204</v>
      </c>
      <c r="P74" t="s">
        <v>58</v>
      </c>
      <c r="Q74" t="s">
        <v>36</v>
      </c>
      <c r="R74" t="s">
        <v>608</v>
      </c>
      <c r="S74" t="s">
        <v>542</v>
      </c>
      <c r="U74" s="2">
        <v>46217</v>
      </c>
      <c r="V74"/>
      <c r="W7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11">
        <f>+DATE(YEAR(Control[[#This Row],[Fecha Requisición]]),MONTH(Control[[#This Row],[Fecha Requisición]]),1)</f>
        <v>46204</v>
      </c>
      <c r="Y74" s="36">
        <f>+IF(Control[[#This Row],[Fecha de entrega]]="","",NETWORKDAYS(Control[[#This Row],[Fecha Requisición]],Control[[#This Row],[Fecha de entrega]]))</f>
        <v>4</v>
      </c>
      <c r="AA74">
        <f>+_xlfn.ISOWEEKNUM(Control[[#This Row],[Fecha Requisición]])</f>
        <v>28</v>
      </c>
    </row>
    <row r="75" spans="1:27" hidden="1">
      <c r="A75" t="s">
        <v>418</v>
      </c>
      <c r="B75" t="s">
        <v>419</v>
      </c>
      <c r="C75" t="s">
        <v>639</v>
      </c>
      <c r="D75" t="s">
        <v>687</v>
      </c>
      <c r="E75">
        <v>57</v>
      </c>
      <c r="F75" t="s">
        <v>420</v>
      </c>
      <c r="G75" t="s">
        <v>407</v>
      </c>
      <c r="H75" t="s">
        <v>407</v>
      </c>
      <c r="I75" t="s">
        <v>407</v>
      </c>
      <c r="J75" t="s">
        <v>39</v>
      </c>
      <c r="K75" s="6"/>
      <c r="L75" s="6" t="s">
        <v>31</v>
      </c>
      <c r="M75" t="s">
        <v>243</v>
      </c>
      <c r="N75" t="s">
        <v>421</v>
      </c>
      <c r="O75" t="s">
        <v>101</v>
      </c>
      <c r="P75" t="s">
        <v>124</v>
      </c>
      <c r="Q75" t="s">
        <v>36</v>
      </c>
      <c r="R75" t="s">
        <v>688</v>
      </c>
      <c r="S75" t="s">
        <v>542</v>
      </c>
      <c r="T75" s="2">
        <v>46225</v>
      </c>
      <c r="U75" s="2">
        <v>46231</v>
      </c>
      <c r="V75"/>
      <c r="W7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11">
        <f>+DATE(YEAR(Control[[#This Row],[Fecha Requisición]]),MONTH(Control[[#This Row],[Fecha Requisición]]),1)</f>
        <v>46204</v>
      </c>
      <c r="Y75" s="36">
        <f>+IF(Control[[#This Row],[Fecha de entrega]]="","",NETWORKDAYS(Control[[#This Row],[Fecha Requisición]],Control[[#This Row],[Fecha de entrega]]))</f>
        <v>15</v>
      </c>
      <c r="AA75">
        <f>+_xlfn.ISOWEEKNUM(Control[[#This Row],[Fecha Requisición]])</f>
        <v>28</v>
      </c>
    </row>
    <row r="76" spans="1:27" hidden="1">
      <c r="A76" t="s">
        <v>418</v>
      </c>
      <c r="B76" t="s">
        <v>419</v>
      </c>
      <c r="C76" t="s">
        <v>639</v>
      </c>
      <c r="D76" t="s">
        <v>689</v>
      </c>
      <c r="E76">
        <v>57</v>
      </c>
      <c r="F76" t="s">
        <v>420</v>
      </c>
      <c r="G76" t="s">
        <v>407</v>
      </c>
      <c r="H76" t="s">
        <v>407</v>
      </c>
      <c r="I76" t="s">
        <v>407</v>
      </c>
      <c r="J76" t="s">
        <v>30</v>
      </c>
      <c r="K76" s="6"/>
      <c r="L76" s="6" t="s">
        <v>31</v>
      </c>
      <c r="M76" t="s">
        <v>243</v>
      </c>
      <c r="N76" t="s">
        <v>421</v>
      </c>
      <c r="O76" t="s">
        <v>101</v>
      </c>
      <c r="P76" t="s">
        <v>124</v>
      </c>
      <c r="Q76" t="s">
        <v>36</v>
      </c>
      <c r="R76" t="s">
        <v>690</v>
      </c>
      <c r="S76" t="s">
        <v>542</v>
      </c>
      <c r="T76" s="2">
        <v>46225</v>
      </c>
      <c r="U76" s="2">
        <v>46231</v>
      </c>
      <c r="V76"/>
      <c r="W7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11">
        <f>+DATE(YEAR(Control[[#This Row],[Fecha Requisición]]),MONTH(Control[[#This Row],[Fecha Requisición]]),1)</f>
        <v>46204</v>
      </c>
      <c r="Y76" s="36">
        <f>+IF(Control[[#This Row],[Fecha de entrega]]="","",NETWORKDAYS(Control[[#This Row],[Fecha Requisición]],Control[[#This Row],[Fecha de entrega]]))</f>
        <v>15</v>
      </c>
      <c r="AA76">
        <f>+_xlfn.ISOWEEKNUM(Control[[#This Row],[Fecha Requisición]])</f>
        <v>28</v>
      </c>
    </row>
    <row r="77" spans="1:27" hidden="1">
      <c r="A77" t="s">
        <v>418</v>
      </c>
      <c r="B77" t="s">
        <v>419</v>
      </c>
      <c r="C77" t="s">
        <v>639</v>
      </c>
      <c r="D77" t="s">
        <v>691</v>
      </c>
      <c r="E77">
        <v>57</v>
      </c>
      <c r="F77" t="s">
        <v>420</v>
      </c>
      <c r="G77" t="s">
        <v>407</v>
      </c>
      <c r="H77" t="s">
        <v>407</v>
      </c>
      <c r="I77" t="s">
        <v>407</v>
      </c>
      <c r="J77" t="s">
        <v>39</v>
      </c>
      <c r="K77" s="6"/>
      <c r="L77" s="6" t="s">
        <v>31</v>
      </c>
      <c r="M77" t="s">
        <v>74</v>
      </c>
      <c r="N77" t="s">
        <v>421</v>
      </c>
      <c r="O77" t="s">
        <v>101</v>
      </c>
      <c r="P77" t="s">
        <v>124</v>
      </c>
      <c r="Q77" t="s">
        <v>36</v>
      </c>
      <c r="R77" t="s">
        <v>692</v>
      </c>
      <c r="S77" t="s">
        <v>542</v>
      </c>
      <c r="T77" s="2">
        <v>46225</v>
      </c>
      <c r="U77" s="2">
        <v>46231</v>
      </c>
      <c r="V77"/>
      <c r="W7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11">
        <f>+DATE(YEAR(Control[[#This Row],[Fecha Requisición]]),MONTH(Control[[#This Row],[Fecha Requisición]]),1)</f>
        <v>46204</v>
      </c>
      <c r="Y77" s="36">
        <f>+IF(Control[[#This Row],[Fecha de entrega]]="","",NETWORKDAYS(Control[[#This Row],[Fecha Requisición]],Control[[#This Row],[Fecha de entrega]]))</f>
        <v>15</v>
      </c>
      <c r="AA77">
        <f>+_xlfn.ISOWEEKNUM(Control[[#This Row],[Fecha Requisición]])</f>
        <v>28</v>
      </c>
    </row>
    <row r="78" spans="1:27" hidden="1">
      <c r="A78" t="s">
        <v>418</v>
      </c>
      <c r="B78" t="s">
        <v>419</v>
      </c>
      <c r="C78" t="s">
        <v>639</v>
      </c>
      <c r="D78" t="s">
        <v>693</v>
      </c>
      <c r="E78">
        <v>57</v>
      </c>
      <c r="F78" t="s">
        <v>420</v>
      </c>
      <c r="G78" t="s">
        <v>407</v>
      </c>
      <c r="H78" t="s">
        <v>407</v>
      </c>
      <c r="I78" t="s">
        <v>407</v>
      </c>
      <c r="J78" t="s">
        <v>39</v>
      </c>
      <c r="K78" s="6"/>
      <c r="L78" s="6" t="s">
        <v>31</v>
      </c>
      <c r="M78" t="s">
        <v>694</v>
      </c>
      <c r="N78" t="s">
        <v>421</v>
      </c>
      <c r="O78" t="s">
        <v>101</v>
      </c>
      <c r="P78" t="s">
        <v>124</v>
      </c>
      <c r="Q78" t="s">
        <v>36</v>
      </c>
      <c r="R78" t="s">
        <v>695</v>
      </c>
      <c r="S78" t="s">
        <v>542</v>
      </c>
      <c r="T78" s="2">
        <v>46225</v>
      </c>
      <c r="U78" s="2">
        <v>46231</v>
      </c>
      <c r="V78"/>
      <c r="W7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11">
        <f>+DATE(YEAR(Control[[#This Row],[Fecha Requisición]]),MONTH(Control[[#This Row],[Fecha Requisición]]),1)</f>
        <v>46204</v>
      </c>
      <c r="Y78" s="36">
        <f>+IF(Control[[#This Row],[Fecha de entrega]]="","",NETWORKDAYS(Control[[#This Row],[Fecha Requisición]],Control[[#This Row],[Fecha de entrega]]))</f>
        <v>15</v>
      </c>
      <c r="AA78">
        <f>+_xlfn.ISOWEEKNUM(Control[[#This Row],[Fecha Requisición]])</f>
        <v>28</v>
      </c>
    </row>
    <row r="79" spans="1:27" hidden="1">
      <c r="A79" t="s">
        <v>422</v>
      </c>
      <c r="B79" t="s">
        <v>423</v>
      </c>
      <c r="C79" t="s">
        <v>609</v>
      </c>
      <c r="D79" t="s">
        <v>610</v>
      </c>
      <c r="E79">
        <v>58</v>
      </c>
      <c r="F79" t="s">
        <v>424</v>
      </c>
      <c r="G79" t="s">
        <v>417</v>
      </c>
      <c r="H79" t="s">
        <v>417</v>
      </c>
      <c r="I79" t="s">
        <v>417</v>
      </c>
      <c r="J79" t="s">
        <v>39</v>
      </c>
      <c r="K79" s="6">
        <v>146581</v>
      </c>
      <c r="L79" s="6" t="s">
        <v>31</v>
      </c>
      <c r="M79" t="s">
        <v>174</v>
      </c>
      <c r="N79" t="s">
        <v>371</v>
      </c>
      <c r="O79" t="s">
        <v>176</v>
      </c>
      <c r="P79" t="s">
        <v>124</v>
      </c>
      <c r="Q79" t="s">
        <v>36</v>
      </c>
      <c r="R79" t="s">
        <v>611</v>
      </c>
      <c r="S79" t="s">
        <v>542</v>
      </c>
      <c r="T79" s="2">
        <v>46213</v>
      </c>
      <c r="U79" s="2">
        <v>46226</v>
      </c>
      <c r="V79" t="s">
        <v>679</v>
      </c>
      <c r="W7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11">
        <f>+DATE(YEAR(Control[[#This Row],[Fecha Requisición]]),MONTH(Control[[#This Row],[Fecha Requisición]]),1)</f>
        <v>46204</v>
      </c>
      <c r="Y79" s="36">
        <f>+IF(Control[[#This Row],[Fecha de entrega]]="","",NETWORKDAYS(Control[[#This Row],[Fecha Requisición]],Control[[#This Row],[Fecha de entrega]]))</f>
        <v>11</v>
      </c>
      <c r="AA79">
        <f>+_xlfn.ISOWEEKNUM(Control[[#This Row],[Fecha Requisición]])</f>
        <v>28</v>
      </c>
    </row>
    <row r="80" spans="1:27" hidden="1">
      <c r="A80" t="s">
        <v>425</v>
      </c>
      <c r="B80" t="s">
        <v>426</v>
      </c>
      <c r="C80" t="s">
        <v>612</v>
      </c>
      <c r="D80" t="s">
        <v>613</v>
      </c>
      <c r="E80">
        <v>59</v>
      </c>
      <c r="F80" t="s">
        <v>427</v>
      </c>
      <c r="G80" t="s">
        <v>428</v>
      </c>
      <c r="H80" t="s">
        <v>428</v>
      </c>
      <c r="I80" t="s">
        <v>428</v>
      </c>
      <c r="J80" t="s">
        <v>39</v>
      </c>
      <c r="K80" s="6">
        <v>203395</v>
      </c>
      <c r="L80" s="6" t="s">
        <v>55</v>
      </c>
      <c r="M80" t="s">
        <v>614</v>
      </c>
      <c r="N80" t="s">
        <v>383</v>
      </c>
      <c r="O80" t="s">
        <v>384</v>
      </c>
      <c r="P80" t="s">
        <v>58</v>
      </c>
      <c r="Q80" t="s">
        <v>36</v>
      </c>
      <c r="R80" t="s">
        <v>615</v>
      </c>
      <c r="S80" t="s">
        <v>542</v>
      </c>
      <c r="T80" s="2">
        <v>46220</v>
      </c>
      <c r="U80" s="2">
        <v>46225</v>
      </c>
      <c r="V80" t="s">
        <v>679</v>
      </c>
      <c r="W8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11">
        <f>+DATE(YEAR(Control[[#This Row],[Fecha Requisición]]),MONTH(Control[[#This Row],[Fecha Requisición]]),1)</f>
        <v>46204</v>
      </c>
      <c r="Y80" s="36">
        <f>+IF(Control[[#This Row],[Fecha de entrega]]="","",NETWORKDAYS(Control[[#This Row],[Fecha Requisición]],Control[[#This Row],[Fecha de entrega]]))</f>
        <v>9</v>
      </c>
      <c r="AA80">
        <f>+_xlfn.ISOWEEKNUM(Control[[#This Row],[Fecha Requisición]])</f>
        <v>28</v>
      </c>
    </row>
    <row r="81" spans="1:27" hidden="1">
      <c r="A81" t="s">
        <v>433</v>
      </c>
      <c r="B81" t="s">
        <v>434</v>
      </c>
      <c r="C81" t="s">
        <v>616</v>
      </c>
      <c r="D81" t="s">
        <v>617</v>
      </c>
      <c r="E81">
        <v>61</v>
      </c>
      <c r="F81" t="s">
        <v>435</v>
      </c>
      <c r="G81" t="s">
        <v>436</v>
      </c>
      <c r="H81" t="s">
        <v>436</v>
      </c>
      <c r="I81" t="s">
        <v>436</v>
      </c>
      <c r="J81" t="s">
        <v>39</v>
      </c>
      <c r="K81" s="6"/>
      <c r="L81" s="6" t="s">
        <v>31</v>
      </c>
      <c r="M81" t="s">
        <v>618</v>
      </c>
      <c r="N81" t="s">
        <v>437</v>
      </c>
      <c r="P81" t="s">
        <v>57</v>
      </c>
      <c r="Q81">
        <v>46216</v>
      </c>
      <c r="R81" t="s">
        <v>619</v>
      </c>
      <c r="S81" t="s">
        <v>542</v>
      </c>
      <c r="T81" s="2">
        <v>46224</v>
      </c>
      <c r="U81" s="2">
        <v>46230</v>
      </c>
      <c r="V81" t="s">
        <v>679</v>
      </c>
      <c r="W8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11">
        <f>+DATE(YEAR(Control[[#This Row],[Fecha Requisición]]),MONTH(Control[[#This Row],[Fecha Requisición]]),1)</f>
        <v>46204</v>
      </c>
      <c r="Y81" s="36">
        <f>+IF(Control[[#This Row],[Fecha de entrega]]="","",NETWORKDAYS(Control[[#This Row],[Fecha Requisición]],Control[[#This Row],[Fecha de entrega]]))</f>
        <v>11</v>
      </c>
      <c r="AA81">
        <f>+_xlfn.ISOWEEKNUM(Control[[#This Row],[Fecha Requisición]])</f>
        <v>29</v>
      </c>
    </row>
    <row r="82" spans="1:27" hidden="1">
      <c r="A82" t="s">
        <v>433</v>
      </c>
      <c r="B82" t="s">
        <v>434</v>
      </c>
      <c r="C82" t="s">
        <v>616</v>
      </c>
      <c r="D82" t="s">
        <v>617</v>
      </c>
      <c r="E82">
        <v>61</v>
      </c>
      <c r="F82" t="s">
        <v>435</v>
      </c>
      <c r="G82" t="s">
        <v>436</v>
      </c>
      <c r="H82" t="s">
        <v>436</v>
      </c>
      <c r="I82" t="s">
        <v>436</v>
      </c>
      <c r="J82" t="s">
        <v>39</v>
      </c>
      <c r="K82" s="6"/>
      <c r="L82" s="6" t="s">
        <v>31</v>
      </c>
      <c r="M82" t="s">
        <v>618</v>
      </c>
      <c r="N82" t="s">
        <v>437</v>
      </c>
      <c r="P82" t="s">
        <v>35</v>
      </c>
      <c r="Q82" t="s">
        <v>59</v>
      </c>
      <c r="R82" t="s">
        <v>619</v>
      </c>
      <c r="S82" t="s">
        <v>542</v>
      </c>
      <c r="T82" s="2">
        <v>46224</v>
      </c>
      <c r="U82" s="2">
        <v>46230</v>
      </c>
      <c r="V82" t="s">
        <v>679</v>
      </c>
      <c r="W8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11">
        <f>+DATE(YEAR(Control[[#This Row],[Fecha Requisición]]),MONTH(Control[[#This Row],[Fecha Requisición]]),1)</f>
        <v>46204</v>
      </c>
      <c r="Y82" s="36">
        <f>+IF(Control[[#This Row],[Fecha de entrega]]="","",NETWORKDAYS(Control[[#This Row],[Fecha Requisición]],Control[[#This Row],[Fecha de entrega]]))</f>
        <v>11</v>
      </c>
      <c r="AA82">
        <f>+_xlfn.ISOWEEKNUM(Control[[#This Row],[Fecha Requisición]])</f>
        <v>29</v>
      </c>
    </row>
    <row r="83" spans="1:27" hidden="1">
      <c r="A83" t="s">
        <v>433</v>
      </c>
      <c r="B83" t="s">
        <v>434</v>
      </c>
      <c r="C83" t="s">
        <v>616</v>
      </c>
      <c r="D83" t="s">
        <v>620</v>
      </c>
      <c r="E83">
        <v>61</v>
      </c>
      <c r="F83" t="s">
        <v>435</v>
      </c>
      <c r="G83" t="s">
        <v>436</v>
      </c>
      <c r="H83" t="s">
        <v>436</v>
      </c>
      <c r="I83" t="s">
        <v>436</v>
      </c>
      <c r="J83" t="s">
        <v>39</v>
      </c>
      <c r="K83" s="6"/>
      <c r="L83" s="6" t="s">
        <v>31</v>
      </c>
      <c r="M83" t="s">
        <v>174</v>
      </c>
      <c r="N83" t="s">
        <v>437</v>
      </c>
      <c r="P83" t="s">
        <v>57</v>
      </c>
      <c r="Q83">
        <v>46216</v>
      </c>
      <c r="R83" t="s">
        <v>621</v>
      </c>
      <c r="S83" t="s">
        <v>542</v>
      </c>
      <c r="T83" s="2">
        <v>46224</v>
      </c>
      <c r="U83" s="2">
        <v>46230</v>
      </c>
      <c r="V83" t="s">
        <v>679</v>
      </c>
      <c r="W8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11">
        <f>+DATE(YEAR(Control[[#This Row],[Fecha Requisición]]),MONTH(Control[[#This Row],[Fecha Requisición]]),1)</f>
        <v>46204</v>
      </c>
      <c r="Y83" s="36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29</v>
      </c>
    </row>
    <row r="84" spans="1:27" hidden="1">
      <c r="A84" t="s">
        <v>433</v>
      </c>
      <c r="B84" t="s">
        <v>434</v>
      </c>
      <c r="C84" t="s">
        <v>616</v>
      </c>
      <c r="D84" t="s">
        <v>620</v>
      </c>
      <c r="E84">
        <v>61</v>
      </c>
      <c r="F84" t="s">
        <v>435</v>
      </c>
      <c r="G84" t="s">
        <v>436</v>
      </c>
      <c r="H84" t="s">
        <v>436</v>
      </c>
      <c r="I84" t="s">
        <v>436</v>
      </c>
      <c r="J84" t="s">
        <v>39</v>
      </c>
      <c r="K84" s="6"/>
      <c r="L84" s="6" t="s">
        <v>31</v>
      </c>
      <c r="M84" t="s">
        <v>174</v>
      </c>
      <c r="N84" t="s">
        <v>437</v>
      </c>
      <c r="P84" t="s">
        <v>35</v>
      </c>
      <c r="Q84" t="s">
        <v>59</v>
      </c>
      <c r="R84" t="s">
        <v>621</v>
      </c>
      <c r="S84" t="s">
        <v>542</v>
      </c>
      <c r="T84" s="2">
        <v>46224</v>
      </c>
      <c r="U84" s="2">
        <v>46230</v>
      </c>
      <c r="V84" t="s">
        <v>679</v>
      </c>
      <c r="W8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11">
        <f>+DATE(YEAR(Control[[#This Row],[Fecha Requisición]]),MONTH(Control[[#This Row],[Fecha Requisición]]),1)</f>
        <v>46204</v>
      </c>
      <c r="Y84" s="36">
        <f>+IF(Control[[#This Row],[Fecha de entrega]]="","",NETWORKDAYS(Control[[#This Row],[Fecha Requisición]],Control[[#This Row],[Fecha de entrega]]))</f>
        <v>11</v>
      </c>
      <c r="AA84">
        <f>+_xlfn.ISOWEEKNUM(Control[[#This Row],[Fecha Requisición]])</f>
        <v>29</v>
      </c>
    </row>
    <row r="85" spans="1:27" hidden="1">
      <c r="A85" t="s">
        <v>622</v>
      </c>
      <c r="B85" t="s">
        <v>623</v>
      </c>
      <c r="C85" t="s">
        <v>624</v>
      </c>
      <c r="D85" t="s">
        <v>625</v>
      </c>
      <c r="E85">
        <v>63</v>
      </c>
      <c r="F85" t="s">
        <v>552</v>
      </c>
      <c r="G85" t="s">
        <v>626</v>
      </c>
      <c r="H85" t="s">
        <v>626</v>
      </c>
      <c r="I85" t="s">
        <v>626</v>
      </c>
      <c r="J85" t="s">
        <v>30</v>
      </c>
      <c r="K85" s="6">
        <v>293249</v>
      </c>
      <c r="L85" s="6" t="s">
        <v>55</v>
      </c>
      <c r="M85" t="s">
        <v>32</v>
      </c>
      <c r="N85" t="s">
        <v>358</v>
      </c>
      <c r="O85" t="s">
        <v>101</v>
      </c>
      <c r="P85" t="s">
        <v>58</v>
      </c>
      <c r="Q85" t="s">
        <v>36</v>
      </c>
      <c r="R85" t="s">
        <v>627</v>
      </c>
      <c r="S85" t="s">
        <v>542</v>
      </c>
      <c r="T85" s="2">
        <v>46227</v>
      </c>
      <c r="U85" s="2">
        <v>46232</v>
      </c>
      <c r="V85" t="s">
        <v>680</v>
      </c>
      <c r="W8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11">
        <f>+DATE(YEAR(Control[[#This Row],[Fecha Requisición]]),MONTH(Control[[#This Row],[Fecha Requisición]]),1)</f>
        <v>46204</v>
      </c>
      <c r="Y85" s="36">
        <f>+IF(Control[[#This Row],[Fecha de entrega]]="","",NETWORKDAYS(Control[[#This Row],[Fecha Requisición]],Control[[#This Row],[Fecha de entrega]]))</f>
        <v>11</v>
      </c>
      <c r="AA85">
        <f>+_xlfn.ISOWEEKNUM(Control[[#This Row],[Fecha Requisición]])</f>
        <v>29</v>
      </c>
    </row>
    <row r="86" spans="1:27" hidden="1">
      <c r="A86" t="s">
        <v>628</v>
      </c>
      <c r="B86" t="s">
        <v>629</v>
      </c>
      <c r="C86" t="s">
        <v>630</v>
      </c>
      <c r="D86" t="s">
        <v>631</v>
      </c>
      <c r="E86">
        <v>64</v>
      </c>
      <c r="F86" t="s">
        <v>553</v>
      </c>
      <c r="G86" t="s">
        <v>626</v>
      </c>
      <c r="H86" t="s">
        <v>626</v>
      </c>
      <c r="I86" t="s">
        <v>626</v>
      </c>
      <c r="J86" t="s">
        <v>39</v>
      </c>
      <c r="K86" s="6">
        <v>293249</v>
      </c>
      <c r="L86" s="6"/>
      <c r="M86" t="s">
        <v>32</v>
      </c>
      <c r="R86" t="s">
        <v>632</v>
      </c>
      <c r="S86" t="s">
        <v>542</v>
      </c>
      <c r="T86" s="2">
        <v>46225</v>
      </c>
      <c r="U86" s="2">
        <v>46230</v>
      </c>
      <c r="V86" t="s">
        <v>679</v>
      </c>
      <c r="W8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11">
        <f>+DATE(YEAR(Control[[#This Row],[Fecha Requisición]]),MONTH(Control[[#This Row],[Fecha Requisición]]),1)</f>
        <v>46204</v>
      </c>
      <c r="Y86" s="36">
        <f>+IF(Control[[#This Row],[Fecha de entrega]]="","",NETWORKDAYS(Control[[#This Row],[Fecha Requisición]],Control[[#This Row],[Fecha de entrega]]))</f>
        <v>9</v>
      </c>
      <c r="AA86">
        <f>+_xlfn.ISOWEEKNUM(Control[[#This Row],[Fecha Requisición]])</f>
        <v>29</v>
      </c>
    </row>
    <row r="87" spans="1:27" hidden="1">
      <c r="A87" t="s">
        <v>628</v>
      </c>
      <c r="B87" t="s">
        <v>629</v>
      </c>
      <c r="C87" t="s">
        <v>630</v>
      </c>
      <c r="D87" t="s">
        <v>633</v>
      </c>
      <c r="E87">
        <v>64</v>
      </c>
      <c r="F87" t="s">
        <v>553</v>
      </c>
      <c r="G87" t="s">
        <v>626</v>
      </c>
      <c r="H87" t="s">
        <v>626</v>
      </c>
      <c r="I87" t="s">
        <v>626</v>
      </c>
      <c r="J87" t="s">
        <v>30</v>
      </c>
      <c r="K87" s="6">
        <v>256788</v>
      </c>
      <c r="L87" s="6"/>
      <c r="M87" t="s">
        <v>32</v>
      </c>
      <c r="R87" t="s">
        <v>634</v>
      </c>
      <c r="S87" t="s">
        <v>542</v>
      </c>
      <c r="T87" s="2">
        <v>46225</v>
      </c>
      <c r="U87" s="2">
        <v>46230</v>
      </c>
      <c r="V87" t="s">
        <v>679</v>
      </c>
      <c r="W8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11">
        <f>+DATE(YEAR(Control[[#This Row],[Fecha Requisición]]),MONTH(Control[[#This Row],[Fecha Requisición]]),1)</f>
        <v>46204</v>
      </c>
      <c r="Y87" s="36">
        <f>+IF(Control[[#This Row],[Fecha de entrega]]="","",NETWORKDAYS(Control[[#This Row],[Fecha Requisición]],Control[[#This Row],[Fecha de entrega]]))</f>
        <v>9</v>
      </c>
      <c r="AA87">
        <f>+_xlfn.ISOWEEKNUM(Control[[#This Row],[Fecha Requisición]])</f>
        <v>29</v>
      </c>
    </row>
    <row r="88" spans="1:27" hidden="1">
      <c r="A88" t="s">
        <v>642</v>
      </c>
      <c r="B88" t="s">
        <v>643</v>
      </c>
      <c r="C88" t="s">
        <v>644</v>
      </c>
      <c r="D88" t="s">
        <v>696</v>
      </c>
      <c r="E88">
        <v>65</v>
      </c>
      <c r="F88" t="s">
        <v>554</v>
      </c>
      <c r="G88" t="s">
        <v>645</v>
      </c>
      <c r="H88" t="s">
        <v>645</v>
      </c>
      <c r="I88" t="s">
        <v>645</v>
      </c>
      <c r="J88" t="s">
        <v>39</v>
      </c>
      <c r="K88" s="6"/>
      <c r="L88" s="6" t="s">
        <v>31</v>
      </c>
      <c r="M88" t="s">
        <v>697</v>
      </c>
      <c r="N88" t="s">
        <v>646</v>
      </c>
      <c r="O88" t="s">
        <v>57</v>
      </c>
      <c r="P88" t="s">
        <v>124</v>
      </c>
      <c r="Q88" t="s">
        <v>36</v>
      </c>
      <c r="R88" t="s">
        <v>698</v>
      </c>
      <c r="S88" t="s">
        <v>542</v>
      </c>
      <c r="U88" s="2">
        <v>46230</v>
      </c>
      <c r="V88" t="s">
        <v>679</v>
      </c>
      <c r="W8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11">
        <f>+DATE(YEAR(Control[[#This Row],[Fecha Requisición]]),MONTH(Control[[#This Row],[Fecha Requisición]]),1)</f>
        <v>46204</v>
      </c>
      <c r="Y88" s="36">
        <f>+IF(Control[[#This Row],[Fecha de entrega]]="","",NETWORKDAYS(Control[[#This Row],[Fecha Requisición]],Control[[#This Row],[Fecha de entrega]]))</f>
        <v>6</v>
      </c>
      <c r="AA88">
        <f>+_xlfn.ISOWEEKNUM(Control[[#This Row],[Fecha Requisición]])</f>
        <v>30</v>
      </c>
    </row>
    <row r="89" spans="1:27" hidden="1">
      <c r="A89" t="s">
        <v>652</v>
      </c>
      <c r="B89" t="s">
        <v>653</v>
      </c>
      <c r="D89" t="s">
        <v>699</v>
      </c>
      <c r="E89">
        <v>66</v>
      </c>
      <c r="F89" t="s">
        <v>654</v>
      </c>
      <c r="G89" t="s">
        <v>655</v>
      </c>
      <c r="I89" t="s">
        <v>655</v>
      </c>
      <c r="J89" t="s">
        <v>30</v>
      </c>
      <c r="K89" s="6"/>
      <c r="L89" s="6" t="s">
        <v>31</v>
      </c>
      <c r="M89" t="s">
        <v>243</v>
      </c>
      <c r="N89" t="s">
        <v>656</v>
      </c>
      <c r="O89" t="s">
        <v>197</v>
      </c>
      <c r="P89" t="s">
        <v>124</v>
      </c>
      <c r="Q89" t="s">
        <v>36</v>
      </c>
      <c r="R89" t="s">
        <v>700</v>
      </c>
      <c r="S89" t="s">
        <v>542</v>
      </c>
      <c r="U89" s="2">
        <v>46224</v>
      </c>
      <c r="V89" t="s">
        <v>679</v>
      </c>
      <c r="W8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89" s="11">
        <f>+DATE(YEAR(Control[[#This Row],[Fecha Requisición]]),MONTH(Control[[#This Row],[Fecha Requisición]]),1)</f>
        <v>46204</v>
      </c>
      <c r="Y89" s="36">
        <f>+IF(Control[[#This Row],[Fecha de entrega]]="","",NETWORKDAYS(Control[[#This Row],[Fecha Requisición]],Control[[#This Row],[Fecha de entrega]]))</f>
        <v>1</v>
      </c>
      <c r="AA89">
        <f>+_xlfn.ISOWEEKNUM(Control[[#This Row],[Fecha Requisición]])</f>
        <v>30</v>
      </c>
    </row>
    <row r="90" spans="1:27" hidden="1">
      <c r="A90" t="s">
        <v>657</v>
      </c>
      <c r="B90" t="s">
        <v>658</v>
      </c>
      <c r="C90" t="s">
        <v>701</v>
      </c>
      <c r="D90" t="s">
        <v>702</v>
      </c>
      <c r="E90">
        <v>67</v>
      </c>
      <c r="F90" t="s">
        <v>659</v>
      </c>
      <c r="G90" t="s">
        <v>655</v>
      </c>
      <c r="H90" t="s">
        <v>655</v>
      </c>
      <c r="I90" t="s">
        <v>655</v>
      </c>
      <c r="J90" t="s">
        <v>30</v>
      </c>
      <c r="K90" s="6"/>
      <c r="L90" s="6" t="s">
        <v>31</v>
      </c>
      <c r="M90" t="s">
        <v>243</v>
      </c>
      <c r="N90" t="s">
        <v>656</v>
      </c>
      <c r="O90" t="s">
        <v>57</v>
      </c>
      <c r="P90" t="s">
        <v>124</v>
      </c>
      <c r="Q90" t="s">
        <v>36</v>
      </c>
      <c r="R90" t="s">
        <v>703</v>
      </c>
      <c r="S90" t="s">
        <v>542</v>
      </c>
      <c r="U90" s="2">
        <v>46224</v>
      </c>
      <c r="V90" t="s">
        <v>679</v>
      </c>
      <c r="W9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11">
        <f>+DATE(YEAR(Control[[#This Row],[Fecha Requisición]]),MONTH(Control[[#This Row],[Fecha Requisición]]),1)</f>
        <v>46204</v>
      </c>
      <c r="Y90" s="36">
        <f>+IF(Control[[#This Row],[Fecha de entrega]]="","",NETWORKDAYS(Control[[#This Row],[Fecha Requisición]],Control[[#This Row],[Fecha de entrega]]))</f>
        <v>1</v>
      </c>
      <c r="AA90">
        <f>+_xlfn.ISOWEEKNUM(Control[[#This Row],[Fecha Requisición]])</f>
        <v>30</v>
      </c>
    </row>
    <row r="91" spans="1:27" hidden="1">
      <c r="A91" t="s">
        <v>660</v>
      </c>
      <c r="B91" t="s">
        <v>661</v>
      </c>
      <c r="C91" t="s">
        <v>704</v>
      </c>
      <c r="D91" t="s">
        <v>705</v>
      </c>
      <c r="E91">
        <v>68</v>
      </c>
      <c r="F91" t="s">
        <v>662</v>
      </c>
      <c r="G91" t="s">
        <v>663</v>
      </c>
      <c r="H91" t="s">
        <v>663</v>
      </c>
      <c r="I91" t="s">
        <v>663</v>
      </c>
      <c r="J91" t="s">
        <v>30</v>
      </c>
      <c r="K91" s="6"/>
      <c r="L91" s="6" t="s">
        <v>31</v>
      </c>
      <c r="M91" t="s">
        <v>243</v>
      </c>
      <c r="N91" t="s">
        <v>213</v>
      </c>
      <c r="O91" t="s">
        <v>197</v>
      </c>
      <c r="P91" t="s">
        <v>124</v>
      </c>
      <c r="Q91" t="s">
        <v>36</v>
      </c>
      <c r="R91" t="s">
        <v>706</v>
      </c>
      <c r="S91" t="s">
        <v>542</v>
      </c>
      <c r="U91" s="2">
        <v>46224</v>
      </c>
      <c r="V91" t="s">
        <v>679</v>
      </c>
      <c r="W9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11">
        <f>+DATE(YEAR(Control[[#This Row],[Fecha Requisición]]),MONTH(Control[[#This Row],[Fecha Requisición]]),1)</f>
        <v>46204</v>
      </c>
      <c r="Y91" s="36">
        <f>+IF(Control[[#This Row],[Fecha de entrega]]="","",NETWORKDAYS(Control[[#This Row],[Fecha Requisición]],Control[[#This Row],[Fecha de entrega]]))</f>
        <v>-2</v>
      </c>
      <c r="AA91">
        <f>+_xlfn.ISOWEEKNUM(Control[[#This Row],[Fecha Requisición]])</f>
        <v>30</v>
      </c>
    </row>
    <row r="92" spans="1:27" hidden="1">
      <c r="A92" t="s">
        <v>664</v>
      </c>
      <c r="B92" t="s">
        <v>665</v>
      </c>
      <c r="C92" t="s">
        <v>707</v>
      </c>
      <c r="D92" t="s">
        <v>708</v>
      </c>
      <c r="E92">
        <v>69</v>
      </c>
      <c r="F92" t="s">
        <v>666</v>
      </c>
      <c r="G92" t="s">
        <v>655</v>
      </c>
      <c r="H92" t="s">
        <v>655</v>
      </c>
      <c r="I92" t="s">
        <v>655</v>
      </c>
      <c r="J92" t="s">
        <v>30</v>
      </c>
      <c r="K92" s="6"/>
      <c r="L92" s="6" t="s">
        <v>31</v>
      </c>
      <c r="M92" t="s">
        <v>243</v>
      </c>
      <c r="N92" t="s">
        <v>362</v>
      </c>
      <c r="O92" t="s">
        <v>123</v>
      </c>
      <c r="P92" t="s">
        <v>124</v>
      </c>
      <c r="Q92" t="s">
        <v>36</v>
      </c>
      <c r="R92" t="s">
        <v>709</v>
      </c>
      <c r="S92" t="s">
        <v>542</v>
      </c>
      <c r="U92" s="2">
        <v>46231</v>
      </c>
      <c r="V92" t="s">
        <v>681</v>
      </c>
      <c r="W9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11">
        <f>+DATE(YEAR(Control[[#This Row],[Fecha Requisición]]),MONTH(Control[[#This Row],[Fecha Requisición]]),1)</f>
        <v>46204</v>
      </c>
      <c r="Y92" s="36">
        <f>+IF(Control[[#This Row],[Fecha de entrega]]="","",NETWORKDAYS(Control[[#This Row],[Fecha Requisición]],Control[[#This Row],[Fecha de entrega]]))</f>
        <v>6</v>
      </c>
      <c r="AA92">
        <f>+_xlfn.ISOWEEKNUM(Control[[#This Row],[Fecha Requisición]])</f>
        <v>30</v>
      </c>
    </row>
    <row r="93" spans="1:27">
      <c r="A93" t="s">
        <v>199</v>
      </c>
      <c r="B93" t="s">
        <v>200</v>
      </c>
      <c r="C93" t="s">
        <v>201</v>
      </c>
      <c r="E93">
        <v>18</v>
      </c>
      <c r="F93" t="s">
        <v>202</v>
      </c>
      <c r="G93" t="s">
        <v>203</v>
      </c>
      <c r="H93" t="s">
        <v>203</v>
      </c>
      <c r="K93" s="6"/>
      <c r="L93" s="6" t="s">
        <v>55</v>
      </c>
      <c r="N93" t="s">
        <v>204</v>
      </c>
      <c r="O93" t="s">
        <v>86</v>
      </c>
      <c r="P93" t="s">
        <v>58</v>
      </c>
      <c r="Q93" t="s">
        <v>36</v>
      </c>
      <c r="S93" t="s">
        <v>719</v>
      </c>
      <c r="V93" t="s">
        <v>718</v>
      </c>
      <c r="W93" t="s">
        <v>720</v>
      </c>
      <c r="X93" s="11">
        <f>+DATE(YEAR(Control[[#This Row],[Fecha Requisición]]),MONTH(Control[[#This Row],[Fecha Requisición]]),1)</f>
        <v>46174</v>
      </c>
      <c r="Y93" s="36" t="str">
        <f>+IF(Control[[#This Row],[Fecha de entrega]]="","",NETWORKDAYS(Control[[#This Row],[Fecha Requisición]],Control[[#This Row],[Fecha de entrega]]))</f>
        <v/>
      </c>
      <c r="AA93">
        <f>+_xlfn.ISOWEEKNUM(Control[[#This Row],[Fecha Requisición]])</f>
        <v>23</v>
      </c>
    </row>
    <row r="94" spans="1:27" hidden="1">
      <c r="A94" t="s">
        <v>205</v>
      </c>
      <c r="B94" t="s">
        <v>206</v>
      </c>
      <c r="C94" t="s">
        <v>206</v>
      </c>
      <c r="E94">
        <v>21</v>
      </c>
      <c r="F94" t="s">
        <v>207</v>
      </c>
      <c r="G94" t="s">
        <v>195</v>
      </c>
      <c r="H94" t="s">
        <v>195</v>
      </c>
      <c r="K94" s="6"/>
      <c r="L94" s="6" t="s">
        <v>31</v>
      </c>
      <c r="N94" t="s">
        <v>167</v>
      </c>
      <c r="O94" t="s">
        <v>86</v>
      </c>
      <c r="P94" t="s">
        <v>35</v>
      </c>
      <c r="Q94" t="s">
        <v>36</v>
      </c>
      <c r="S94" t="s">
        <v>546</v>
      </c>
      <c r="V94"/>
      <c r="W9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4" s="11">
        <f>+DATE(YEAR(Control[[#This Row],[Fecha Requisición]]),MONTH(Control[[#This Row],[Fecha Requisición]]),1)</f>
        <v>46174</v>
      </c>
      <c r="Y94" s="36" t="str">
        <f>+IF(Control[[#This Row],[Fecha de entrega]]="","",NETWORKDAYS(Control[[#This Row],[Fecha Requisición]],Control[[#This Row],[Fecha de entrega]]))</f>
        <v/>
      </c>
      <c r="AA94">
        <f>+_xlfn.ISOWEEKNUM(Control[[#This Row],[Fecha Requisición]])</f>
        <v>23</v>
      </c>
    </row>
    <row r="95" spans="1:27">
      <c r="A95" t="s">
        <v>208</v>
      </c>
      <c r="B95" t="s">
        <v>209</v>
      </c>
      <c r="C95" t="s">
        <v>210</v>
      </c>
      <c r="E95">
        <v>26</v>
      </c>
      <c r="F95" t="s">
        <v>211</v>
      </c>
      <c r="G95" t="s">
        <v>212</v>
      </c>
      <c r="H95" t="s">
        <v>212</v>
      </c>
      <c r="K95" s="6"/>
      <c r="L95" s="6" t="s">
        <v>31</v>
      </c>
      <c r="N95" t="s">
        <v>213</v>
      </c>
      <c r="O95" t="s">
        <v>101</v>
      </c>
      <c r="P95" t="s">
        <v>124</v>
      </c>
      <c r="Q95" t="s">
        <v>36</v>
      </c>
      <c r="S95" t="s">
        <v>545</v>
      </c>
      <c r="V95"/>
      <c r="W95" t="s">
        <v>720</v>
      </c>
      <c r="X95" s="11">
        <f>+DATE(YEAR(Control[[#This Row],[Fecha Requisición]]),MONTH(Control[[#This Row],[Fecha Requisición]]),1)</f>
        <v>46174</v>
      </c>
      <c r="Y95" s="36" t="str">
        <f>+IF(Control[[#This Row],[Fecha de entrega]]="","",NETWORKDAYS(Control[[#This Row],[Fecha Requisición]],Control[[#This Row],[Fecha de entrega]]))</f>
        <v/>
      </c>
      <c r="AA95">
        <f>+_xlfn.ISOWEEKNUM(Control[[#This Row],[Fecha Requisición]])</f>
        <v>25</v>
      </c>
    </row>
    <row r="96" spans="1:27">
      <c r="A96" t="s">
        <v>214</v>
      </c>
      <c r="B96" t="s">
        <v>215</v>
      </c>
      <c r="C96" t="s">
        <v>216</v>
      </c>
      <c r="E96">
        <v>27</v>
      </c>
      <c r="F96" t="s">
        <v>217</v>
      </c>
      <c r="G96" t="s">
        <v>218</v>
      </c>
      <c r="H96" t="s">
        <v>218</v>
      </c>
      <c r="K96" s="6"/>
      <c r="L96" s="6" t="s">
        <v>31</v>
      </c>
      <c r="N96" t="s">
        <v>219</v>
      </c>
      <c r="O96" t="s">
        <v>101</v>
      </c>
      <c r="P96" t="s">
        <v>124</v>
      </c>
      <c r="Q96" t="s">
        <v>36</v>
      </c>
      <c r="S96" t="s">
        <v>545</v>
      </c>
      <c r="V96"/>
      <c r="W96" t="s">
        <v>720</v>
      </c>
      <c r="X96" s="11">
        <f>+DATE(YEAR(Control[[#This Row],[Fecha Requisición]]),MONTH(Control[[#This Row],[Fecha Requisición]]),1)</f>
        <v>46174</v>
      </c>
      <c r="Y96" s="36" t="str">
        <f>+IF(Control[[#This Row],[Fecha de entrega]]="","",NETWORKDAYS(Control[[#This Row],[Fecha Requisición]],Control[[#This Row],[Fecha de entrega]]))</f>
        <v/>
      </c>
      <c r="AA96">
        <f>+_xlfn.ISOWEEKNUM(Control[[#This Row],[Fecha Requisición]])</f>
        <v>24</v>
      </c>
    </row>
    <row r="97" spans="1:27">
      <c r="A97" t="s">
        <v>220</v>
      </c>
      <c r="B97" t="s">
        <v>221</v>
      </c>
      <c r="C97" t="s">
        <v>222</v>
      </c>
      <c r="E97">
        <v>28</v>
      </c>
      <c r="F97" t="s">
        <v>223</v>
      </c>
      <c r="G97" t="s">
        <v>218</v>
      </c>
      <c r="H97" t="s">
        <v>218</v>
      </c>
      <c r="K97" s="6"/>
      <c r="L97" s="6" t="s">
        <v>31</v>
      </c>
      <c r="N97" t="s">
        <v>158</v>
      </c>
      <c r="O97" t="s">
        <v>57</v>
      </c>
      <c r="P97" t="s">
        <v>124</v>
      </c>
      <c r="Q97" t="s">
        <v>36</v>
      </c>
      <c r="S97" t="s">
        <v>545</v>
      </c>
      <c r="V97"/>
      <c r="W97" t="s">
        <v>720</v>
      </c>
      <c r="X97" s="11">
        <f>+DATE(YEAR(Control[[#This Row],[Fecha Requisición]]),MONTH(Control[[#This Row],[Fecha Requisición]]),1)</f>
        <v>46174</v>
      </c>
      <c r="Y97" s="36" t="str">
        <f>+IF(Control[[#This Row],[Fecha de entrega]]="","",NETWORKDAYS(Control[[#This Row],[Fecha Requisición]],Control[[#This Row],[Fecha de entrega]]))</f>
        <v/>
      </c>
      <c r="AA97">
        <f>+_xlfn.ISOWEEKNUM(Control[[#This Row],[Fecha Requisición]])</f>
        <v>24</v>
      </c>
    </row>
    <row r="98" spans="1:27" hidden="1">
      <c r="A98" t="s">
        <v>224</v>
      </c>
      <c r="B98" t="s">
        <v>225</v>
      </c>
      <c r="C98" t="s">
        <v>226</v>
      </c>
      <c r="E98">
        <v>29</v>
      </c>
      <c r="F98" t="s">
        <v>227</v>
      </c>
      <c r="G98" t="s">
        <v>212</v>
      </c>
      <c r="H98" t="s">
        <v>212</v>
      </c>
      <c r="K98" s="6"/>
      <c r="L98" s="6" t="s">
        <v>31</v>
      </c>
      <c r="N98" t="s">
        <v>219</v>
      </c>
      <c r="O98" t="s">
        <v>101</v>
      </c>
      <c r="P98" t="s">
        <v>124</v>
      </c>
      <c r="Q98" t="s">
        <v>36</v>
      </c>
      <c r="S98" t="s">
        <v>546</v>
      </c>
      <c r="V98"/>
      <c r="W9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8" s="11">
        <f>+DATE(YEAR(Control[[#This Row],[Fecha Requisición]]),MONTH(Control[[#This Row],[Fecha Requisición]]),1)</f>
        <v>46174</v>
      </c>
      <c r="Y98" s="36" t="str">
        <f>+IF(Control[[#This Row],[Fecha de entrega]]="","",NETWORKDAYS(Control[[#This Row],[Fecha Requisición]],Control[[#This Row],[Fecha de entrega]]))</f>
        <v/>
      </c>
      <c r="AA98">
        <f>+_xlfn.ISOWEEKNUM(Control[[#This Row],[Fecha Requisición]])</f>
        <v>25</v>
      </c>
    </row>
    <row r="99" spans="1:27" hidden="1">
      <c r="A99" t="s">
        <v>353</v>
      </c>
      <c r="B99" t="s">
        <v>354</v>
      </c>
      <c r="C99" t="s">
        <v>355</v>
      </c>
      <c r="E99">
        <v>42</v>
      </c>
      <c r="F99" t="s">
        <v>356</v>
      </c>
      <c r="G99" t="s">
        <v>357</v>
      </c>
      <c r="H99" t="s">
        <v>357</v>
      </c>
      <c r="K99" s="6"/>
      <c r="L99" s="6" t="s">
        <v>55</v>
      </c>
      <c r="N99" t="s">
        <v>358</v>
      </c>
      <c r="O99" t="s">
        <v>101</v>
      </c>
      <c r="P99" t="s">
        <v>58</v>
      </c>
      <c r="Q99" t="s">
        <v>36</v>
      </c>
      <c r="S99" t="s">
        <v>546</v>
      </c>
      <c r="V99"/>
      <c r="W9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9" s="11">
        <f>+DATE(YEAR(Control[[#This Row],[Fecha Requisición]]),MONTH(Control[[#This Row],[Fecha Requisición]]),1)</f>
        <v>46204</v>
      </c>
      <c r="Y99" s="45" t="str">
        <f>+IF(Control[[#This Row],[Fecha de entrega]]="","",NETWORKDAYS(Control[[#This Row],[Fecha Requisición]],Control[[#This Row],[Fecha de entrega]]))</f>
        <v/>
      </c>
      <c r="AA99" s="44">
        <f>+_xlfn.ISOWEEKNUM(Control[[#This Row],[Fecha Requisición]])</f>
        <v>27</v>
      </c>
    </row>
    <row r="100" spans="1:27" hidden="1">
      <c r="A100" t="s">
        <v>368</v>
      </c>
      <c r="B100" t="s">
        <v>369</v>
      </c>
      <c r="C100" t="s">
        <v>710</v>
      </c>
      <c r="E100">
        <v>44</v>
      </c>
      <c r="F100" t="s">
        <v>370</v>
      </c>
      <c r="G100" t="s">
        <v>367</v>
      </c>
      <c r="H100" t="s">
        <v>367</v>
      </c>
      <c r="K100" s="6"/>
      <c r="L100" s="6" t="s">
        <v>31</v>
      </c>
      <c r="N100" t="s">
        <v>371</v>
      </c>
      <c r="O100" t="s">
        <v>176</v>
      </c>
      <c r="P100" t="s">
        <v>124</v>
      </c>
      <c r="Q100" t="s">
        <v>36</v>
      </c>
      <c r="S100" t="s">
        <v>542</v>
      </c>
      <c r="U100" s="2">
        <v>46218</v>
      </c>
      <c r="V100" t="s">
        <v>679</v>
      </c>
      <c r="W10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0" s="11">
        <f>+DATE(YEAR(Control[[#This Row],[Fecha Requisición]]),MONTH(Control[[#This Row],[Fecha Requisición]]),1)</f>
        <v>46204</v>
      </c>
      <c r="Y100" s="45">
        <f>+IF(Control[[#This Row],[Fecha de entrega]]="","",NETWORKDAYS(Control[[#This Row],[Fecha Requisición]],Control[[#This Row],[Fecha de entrega]]))</f>
        <v>10</v>
      </c>
      <c r="AA100" s="44">
        <f>+_xlfn.ISOWEEKNUM(Control[[#This Row],[Fecha Requisición]])</f>
        <v>27</v>
      </c>
    </row>
    <row r="101" spans="1:27">
      <c r="A101" t="s">
        <v>379</v>
      </c>
      <c r="B101" t="s">
        <v>380</v>
      </c>
      <c r="C101" t="s">
        <v>635</v>
      </c>
      <c r="E101">
        <v>47</v>
      </c>
      <c r="F101" t="s">
        <v>381</v>
      </c>
      <c r="G101" t="s">
        <v>382</v>
      </c>
      <c r="H101" t="s">
        <v>382</v>
      </c>
      <c r="K101" s="6"/>
      <c r="L101" s="6" t="s">
        <v>55</v>
      </c>
      <c r="N101" t="s">
        <v>383</v>
      </c>
      <c r="O101" t="s">
        <v>384</v>
      </c>
      <c r="P101" t="s">
        <v>58</v>
      </c>
      <c r="Q101" t="s">
        <v>36</v>
      </c>
      <c r="S101" t="s">
        <v>678</v>
      </c>
      <c r="V101" t="s">
        <v>549</v>
      </c>
      <c r="W101" t="s">
        <v>720</v>
      </c>
      <c r="X101" s="11">
        <f>+DATE(YEAR(Control[[#This Row],[Fecha Requisición]]),MONTH(Control[[#This Row],[Fecha Requisición]]),1)</f>
        <v>46204</v>
      </c>
      <c r="Y101" s="45" t="str">
        <f>+IF(Control[[#This Row],[Fecha de entrega]]="","",NETWORKDAYS(Control[[#This Row],[Fecha Requisición]],Control[[#This Row],[Fecha de entrega]]))</f>
        <v/>
      </c>
      <c r="AA101" s="44">
        <f>+_xlfn.ISOWEEKNUM(Control[[#This Row],[Fecha Requisición]])</f>
        <v>28</v>
      </c>
    </row>
    <row r="102" spans="1:27" hidden="1">
      <c r="A102" t="s">
        <v>385</v>
      </c>
      <c r="B102" t="s">
        <v>386</v>
      </c>
      <c r="C102" t="s">
        <v>636</v>
      </c>
      <c r="E102">
        <v>48</v>
      </c>
      <c r="F102" t="s">
        <v>387</v>
      </c>
      <c r="G102" t="s">
        <v>382</v>
      </c>
      <c r="H102" t="s">
        <v>382</v>
      </c>
      <c r="K102" s="6"/>
      <c r="L102" s="6"/>
      <c r="N102" t="s">
        <v>388</v>
      </c>
      <c r="O102" t="s">
        <v>176</v>
      </c>
      <c r="P102" t="s">
        <v>58</v>
      </c>
      <c r="Q102" t="s">
        <v>94</v>
      </c>
      <c r="S102" t="s">
        <v>546</v>
      </c>
      <c r="V102" t="s">
        <v>550</v>
      </c>
      <c r="W10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2" s="11">
        <f>+DATE(YEAR(Control[[#This Row],[Fecha Requisición]]),MONTH(Control[[#This Row],[Fecha Requisición]]),1)</f>
        <v>46204</v>
      </c>
      <c r="Y102" s="45" t="str">
        <f>+IF(Control[[#This Row],[Fecha de entrega]]="","",NETWORKDAYS(Control[[#This Row],[Fecha Requisición]],Control[[#This Row],[Fecha de entrega]]))</f>
        <v/>
      </c>
      <c r="AA102" s="44">
        <f>+_xlfn.ISOWEEKNUM(Control[[#This Row],[Fecha Requisición]])</f>
        <v>28</v>
      </c>
    </row>
    <row r="103" spans="1:27" hidden="1">
      <c r="A103" t="s">
        <v>411</v>
      </c>
      <c r="B103" t="s">
        <v>412</v>
      </c>
      <c r="C103" t="s">
        <v>638</v>
      </c>
      <c r="E103">
        <v>55</v>
      </c>
      <c r="F103" t="s">
        <v>413</v>
      </c>
      <c r="G103" t="s">
        <v>407</v>
      </c>
      <c r="H103" t="s">
        <v>407</v>
      </c>
      <c r="K103" s="6"/>
      <c r="L103" s="6" t="s">
        <v>31</v>
      </c>
      <c r="N103" t="s">
        <v>307</v>
      </c>
      <c r="O103" t="s">
        <v>57</v>
      </c>
      <c r="P103" t="s">
        <v>124</v>
      </c>
      <c r="Q103" t="s">
        <v>36</v>
      </c>
      <c r="S103" t="s">
        <v>546</v>
      </c>
      <c r="V103" t="s">
        <v>548</v>
      </c>
      <c r="W10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3" s="11">
        <f>+DATE(YEAR(Control[[#This Row],[Fecha Requisición]]),MONTH(Control[[#This Row],[Fecha Requisición]]),1)</f>
        <v>46204</v>
      </c>
      <c r="Y103" s="45" t="str">
        <f>+IF(Control[[#This Row],[Fecha de entrega]]="","",NETWORKDAYS(Control[[#This Row],[Fecha Requisición]],Control[[#This Row],[Fecha de entrega]]))</f>
        <v/>
      </c>
      <c r="AA103" s="44">
        <f>+_xlfn.ISOWEEKNUM(Control[[#This Row],[Fecha Requisición]])</f>
        <v>28</v>
      </c>
    </row>
    <row r="104" spans="1:27" hidden="1">
      <c r="A104" t="s">
        <v>429</v>
      </c>
      <c r="B104" t="s">
        <v>430</v>
      </c>
      <c r="C104" t="s">
        <v>640</v>
      </c>
      <c r="E104">
        <v>60</v>
      </c>
      <c r="F104" t="s">
        <v>431</v>
      </c>
      <c r="G104" t="s">
        <v>432</v>
      </c>
      <c r="H104" t="s">
        <v>432</v>
      </c>
      <c r="K104" s="6"/>
      <c r="L104" s="6"/>
      <c r="S104" t="s">
        <v>542</v>
      </c>
      <c r="T104" s="2">
        <v>46227</v>
      </c>
      <c r="U104" s="2">
        <v>46231</v>
      </c>
      <c r="V104" t="s">
        <v>679</v>
      </c>
      <c r="W10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4" s="11">
        <f>+DATE(YEAR(Control[[#This Row],[Fecha Requisición]]),MONTH(Control[[#This Row],[Fecha Requisición]]),1)</f>
        <v>46569</v>
      </c>
      <c r="Y104" s="45">
        <f>+IF(Control[[#This Row],[Fecha de entrega]]="","",NETWORKDAYS(Control[[#This Row],[Fecha Requisición]],Control[[#This Row],[Fecha de entrega]]))</f>
        <v>-249</v>
      </c>
      <c r="AA104" s="44">
        <f>+_xlfn.ISOWEEKNUM(Control[[#This Row],[Fecha Requisición]])</f>
        <v>27</v>
      </c>
    </row>
    <row r="105" spans="1:27" hidden="1">
      <c r="A105" t="s">
        <v>438</v>
      </c>
      <c r="B105" t="s">
        <v>439</v>
      </c>
      <c r="C105" t="s">
        <v>641</v>
      </c>
      <c r="E105">
        <v>62</v>
      </c>
      <c r="F105" t="s">
        <v>440</v>
      </c>
      <c r="G105" t="s">
        <v>441</v>
      </c>
      <c r="H105" t="s">
        <v>441</v>
      </c>
      <c r="K105" s="6"/>
      <c r="L105" s="6" t="s">
        <v>55</v>
      </c>
      <c r="N105" t="s">
        <v>204</v>
      </c>
      <c r="O105" t="s">
        <v>101</v>
      </c>
      <c r="P105" t="s">
        <v>58</v>
      </c>
      <c r="Q105" t="s">
        <v>36</v>
      </c>
      <c r="S105" t="s">
        <v>542</v>
      </c>
      <c r="U105" s="2">
        <v>46220</v>
      </c>
      <c r="V105" t="s">
        <v>679</v>
      </c>
      <c r="W10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5" s="11">
        <f>+DATE(YEAR(Control[[#This Row],[Fecha Requisición]]),MONTH(Control[[#This Row],[Fecha Requisición]]),1)</f>
        <v>46204</v>
      </c>
      <c r="Y105" s="45">
        <f>+IF(Control[[#This Row],[Fecha de entrega]]="","",NETWORKDAYS(Control[[#This Row],[Fecha Requisición]],Control[[#This Row],[Fecha de entrega]]))</f>
        <v>4</v>
      </c>
      <c r="AA105" s="44">
        <f>+_xlfn.ISOWEEKNUM(Control[[#This Row],[Fecha Requisición]])</f>
        <v>29</v>
      </c>
    </row>
    <row r="106" spans="1:27" hidden="1">
      <c r="A106" t="s">
        <v>667</v>
      </c>
      <c r="B106" t="s">
        <v>668</v>
      </c>
      <c r="C106" t="s">
        <v>711</v>
      </c>
      <c r="E106">
        <v>70</v>
      </c>
      <c r="F106" t="s">
        <v>669</v>
      </c>
      <c r="G106" t="s">
        <v>663</v>
      </c>
      <c r="H106" t="s">
        <v>663</v>
      </c>
      <c r="K106" s="6"/>
      <c r="L106" s="6" t="s">
        <v>55</v>
      </c>
      <c r="N106" t="s">
        <v>383</v>
      </c>
      <c r="O106" t="s">
        <v>384</v>
      </c>
      <c r="P106" t="s">
        <v>58</v>
      </c>
      <c r="Q106" t="s">
        <v>36</v>
      </c>
      <c r="S106" t="s">
        <v>546</v>
      </c>
      <c r="V106" t="s">
        <v>682</v>
      </c>
      <c r="W10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6" s="11">
        <f>+DATE(YEAR(Control[[#This Row],[Fecha Requisición]]),MONTH(Control[[#This Row],[Fecha Requisición]]),1)</f>
        <v>46204</v>
      </c>
      <c r="Y106" s="45" t="str">
        <f>+IF(Control[[#This Row],[Fecha de entrega]]="","",NETWORKDAYS(Control[[#This Row],[Fecha Requisición]],Control[[#This Row],[Fecha de entrega]]))</f>
        <v/>
      </c>
      <c r="AA106" s="44">
        <f>+_xlfn.ISOWEEKNUM(Control[[#This Row],[Fecha Requisición]])</f>
        <v>30</v>
      </c>
    </row>
    <row r="107" spans="1:27" hidden="1">
      <c r="A107" t="s">
        <v>670</v>
      </c>
      <c r="B107" t="s">
        <v>671</v>
      </c>
      <c r="C107" t="s">
        <v>712</v>
      </c>
      <c r="E107">
        <v>71</v>
      </c>
      <c r="F107" t="s">
        <v>672</v>
      </c>
      <c r="G107" t="s">
        <v>673</v>
      </c>
      <c r="H107" t="s">
        <v>673</v>
      </c>
      <c r="K107" s="6"/>
      <c r="L107" s="6" t="s">
        <v>31</v>
      </c>
      <c r="N107" t="s">
        <v>307</v>
      </c>
      <c r="O107" t="s">
        <v>86</v>
      </c>
      <c r="P107" t="s">
        <v>124</v>
      </c>
      <c r="Q107" t="s">
        <v>36</v>
      </c>
      <c r="S107" t="s">
        <v>546</v>
      </c>
      <c r="V107" t="s">
        <v>548</v>
      </c>
      <c r="W10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7" s="11">
        <f>+DATE(YEAR(Control[[#This Row],[Fecha Requisición]]),MONTH(Control[[#This Row],[Fecha Requisición]]),1)</f>
        <v>46204</v>
      </c>
      <c r="Y107" s="45" t="str">
        <f>+IF(Control[[#This Row],[Fecha de entrega]]="","",NETWORKDAYS(Control[[#This Row],[Fecha Requisición]],Control[[#This Row],[Fecha de entrega]]))</f>
        <v/>
      </c>
      <c r="AA107" s="44">
        <f>+_xlfn.ISOWEEKNUM(Control[[#This Row],[Fecha Requisición]])</f>
        <v>30</v>
      </c>
    </row>
    <row r="108" spans="1:27" hidden="1">
      <c r="A108" t="s">
        <v>674</v>
      </c>
      <c r="B108" t="s">
        <v>675</v>
      </c>
      <c r="C108" t="s">
        <v>713</v>
      </c>
      <c r="E108">
        <v>72</v>
      </c>
      <c r="F108" t="s">
        <v>676</v>
      </c>
      <c r="G108" t="s">
        <v>673</v>
      </c>
      <c r="H108" t="s">
        <v>673</v>
      </c>
      <c r="K108" s="6"/>
      <c r="L108" s="6" t="s">
        <v>31</v>
      </c>
      <c r="N108" t="s">
        <v>307</v>
      </c>
      <c r="O108" t="s">
        <v>86</v>
      </c>
      <c r="P108" t="s">
        <v>124</v>
      </c>
      <c r="Q108" t="s">
        <v>36</v>
      </c>
      <c r="S108" t="s">
        <v>546</v>
      </c>
      <c r="V108" t="s">
        <v>548</v>
      </c>
      <c r="W10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8" s="11">
        <f>+DATE(YEAR(Control[[#This Row],[Fecha Requisición]]),MONTH(Control[[#This Row],[Fecha Requisición]]),1)</f>
        <v>46204</v>
      </c>
      <c r="Y108" s="45" t="str">
        <f>+IF(Control[[#This Row],[Fecha de entrega]]="","",NETWORKDAYS(Control[[#This Row],[Fecha Requisición]],Control[[#This Row],[Fecha de entrega]]))</f>
        <v/>
      </c>
      <c r="AA108" s="44">
        <f>+_xlfn.ISOWEEKNUM(Control[[#This Row],[Fecha Requisición]])</f>
        <v>30</v>
      </c>
    </row>
    <row r="109" spans="1:27" hidden="1">
      <c r="A109" t="s">
        <v>714</v>
      </c>
      <c r="B109" t="s">
        <v>715</v>
      </c>
      <c r="C109" t="s">
        <v>715</v>
      </c>
      <c r="E109">
        <v>73</v>
      </c>
      <c r="F109" t="s">
        <v>716</v>
      </c>
      <c r="G109" t="s">
        <v>663</v>
      </c>
      <c r="H109" t="s">
        <v>663</v>
      </c>
      <c r="K109" s="6"/>
      <c r="L109" s="6"/>
      <c r="V109"/>
      <c r="W10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9" s="11">
        <f>+DATE(YEAR(Control[[#This Row],[Fecha Requisición]]),MONTH(Control[[#This Row],[Fecha Requisición]]),1)</f>
        <v>46204</v>
      </c>
      <c r="Y109" s="45" t="str">
        <f>+IF(Control[[#This Row],[Fecha de entrega]]="","",NETWORKDAYS(Control[[#This Row],[Fecha Requisición]],Control[[#This Row],[Fecha de entrega]]))</f>
        <v/>
      </c>
      <c r="AA109" s="44">
        <f>+_xlfn.ISOWEEKNUM(Control[[#This Row],[Fecha Requisición]])</f>
        <v>30</v>
      </c>
    </row>
    <row r="110" spans="1:27">
      <c r="Z110" s="2"/>
    </row>
    <row r="111" spans="1:27">
      <c r="Z111" s="2"/>
    </row>
    <row r="112" spans="1:27">
      <c r="Z112" s="2"/>
    </row>
    <row r="124" spans="3:4" ht="15.75" thickBot="1"/>
    <row r="125" spans="3:4" ht="15.75" thickBot="1">
      <c r="C125" s="42" t="s">
        <v>649</v>
      </c>
      <c r="D125" s="42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F73"/>
  <sheetViews>
    <sheetView workbookViewId="0">
      <selection activeCell="J11" sqref="J11"/>
    </sheetView>
  </sheetViews>
  <sheetFormatPr baseColWidth="10" defaultRowHeight="15"/>
  <cols>
    <col min="2" max="2" width="12.5703125" bestFit="1" customWidth="1"/>
    <col min="6" max="6" width="27.42578125" bestFit="1" customWidth="1"/>
  </cols>
  <sheetData>
    <row r="1" spans="1:6">
      <c r="A1" t="s">
        <v>537</v>
      </c>
      <c r="B1" t="s">
        <v>17</v>
      </c>
      <c r="C1" t="s">
        <v>538</v>
      </c>
      <c r="D1" t="s">
        <v>539</v>
      </c>
      <c r="E1" t="s">
        <v>540</v>
      </c>
      <c r="F1" t="s">
        <v>541</v>
      </c>
    </row>
    <row r="2" spans="1:6">
      <c r="A2" s="4">
        <v>1</v>
      </c>
      <c r="B2" t="s">
        <v>542</v>
      </c>
      <c r="C2" s="4" t="s">
        <v>543</v>
      </c>
      <c r="D2" s="37">
        <v>46171</v>
      </c>
      <c r="E2" s="37">
        <v>46177</v>
      </c>
    </row>
    <row r="3" spans="1:6">
      <c r="A3" s="4">
        <v>2</v>
      </c>
      <c r="B3" t="s">
        <v>542</v>
      </c>
      <c r="C3" s="4" t="s">
        <v>544</v>
      </c>
      <c r="D3" s="37">
        <v>46168</v>
      </c>
      <c r="E3" s="37">
        <v>46171</v>
      </c>
    </row>
    <row r="4" spans="1:6">
      <c r="A4" s="4">
        <v>3</v>
      </c>
      <c r="B4" t="s">
        <v>542</v>
      </c>
      <c r="C4" s="4" t="s">
        <v>544</v>
      </c>
      <c r="D4" s="37">
        <v>46171</v>
      </c>
      <c r="E4" s="37">
        <v>46171</v>
      </c>
    </row>
    <row r="5" spans="1:6">
      <c r="A5" s="4">
        <v>4</v>
      </c>
      <c r="B5" t="s">
        <v>542</v>
      </c>
      <c r="C5" s="4" t="s">
        <v>543</v>
      </c>
      <c r="D5" s="37">
        <v>46170</v>
      </c>
      <c r="E5" s="37">
        <v>46177</v>
      </c>
    </row>
    <row r="6" spans="1:6">
      <c r="A6" s="4">
        <v>5</v>
      </c>
      <c r="B6" t="s">
        <v>542</v>
      </c>
      <c r="C6" s="4" t="s">
        <v>544</v>
      </c>
      <c r="D6" s="37"/>
      <c r="E6" s="37">
        <v>46171</v>
      </c>
    </row>
    <row r="7" spans="1:6">
      <c r="A7" s="4">
        <v>6</v>
      </c>
      <c r="B7" t="s">
        <v>542</v>
      </c>
      <c r="C7" s="4" t="s">
        <v>544</v>
      </c>
      <c r="D7" s="37">
        <v>46170</v>
      </c>
      <c r="E7" s="37">
        <v>46175</v>
      </c>
    </row>
    <row r="8" spans="1:6">
      <c r="A8" s="4">
        <v>7</v>
      </c>
      <c r="B8" t="s">
        <v>542</v>
      </c>
      <c r="C8" s="4" t="s">
        <v>544</v>
      </c>
      <c r="D8" s="37">
        <v>46171</v>
      </c>
      <c r="E8" s="37">
        <v>46175</v>
      </c>
    </row>
    <row r="9" spans="1:6">
      <c r="A9" s="4">
        <v>8</v>
      </c>
      <c r="B9" t="s">
        <v>542</v>
      </c>
      <c r="C9" s="4" t="s">
        <v>544</v>
      </c>
      <c r="D9" s="37"/>
      <c r="E9" s="37">
        <v>46179</v>
      </c>
    </row>
    <row r="10" spans="1:6">
      <c r="A10" s="4">
        <v>9</v>
      </c>
      <c r="B10" t="s">
        <v>542</v>
      </c>
      <c r="C10" s="4" t="s">
        <v>544</v>
      </c>
      <c r="D10" s="37"/>
      <c r="E10" s="37">
        <v>46179</v>
      </c>
    </row>
    <row r="11" spans="1:6">
      <c r="A11" s="4">
        <v>10</v>
      </c>
      <c r="B11" t="s">
        <v>542</v>
      </c>
      <c r="C11" s="4" t="s">
        <v>543</v>
      </c>
      <c r="D11" s="37">
        <v>46170</v>
      </c>
      <c r="E11" s="37">
        <v>46181</v>
      </c>
    </row>
    <row r="12" spans="1:6">
      <c r="A12" s="4">
        <v>11</v>
      </c>
      <c r="B12" t="s">
        <v>542</v>
      </c>
      <c r="C12" s="4" t="s">
        <v>543</v>
      </c>
      <c r="D12" s="37">
        <v>46170</v>
      </c>
      <c r="E12" s="37">
        <v>46170</v>
      </c>
    </row>
    <row r="13" spans="1:6">
      <c r="A13" s="4">
        <v>12</v>
      </c>
      <c r="B13" t="s">
        <v>542</v>
      </c>
      <c r="C13" s="4" t="s">
        <v>543</v>
      </c>
      <c r="D13" s="37">
        <v>46170</v>
      </c>
      <c r="E13" s="37">
        <v>46170</v>
      </c>
    </row>
    <row r="14" spans="1:6">
      <c r="A14" s="4">
        <v>13</v>
      </c>
      <c r="B14" t="s">
        <v>542</v>
      </c>
      <c r="C14" s="4" t="s">
        <v>543</v>
      </c>
      <c r="D14" s="37">
        <v>46169</v>
      </c>
      <c r="E14" s="37">
        <v>46170</v>
      </c>
    </row>
    <row r="15" spans="1:6">
      <c r="A15" s="4">
        <v>14</v>
      </c>
      <c r="B15" t="s">
        <v>542</v>
      </c>
      <c r="C15" s="4" t="s">
        <v>543</v>
      </c>
      <c r="D15" s="4"/>
      <c r="E15" s="37">
        <v>46176</v>
      </c>
    </row>
    <row r="16" spans="1:6">
      <c r="A16" s="4">
        <v>15</v>
      </c>
      <c r="B16" t="s">
        <v>542</v>
      </c>
      <c r="C16" s="4" t="s">
        <v>543</v>
      </c>
      <c r="D16" s="37">
        <v>46184</v>
      </c>
      <c r="E16" s="37">
        <v>46188</v>
      </c>
    </row>
    <row r="17" spans="1:6">
      <c r="A17" s="4">
        <v>16</v>
      </c>
      <c r="B17" t="s">
        <v>542</v>
      </c>
      <c r="C17" s="4" t="s">
        <v>543</v>
      </c>
      <c r="D17" s="37">
        <v>46175</v>
      </c>
      <c r="E17" s="37" t="s">
        <v>677</v>
      </c>
    </row>
    <row r="18" spans="1:6">
      <c r="A18" s="4">
        <v>17</v>
      </c>
      <c r="B18" t="s">
        <v>542</v>
      </c>
      <c r="C18" s="4" t="s">
        <v>543</v>
      </c>
      <c r="D18" s="4"/>
      <c r="E18" s="37">
        <v>46189</v>
      </c>
    </row>
    <row r="19" spans="1:6">
      <c r="A19" s="4">
        <v>18</v>
      </c>
      <c r="B19" t="s">
        <v>678</v>
      </c>
      <c r="C19" s="4" t="s">
        <v>543</v>
      </c>
      <c r="D19" s="4"/>
      <c r="E19" s="4"/>
    </row>
    <row r="20" spans="1:6">
      <c r="A20" s="4">
        <v>19</v>
      </c>
      <c r="B20" t="s">
        <v>542</v>
      </c>
      <c r="C20" s="4" t="s">
        <v>544</v>
      </c>
      <c r="D20" s="4"/>
      <c r="E20" s="37">
        <v>46192</v>
      </c>
      <c r="F20" t="s">
        <v>679</v>
      </c>
    </row>
    <row r="21" spans="1:6">
      <c r="A21" s="4">
        <v>20</v>
      </c>
      <c r="B21" t="s">
        <v>542</v>
      </c>
      <c r="C21" s="4" t="s">
        <v>543</v>
      </c>
      <c r="D21" s="4"/>
      <c r="E21" s="37"/>
      <c r="F21" t="s">
        <v>679</v>
      </c>
    </row>
    <row r="22" spans="1:6">
      <c r="A22" s="4">
        <v>21</v>
      </c>
      <c r="B22" t="s">
        <v>546</v>
      </c>
      <c r="C22" s="4" t="s">
        <v>543</v>
      </c>
      <c r="D22" s="4" t="s">
        <v>549</v>
      </c>
      <c r="E22" s="4"/>
    </row>
    <row r="23" spans="1:6">
      <c r="A23" s="4">
        <v>22</v>
      </c>
      <c r="B23" t="s">
        <v>545</v>
      </c>
      <c r="C23" s="4" t="s">
        <v>543</v>
      </c>
      <c r="D23" s="4"/>
      <c r="E23" s="4"/>
      <c r="F23" t="s">
        <v>549</v>
      </c>
    </row>
    <row r="24" spans="1:6">
      <c r="A24" s="4">
        <v>23</v>
      </c>
      <c r="B24" t="s">
        <v>542</v>
      </c>
      <c r="C24" s="4" t="s">
        <v>543</v>
      </c>
      <c r="D24" s="37">
        <v>46198</v>
      </c>
      <c r="E24" s="37">
        <v>46204</v>
      </c>
      <c r="F24" t="s">
        <v>679</v>
      </c>
    </row>
    <row r="25" spans="1:6">
      <c r="A25" s="4">
        <v>24</v>
      </c>
      <c r="B25" t="s">
        <v>542</v>
      </c>
      <c r="C25" s="4" t="s">
        <v>543</v>
      </c>
      <c r="D25" s="4"/>
      <c r="E25" s="37">
        <v>46178</v>
      </c>
      <c r="F25" t="s">
        <v>679</v>
      </c>
    </row>
    <row r="26" spans="1:6">
      <c r="A26" s="4">
        <v>25</v>
      </c>
      <c r="B26" t="s">
        <v>542</v>
      </c>
      <c r="C26" s="4" t="s">
        <v>543</v>
      </c>
      <c r="D26" s="4"/>
      <c r="E26" s="37">
        <v>46199</v>
      </c>
      <c r="F26" t="s">
        <v>679</v>
      </c>
    </row>
    <row r="27" spans="1:6">
      <c r="A27" s="4">
        <v>26</v>
      </c>
      <c r="B27" t="s">
        <v>545</v>
      </c>
      <c r="C27" s="4" t="s">
        <v>543</v>
      </c>
      <c r="D27" s="4"/>
      <c r="E27" s="4"/>
    </row>
    <row r="28" spans="1:6">
      <c r="A28" s="4">
        <v>27</v>
      </c>
      <c r="B28" t="s">
        <v>545</v>
      </c>
      <c r="C28" s="4" t="s">
        <v>543</v>
      </c>
      <c r="D28" s="4"/>
      <c r="E28" s="4"/>
    </row>
    <row r="29" spans="1:6">
      <c r="A29" s="4">
        <v>28</v>
      </c>
      <c r="B29" t="s">
        <v>545</v>
      </c>
      <c r="C29" s="4" t="s">
        <v>543</v>
      </c>
      <c r="D29" s="4"/>
      <c r="E29" s="4"/>
    </row>
    <row r="30" spans="1:6">
      <c r="A30" s="4">
        <v>29</v>
      </c>
      <c r="B30" t="s">
        <v>546</v>
      </c>
      <c r="C30" s="4" t="s">
        <v>543</v>
      </c>
      <c r="D30" s="4"/>
      <c r="E30" s="4"/>
    </row>
    <row r="31" spans="1:6">
      <c r="A31" s="4">
        <v>30</v>
      </c>
      <c r="B31" t="s">
        <v>542</v>
      </c>
      <c r="C31" s="4" t="s">
        <v>544</v>
      </c>
      <c r="D31" s="4"/>
      <c r="E31" s="37">
        <v>46203</v>
      </c>
      <c r="F31" t="s">
        <v>679</v>
      </c>
    </row>
    <row r="32" spans="1:6">
      <c r="A32" s="4">
        <v>31</v>
      </c>
      <c r="B32" t="s">
        <v>542</v>
      </c>
      <c r="C32" s="4" t="s">
        <v>544</v>
      </c>
      <c r="D32" s="4"/>
      <c r="E32" s="37">
        <v>46571</v>
      </c>
      <c r="F32" t="s">
        <v>679</v>
      </c>
    </row>
    <row r="33" spans="1:6">
      <c r="A33" s="4">
        <v>32</v>
      </c>
      <c r="B33" t="s">
        <v>542</v>
      </c>
      <c r="C33" s="4" t="s">
        <v>544</v>
      </c>
      <c r="D33" s="4"/>
      <c r="E33" s="4"/>
      <c r="F33" t="s">
        <v>679</v>
      </c>
    </row>
    <row r="34" spans="1:6">
      <c r="A34" s="4">
        <v>33</v>
      </c>
      <c r="B34" t="s">
        <v>542</v>
      </c>
      <c r="C34" s="4" t="s">
        <v>543</v>
      </c>
      <c r="D34" s="4"/>
      <c r="E34" s="37">
        <v>46198</v>
      </c>
      <c r="F34" t="s">
        <v>679</v>
      </c>
    </row>
    <row r="35" spans="1:6">
      <c r="A35" s="4">
        <v>34</v>
      </c>
      <c r="B35" t="s">
        <v>542</v>
      </c>
      <c r="C35" s="4" t="s">
        <v>543</v>
      </c>
      <c r="D35" s="4"/>
      <c r="E35" s="37">
        <v>46209</v>
      </c>
      <c r="F35" t="s">
        <v>679</v>
      </c>
    </row>
    <row r="36" spans="1:6">
      <c r="A36" s="4">
        <v>35</v>
      </c>
      <c r="B36" t="s">
        <v>542</v>
      </c>
      <c r="C36" s="4" t="s">
        <v>544</v>
      </c>
      <c r="D36" s="4"/>
      <c r="E36" s="37">
        <v>46211</v>
      </c>
      <c r="F36" t="s">
        <v>679</v>
      </c>
    </row>
    <row r="37" spans="1:6">
      <c r="A37" s="4">
        <v>36</v>
      </c>
      <c r="B37" t="s">
        <v>542</v>
      </c>
      <c r="C37" s="4" t="s">
        <v>544</v>
      </c>
      <c r="D37" s="4"/>
      <c r="E37" s="37">
        <v>46211</v>
      </c>
      <c r="F37" t="s">
        <v>679</v>
      </c>
    </row>
    <row r="38" spans="1:6">
      <c r="A38" s="4">
        <v>37</v>
      </c>
      <c r="B38" t="s">
        <v>542</v>
      </c>
      <c r="C38" s="4" t="s">
        <v>544</v>
      </c>
      <c r="D38" s="4"/>
      <c r="E38" s="37">
        <v>46209</v>
      </c>
      <c r="F38" t="s">
        <v>679</v>
      </c>
    </row>
    <row r="39" spans="1:6">
      <c r="A39" s="4">
        <v>38</v>
      </c>
      <c r="B39" t="s">
        <v>542</v>
      </c>
      <c r="C39" s="4" t="s">
        <v>544</v>
      </c>
      <c r="D39" s="4"/>
      <c r="E39" s="37">
        <v>46209</v>
      </c>
      <c r="F39" t="s">
        <v>679</v>
      </c>
    </row>
    <row r="40" spans="1:6">
      <c r="A40" s="4">
        <v>39</v>
      </c>
      <c r="B40" t="s">
        <v>542</v>
      </c>
      <c r="C40" s="4" t="s">
        <v>543</v>
      </c>
      <c r="D40" s="4" t="s">
        <v>547</v>
      </c>
      <c r="E40" s="37">
        <v>46211</v>
      </c>
      <c r="F40" t="s">
        <v>679</v>
      </c>
    </row>
    <row r="41" spans="1:6">
      <c r="A41" s="4">
        <v>40</v>
      </c>
      <c r="B41" t="s">
        <v>542</v>
      </c>
      <c r="C41" s="4" t="s">
        <v>543</v>
      </c>
      <c r="D41" s="4" t="s">
        <v>547</v>
      </c>
      <c r="E41" s="37">
        <v>46211</v>
      </c>
      <c r="F41" t="s">
        <v>679</v>
      </c>
    </row>
    <row r="42" spans="1:6">
      <c r="A42" s="4">
        <v>41</v>
      </c>
      <c r="B42" t="s">
        <v>542</v>
      </c>
      <c r="C42" s="4" t="s">
        <v>543</v>
      </c>
      <c r="D42" s="4"/>
      <c r="E42" s="37">
        <v>46217</v>
      </c>
      <c r="F42" t="s">
        <v>679</v>
      </c>
    </row>
    <row r="43" spans="1:6">
      <c r="A43" s="4">
        <v>42</v>
      </c>
      <c r="B43" t="s">
        <v>546</v>
      </c>
      <c r="C43" s="4" t="s">
        <v>544</v>
      </c>
      <c r="D43" s="4" t="s">
        <v>546</v>
      </c>
      <c r="E43" s="4"/>
    </row>
    <row r="44" spans="1:6">
      <c r="A44" s="4">
        <v>43</v>
      </c>
      <c r="B44" t="s">
        <v>542</v>
      </c>
      <c r="C44" s="4" t="s">
        <v>543</v>
      </c>
      <c r="D44" s="37">
        <v>46216</v>
      </c>
      <c r="E44" s="37">
        <v>46223</v>
      </c>
      <c r="F44" t="s">
        <v>679</v>
      </c>
    </row>
    <row r="45" spans="1:6">
      <c r="A45" s="4">
        <v>44</v>
      </c>
      <c r="B45" t="s">
        <v>542</v>
      </c>
      <c r="C45" s="4" t="s">
        <v>543</v>
      </c>
      <c r="D45" s="4" t="s">
        <v>546</v>
      </c>
      <c r="E45" s="37">
        <v>46218</v>
      </c>
      <c r="F45" t="s">
        <v>679</v>
      </c>
    </row>
    <row r="46" spans="1:6">
      <c r="A46" s="4">
        <v>45</v>
      </c>
      <c r="B46" t="s">
        <v>542</v>
      </c>
      <c r="C46" s="4" t="s">
        <v>543</v>
      </c>
      <c r="D46" s="4" t="s">
        <v>546</v>
      </c>
      <c r="E46" s="37">
        <v>46211</v>
      </c>
      <c r="F46" t="s">
        <v>679</v>
      </c>
    </row>
    <row r="47" spans="1:6">
      <c r="A47" s="4">
        <v>46</v>
      </c>
      <c r="B47" t="s">
        <v>546</v>
      </c>
      <c r="C47" s="4" t="s">
        <v>544</v>
      </c>
      <c r="D47" s="4"/>
      <c r="E47" s="4"/>
      <c r="F47" t="s">
        <v>548</v>
      </c>
    </row>
    <row r="48" spans="1:6">
      <c r="A48" s="4">
        <v>47</v>
      </c>
      <c r="B48" t="s">
        <v>678</v>
      </c>
      <c r="C48" s="4" t="s">
        <v>549</v>
      </c>
      <c r="D48" s="4"/>
      <c r="E48" s="4"/>
      <c r="F48" t="s">
        <v>549</v>
      </c>
    </row>
    <row r="49" spans="1:6">
      <c r="A49" s="4">
        <v>48</v>
      </c>
      <c r="B49" t="s">
        <v>546</v>
      </c>
      <c r="C49" s="4" t="s">
        <v>546</v>
      </c>
      <c r="D49" s="4"/>
      <c r="E49" s="4" t="s">
        <v>546</v>
      </c>
      <c r="F49" t="s">
        <v>550</v>
      </c>
    </row>
    <row r="50" spans="1:6">
      <c r="A50" s="4">
        <v>49</v>
      </c>
      <c r="B50" t="s">
        <v>542</v>
      </c>
      <c r="C50" s="4" t="s">
        <v>543</v>
      </c>
      <c r="D50" s="4"/>
      <c r="E50" s="37">
        <v>46218</v>
      </c>
      <c r="F50" t="s">
        <v>679</v>
      </c>
    </row>
    <row r="51" spans="1:6">
      <c r="A51" s="4">
        <v>50</v>
      </c>
      <c r="B51" t="s">
        <v>542</v>
      </c>
      <c r="C51" s="4" t="s">
        <v>544</v>
      </c>
      <c r="D51" s="37">
        <v>46213</v>
      </c>
      <c r="E51" s="37">
        <v>46217</v>
      </c>
      <c r="F51" t="s">
        <v>679</v>
      </c>
    </row>
    <row r="52" spans="1:6">
      <c r="A52" s="4">
        <v>51</v>
      </c>
      <c r="B52" t="s">
        <v>542</v>
      </c>
      <c r="C52" s="4" t="s">
        <v>543</v>
      </c>
      <c r="D52" s="4"/>
      <c r="E52" s="37">
        <v>46213</v>
      </c>
      <c r="F52" t="s">
        <v>679</v>
      </c>
    </row>
    <row r="53" spans="1:6">
      <c r="A53" s="4">
        <v>52</v>
      </c>
      <c r="B53" t="s">
        <v>542</v>
      </c>
      <c r="C53" s="4" t="s">
        <v>544</v>
      </c>
      <c r="D53" s="4"/>
      <c r="E53" s="37">
        <v>46218</v>
      </c>
      <c r="F53" t="s">
        <v>679</v>
      </c>
    </row>
    <row r="54" spans="1:6">
      <c r="A54" s="4">
        <v>53</v>
      </c>
      <c r="B54" t="s">
        <v>542</v>
      </c>
      <c r="C54" s="4" t="s">
        <v>543</v>
      </c>
      <c r="D54" s="37">
        <v>46213</v>
      </c>
      <c r="E54" s="37">
        <v>46218</v>
      </c>
      <c r="F54" t="s">
        <v>679</v>
      </c>
    </row>
    <row r="55" spans="1:6">
      <c r="A55" s="4">
        <v>54</v>
      </c>
      <c r="B55" t="s">
        <v>542</v>
      </c>
      <c r="C55" s="4" t="s">
        <v>543</v>
      </c>
      <c r="D55" s="4"/>
      <c r="E55" s="37">
        <v>46224</v>
      </c>
      <c r="F55" t="s">
        <v>679</v>
      </c>
    </row>
    <row r="56" spans="1:6">
      <c r="A56" s="4">
        <v>55</v>
      </c>
      <c r="B56" t="s">
        <v>546</v>
      </c>
      <c r="C56" s="4" t="s">
        <v>543</v>
      </c>
      <c r="D56" s="4" t="s">
        <v>546</v>
      </c>
      <c r="E56" s="4" t="s">
        <v>546</v>
      </c>
      <c r="F56" t="s">
        <v>548</v>
      </c>
    </row>
    <row r="57" spans="1:6">
      <c r="A57" s="4">
        <v>56</v>
      </c>
      <c r="B57" t="s">
        <v>542</v>
      </c>
      <c r="C57" s="4" t="s">
        <v>544</v>
      </c>
      <c r="D57" s="4"/>
      <c r="E57" s="37">
        <v>46217</v>
      </c>
    </row>
    <row r="58" spans="1:6">
      <c r="A58" s="4">
        <v>57</v>
      </c>
      <c r="B58" t="s">
        <v>542</v>
      </c>
      <c r="C58" s="4" t="s">
        <v>543</v>
      </c>
      <c r="D58" s="37">
        <v>46225</v>
      </c>
      <c r="E58" s="37">
        <v>46231</v>
      </c>
    </row>
    <row r="59" spans="1:6">
      <c r="A59" s="4">
        <v>58</v>
      </c>
      <c r="B59" t="s">
        <v>542</v>
      </c>
      <c r="C59" s="4" t="s">
        <v>543</v>
      </c>
      <c r="D59" s="37">
        <v>46213</v>
      </c>
      <c r="E59" s="37">
        <v>46226</v>
      </c>
      <c r="F59" t="s">
        <v>679</v>
      </c>
    </row>
    <row r="60" spans="1:6">
      <c r="A60" s="4">
        <v>59</v>
      </c>
      <c r="B60" t="s">
        <v>542</v>
      </c>
      <c r="C60" s="4" t="s">
        <v>544</v>
      </c>
      <c r="D60" s="37">
        <v>46220</v>
      </c>
      <c r="E60" s="37">
        <v>46225</v>
      </c>
      <c r="F60" t="s">
        <v>679</v>
      </c>
    </row>
    <row r="61" spans="1:6">
      <c r="A61" s="4">
        <v>60</v>
      </c>
      <c r="B61" t="s">
        <v>542</v>
      </c>
      <c r="C61" s="4"/>
      <c r="D61" s="37">
        <v>46227</v>
      </c>
      <c r="E61" s="37">
        <v>46231</v>
      </c>
      <c r="F61" t="s">
        <v>679</v>
      </c>
    </row>
    <row r="62" spans="1:6">
      <c r="A62" s="4">
        <v>61</v>
      </c>
      <c r="B62" t="s">
        <v>542</v>
      </c>
      <c r="C62" s="4" t="s">
        <v>543</v>
      </c>
      <c r="D62" s="37">
        <v>46224</v>
      </c>
      <c r="E62" s="37">
        <v>46230</v>
      </c>
      <c r="F62" t="s">
        <v>679</v>
      </c>
    </row>
    <row r="63" spans="1:6">
      <c r="A63" s="4">
        <v>62</v>
      </c>
      <c r="B63" t="s">
        <v>542</v>
      </c>
      <c r="C63" s="4" t="s">
        <v>544</v>
      </c>
      <c r="D63" s="4"/>
      <c r="E63" s="37">
        <v>46220</v>
      </c>
      <c r="F63" t="s">
        <v>679</v>
      </c>
    </row>
    <row r="64" spans="1:6">
      <c r="A64" s="4">
        <v>63</v>
      </c>
      <c r="B64" t="s">
        <v>542</v>
      </c>
      <c r="C64" s="4"/>
      <c r="D64" s="37">
        <v>46227</v>
      </c>
      <c r="E64" s="37">
        <v>46232</v>
      </c>
      <c r="F64" t="s">
        <v>680</v>
      </c>
    </row>
    <row r="65" spans="1:6">
      <c r="A65" s="4">
        <v>64</v>
      </c>
      <c r="B65" s="43" t="s">
        <v>542</v>
      </c>
      <c r="C65" s="4" t="s">
        <v>544</v>
      </c>
      <c r="D65" s="37">
        <v>46225</v>
      </c>
      <c r="E65" s="37">
        <v>46230</v>
      </c>
      <c r="F65" s="43" t="s">
        <v>679</v>
      </c>
    </row>
    <row r="66" spans="1:6">
      <c r="A66" s="4">
        <v>65</v>
      </c>
      <c r="B66" s="43" t="s">
        <v>542</v>
      </c>
      <c r="C66" s="4" t="s">
        <v>543</v>
      </c>
      <c r="D66" s="4" t="s">
        <v>650</v>
      </c>
      <c r="E66" s="37">
        <v>46230</v>
      </c>
      <c r="F66" s="43" t="s">
        <v>679</v>
      </c>
    </row>
    <row r="67" spans="1:6">
      <c r="A67" s="4">
        <v>66</v>
      </c>
      <c r="B67" s="43" t="s">
        <v>542</v>
      </c>
      <c r="C67" s="4" t="s">
        <v>543</v>
      </c>
      <c r="D67" s="4"/>
      <c r="E67" s="37">
        <v>46224</v>
      </c>
      <c r="F67" s="43" t="s">
        <v>679</v>
      </c>
    </row>
    <row r="68" spans="1:6">
      <c r="A68" s="4">
        <v>67</v>
      </c>
      <c r="B68" s="43" t="s">
        <v>542</v>
      </c>
      <c r="C68" s="4" t="s">
        <v>543</v>
      </c>
      <c r="D68" s="4"/>
      <c r="E68" s="37">
        <v>46224</v>
      </c>
      <c r="F68" s="43" t="s">
        <v>679</v>
      </c>
    </row>
    <row r="69" spans="1:6">
      <c r="A69" s="4">
        <v>68</v>
      </c>
      <c r="B69" s="43" t="s">
        <v>542</v>
      </c>
      <c r="C69" s="4" t="s">
        <v>543</v>
      </c>
      <c r="D69" s="4"/>
      <c r="E69" s="37">
        <v>46224</v>
      </c>
      <c r="F69" s="43" t="s">
        <v>679</v>
      </c>
    </row>
    <row r="70" spans="1:6">
      <c r="A70" s="4">
        <v>69</v>
      </c>
      <c r="B70" s="43" t="s">
        <v>542</v>
      </c>
      <c r="C70" s="4" t="s">
        <v>543</v>
      </c>
      <c r="D70" s="4"/>
      <c r="E70" s="37">
        <v>46231</v>
      </c>
      <c r="F70" s="43" t="s">
        <v>681</v>
      </c>
    </row>
    <row r="71" spans="1:6">
      <c r="A71" s="4">
        <v>70</v>
      </c>
      <c r="B71" s="43" t="s">
        <v>546</v>
      </c>
      <c r="C71" s="4" t="s">
        <v>544</v>
      </c>
      <c r="D71" s="4" t="s">
        <v>546</v>
      </c>
      <c r="E71" s="4"/>
      <c r="F71" s="43" t="s">
        <v>682</v>
      </c>
    </row>
    <row r="72" spans="1:6">
      <c r="A72" s="4">
        <v>71</v>
      </c>
      <c r="B72" s="43" t="s">
        <v>546</v>
      </c>
      <c r="C72" s="4" t="s">
        <v>543</v>
      </c>
      <c r="D72" s="4" t="s">
        <v>546</v>
      </c>
      <c r="E72" s="4"/>
      <c r="F72" s="43" t="s">
        <v>548</v>
      </c>
    </row>
    <row r="73" spans="1:6">
      <c r="A73" s="4">
        <v>72</v>
      </c>
      <c r="B73" s="43" t="s">
        <v>546</v>
      </c>
      <c r="C73" s="4" t="s">
        <v>543</v>
      </c>
      <c r="D73" s="4" t="s">
        <v>546</v>
      </c>
      <c r="E73" s="4"/>
      <c r="F73" s="43" t="s">
        <v>548</v>
      </c>
    </row>
  </sheetData>
  <conditionalFormatting sqref="B2:B73">
    <cfRule type="cellIs" dxfId="27" priority="5" operator="equal">
      <formula>"gestionado"</formula>
    </cfRule>
    <cfRule type="cellIs" dxfId="26" priority="6" operator="equal">
      <formula>"procesado"</formula>
    </cfRule>
    <cfRule type="cellIs" dxfId="25" priority="7" operator="equal">
      <formula>"pendiente"</formula>
    </cfRule>
    <cfRule type="cellIs" dxfId="24" priority="8" operator="equal">
      <formula>"pendiente "</formula>
    </cfRule>
  </conditionalFormatting>
  <conditionalFormatting sqref="B65:B71">
    <cfRule type="cellIs" dxfId="23" priority="1" operator="equal">
      <formula>"gestionado"</formula>
    </cfRule>
    <cfRule type="cellIs" dxfId="22" priority="2" operator="equal">
      <formula>"procesado"</formula>
    </cfRule>
    <cfRule type="cellIs" dxfId="21" priority="3" operator="equal">
      <formula>"pendiente"</formula>
    </cfRule>
    <cfRule type="cellIs" dxfId="2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DBB9-A2D3-4520-BC24-74760ED79BB6}">
  <sheetPr>
    <tabColor rgb="FF002060"/>
  </sheetPr>
  <dimension ref="A1:C85"/>
  <sheetViews>
    <sheetView topLeftCell="A64" workbookViewId="0">
      <selection activeCell="D78" sqref="D78"/>
    </sheetView>
  </sheetViews>
  <sheetFormatPr baseColWidth="10" defaultColWidth="11.42578125" defaultRowHeight="15"/>
  <cols>
    <col min="1" max="1" width="13.28515625" bestFit="1" customWidth="1"/>
    <col min="2" max="2" width="15.7109375" bestFit="1" customWidth="1"/>
    <col min="3" max="3" width="16.28515625" bestFit="1" customWidth="1"/>
  </cols>
  <sheetData>
    <row r="1" spans="1:3" ht="15.75" thickBot="1">
      <c r="A1" s="34" t="s">
        <v>0</v>
      </c>
      <c r="B1" s="32" t="s">
        <v>19</v>
      </c>
      <c r="C1" s="32" t="s">
        <v>20</v>
      </c>
    </row>
    <row r="2" spans="1:3">
      <c r="A2" s="29" t="s">
        <v>24</v>
      </c>
      <c r="B2" s="30"/>
      <c r="C2" s="30">
        <v>46175</v>
      </c>
    </row>
    <row r="3" spans="1:3">
      <c r="A3" s="28" t="s">
        <v>24</v>
      </c>
      <c r="B3" s="33">
        <v>46169</v>
      </c>
      <c r="C3" s="33">
        <v>46177</v>
      </c>
    </row>
    <row r="4" spans="1:3">
      <c r="A4" s="29" t="s">
        <v>24</v>
      </c>
      <c r="B4" s="30">
        <v>46171</v>
      </c>
      <c r="C4" s="30">
        <v>46177</v>
      </c>
    </row>
    <row r="5" spans="1:3">
      <c r="A5" s="28" t="s">
        <v>24</v>
      </c>
      <c r="B5" s="33">
        <v>46171</v>
      </c>
      <c r="C5" s="33">
        <v>46177</v>
      </c>
    </row>
    <row r="6" spans="1:3">
      <c r="A6" s="29" t="s">
        <v>48</v>
      </c>
      <c r="B6" s="30">
        <v>46168</v>
      </c>
      <c r="C6" s="30">
        <v>46171</v>
      </c>
    </row>
    <row r="7" spans="1:3">
      <c r="A7" s="28" t="s">
        <v>61</v>
      </c>
      <c r="B7" s="33"/>
      <c r="C7" s="33">
        <v>46171</v>
      </c>
    </row>
    <row r="8" spans="1:3">
      <c r="A8" s="29" t="s">
        <v>69</v>
      </c>
      <c r="B8" s="30"/>
      <c r="C8" s="30">
        <v>46177</v>
      </c>
    </row>
    <row r="9" spans="1:3">
      <c r="A9" s="35" t="s">
        <v>69</v>
      </c>
      <c r="B9" s="33">
        <v>46170</v>
      </c>
      <c r="C9" s="33">
        <v>46172</v>
      </c>
    </row>
    <row r="10" spans="1:3">
      <c r="A10" s="29" t="s">
        <v>79</v>
      </c>
      <c r="B10" s="30"/>
      <c r="C10" s="30">
        <v>46171</v>
      </c>
    </row>
    <row r="11" spans="1:3">
      <c r="A11" s="28" t="s">
        <v>88</v>
      </c>
      <c r="B11" s="33">
        <v>46170</v>
      </c>
      <c r="C11" s="33">
        <v>46175</v>
      </c>
    </row>
    <row r="12" spans="1:3">
      <c r="A12" s="29" t="s">
        <v>96</v>
      </c>
      <c r="B12" s="30">
        <v>46171</v>
      </c>
      <c r="C12" s="30">
        <v>46175</v>
      </c>
    </row>
    <row r="13" spans="1:3">
      <c r="A13" s="28" t="s">
        <v>103</v>
      </c>
      <c r="B13" s="33"/>
      <c r="C13" s="33">
        <v>46179</v>
      </c>
    </row>
    <row r="14" spans="1:3">
      <c r="A14" s="29" t="s">
        <v>110</v>
      </c>
      <c r="B14" s="30"/>
      <c r="C14" s="30">
        <v>46179</v>
      </c>
    </row>
    <row r="15" spans="1:3">
      <c r="A15" s="28" t="s">
        <v>116</v>
      </c>
      <c r="B15" s="33">
        <v>46170</v>
      </c>
      <c r="C15" s="33">
        <v>46175</v>
      </c>
    </row>
    <row r="16" spans="1:3">
      <c r="A16" s="29" t="s">
        <v>116</v>
      </c>
      <c r="B16" s="30">
        <v>46170</v>
      </c>
      <c r="C16" s="30">
        <v>46181</v>
      </c>
    </row>
    <row r="17" spans="1:3">
      <c r="A17" s="28" t="s">
        <v>116</v>
      </c>
      <c r="B17" s="33">
        <v>46170</v>
      </c>
      <c r="C17" s="33">
        <v>46175</v>
      </c>
    </row>
    <row r="18" spans="1:3">
      <c r="A18" s="29" t="s">
        <v>130</v>
      </c>
      <c r="B18" s="30">
        <v>46170</v>
      </c>
      <c r="C18" s="30">
        <v>46170</v>
      </c>
    </row>
    <row r="19" spans="1:3">
      <c r="A19" s="28" t="s">
        <v>130</v>
      </c>
      <c r="B19" s="33">
        <v>46170</v>
      </c>
      <c r="C19" s="33">
        <v>46170</v>
      </c>
    </row>
    <row r="20" spans="1:3">
      <c r="A20" s="29" t="s">
        <v>140</v>
      </c>
      <c r="B20" s="30">
        <v>46170</v>
      </c>
      <c r="C20" s="30">
        <v>46170</v>
      </c>
    </row>
    <row r="21" spans="1:3">
      <c r="A21" s="28" t="s">
        <v>140</v>
      </c>
      <c r="B21" s="33">
        <v>46170</v>
      </c>
      <c r="C21" s="33">
        <v>46170</v>
      </c>
    </row>
    <row r="22" spans="1:3">
      <c r="A22" s="29" t="s">
        <v>140</v>
      </c>
      <c r="B22" s="30">
        <v>46170</v>
      </c>
      <c r="C22" s="30">
        <v>46170</v>
      </c>
    </row>
    <row r="23" spans="1:3">
      <c r="A23" s="28" t="s">
        <v>152</v>
      </c>
      <c r="B23" s="33">
        <v>46169</v>
      </c>
      <c r="C23" s="33">
        <v>46170</v>
      </c>
    </row>
    <row r="24" spans="1:3">
      <c r="A24" s="29" t="s">
        <v>160</v>
      </c>
      <c r="B24" s="30"/>
      <c r="C24" s="30">
        <v>46176</v>
      </c>
    </row>
    <row r="25" spans="1:3">
      <c r="A25" s="28" t="s">
        <v>169</v>
      </c>
      <c r="B25" s="33">
        <v>46184</v>
      </c>
      <c r="C25" s="33">
        <v>46188</v>
      </c>
    </row>
    <row r="26" spans="1:3">
      <c r="A26" s="29" t="s">
        <v>169</v>
      </c>
      <c r="B26" s="30">
        <v>46184</v>
      </c>
      <c r="C26" s="30">
        <v>46188</v>
      </c>
    </row>
    <row r="27" spans="1:3">
      <c r="A27" s="28" t="s">
        <v>169</v>
      </c>
      <c r="B27" s="33">
        <v>46184</v>
      </c>
      <c r="C27" s="33">
        <v>46188</v>
      </c>
    </row>
    <row r="28" spans="1:3">
      <c r="A28" s="29" t="s">
        <v>182</v>
      </c>
      <c r="B28" s="30">
        <v>46175</v>
      </c>
      <c r="C28" s="30">
        <v>46181</v>
      </c>
    </row>
    <row r="29" spans="1:3">
      <c r="A29" s="28" t="s">
        <v>191</v>
      </c>
      <c r="B29" s="33"/>
      <c r="C29" s="33">
        <v>46189</v>
      </c>
    </row>
    <row r="30" spans="1:3">
      <c r="A30" s="29" t="s">
        <v>199</v>
      </c>
      <c r="B30" s="30"/>
      <c r="C30" s="30"/>
    </row>
    <row r="31" spans="1:3">
      <c r="A31" s="28" t="s">
        <v>205</v>
      </c>
      <c r="B31" s="33">
        <v>46170</v>
      </c>
      <c r="C31" s="33">
        <v>46192</v>
      </c>
    </row>
    <row r="32" spans="1:3">
      <c r="A32" s="29" t="s">
        <v>208</v>
      </c>
      <c r="B32" s="30"/>
      <c r="C32" s="30">
        <v>46188</v>
      </c>
    </row>
    <row r="33" spans="1:3">
      <c r="A33" s="28" t="s">
        <v>214</v>
      </c>
      <c r="B33" s="33"/>
      <c r="C33" s="33">
        <v>46176</v>
      </c>
    </row>
    <row r="34" spans="1:3">
      <c r="A34" s="29" t="s">
        <v>220</v>
      </c>
      <c r="B34" s="30"/>
      <c r="C34" s="30">
        <v>46191</v>
      </c>
    </row>
    <row r="35" spans="1:3">
      <c r="A35" s="28" t="s">
        <v>224</v>
      </c>
      <c r="B35" s="30"/>
      <c r="C35" s="30"/>
    </row>
    <row r="36" spans="1:3">
      <c r="A36" s="29" t="s">
        <v>228</v>
      </c>
      <c r="B36" s="30"/>
      <c r="C36" s="30">
        <v>46190</v>
      </c>
    </row>
    <row r="37" spans="1:3">
      <c r="A37" s="28" t="s">
        <v>231</v>
      </c>
      <c r="B37" s="30"/>
      <c r="C37" s="30">
        <v>46211</v>
      </c>
    </row>
    <row r="38" spans="1:3">
      <c r="A38" s="29" t="s">
        <v>237</v>
      </c>
      <c r="B38" s="30"/>
      <c r="C38" s="30">
        <v>46211</v>
      </c>
    </row>
    <row r="39" spans="1:3">
      <c r="A39" s="28" t="s">
        <v>237</v>
      </c>
      <c r="B39" s="33"/>
      <c r="C39" s="33">
        <v>46190</v>
      </c>
    </row>
    <row r="40" spans="1:3">
      <c r="A40" s="29" t="s">
        <v>237</v>
      </c>
      <c r="B40" s="30"/>
      <c r="C40" s="30">
        <v>46203</v>
      </c>
    </row>
    <row r="41" spans="1:3">
      <c r="A41" s="28" t="s">
        <v>250</v>
      </c>
      <c r="B41" s="33">
        <v>46200</v>
      </c>
      <c r="C41" s="33">
        <v>46209</v>
      </c>
    </row>
    <row r="42" spans="1:3">
      <c r="A42" s="29" t="s">
        <v>258</v>
      </c>
      <c r="B42" s="30">
        <v>46200</v>
      </c>
      <c r="C42" s="30">
        <v>46209</v>
      </c>
    </row>
    <row r="43" spans="1:3">
      <c r="A43" s="28" t="s">
        <v>258</v>
      </c>
      <c r="B43" s="33"/>
      <c r="C43" s="33">
        <v>46199</v>
      </c>
    </row>
    <row r="44" spans="1:3">
      <c r="A44" s="29" t="s">
        <v>258</v>
      </c>
      <c r="B44" s="30"/>
      <c r="C44" s="30"/>
    </row>
    <row r="45" spans="1:3">
      <c r="A45" s="28" t="s">
        <v>268</v>
      </c>
      <c r="B45" s="30"/>
      <c r="C45" s="30"/>
    </row>
    <row r="46" spans="1:3">
      <c r="A46" s="29" t="s">
        <v>268</v>
      </c>
      <c r="B46" s="30"/>
      <c r="C46" s="30">
        <v>46178</v>
      </c>
    </row>
    <row r="47" spans="1:3">
      <c r="A47" s="28" t="s">
        <v>268</v>
      </c>
      <c r="B47" s="30"/>
      <c r="C47" s="30"/>
    </row>
    <row r="48" spans="1:3">
      <c r="A48" s="29" t="s">
        <v>280</v>
      </c>
      <c r="B48" s="30"/>
      <c r="C48" s="30">
        <v>46203</v>
      </c>
    </row>
    <row r="49" spans="1:3">
      <c r="A49" s="28" t="s">
        <v>287</v>
      </c>
      <c r="B49" s="33">
        <v>46198</v>
      </c>
      <c r="C49" s="33">
        <v>46206</v>
      </c>
    </row>
    <row r="50" spans="1:3">
      <c r="A50" s="29" t="s">
        <v>293</v>
      </c>
      <c r="B50" s="30">
        <v>46175</v>
      </c>
      <c r="C50" s="30">
        <v>46177</v>
      </c>
    </row>
    <row r="51" spans="1:3">
      <c r="A51" s="28" t="s">
        <v>301</v>
      </c>
      <c r="B51" s="30">
        <v>46185</v>
      </c>
      <c r="C51" s="30">
        <v>46189</v>
      </c>
    </row>
    <row r="52" spans="1:3">
      <c r="A52" s="29" t="s">
        <v>309</v>
      </c>
      <c r="B52" s="30">
        <v>46205</v>
      </c>
      <c r="C52" s="30">
        <v>46209</v>
      </c>
    </row>
    <row r="53" spans="1:3">
      <c r="A53" s="28" t="s">
        <v>309</v>
      </c>
      <c r="B53" s="33">
        <v>46205</v>
      </c>
      <c r="C53" s="33"/>
    </row>
    <row r="54" spans="1:3">
      <c r="A54" s="29" t="s">
        <v>309</v>
      </c>
      <c r="B54" s="30">
        <v>46209</v>
      </c>
      <c r="C54" s="30"/>
    </row>
    <row r="55" spans="1:3">
      <c r="A55" s="28" t="s">
        <v>309</v>
      </c>
      <c r="B55" s="33">
        <v>46209</v>
      </c>
      <c r="C55" s="33"/>
    </row>
    <row r="56" spans="1:3">
      <c r="A56" s="29" t="s">
        <v>309</v>
      </c>
      <c r="B56" s="30">
        <v>46209</v>
      </c>
      <c r="C56" s="30"/>
    </row>
    <row r="57" spans="1:3">
      <c r="A57" s="28" t="s">
        <v>324</v>
      </c>
      <c r="B57" s="33"/>
      <c r="C57" s="33">
        <v>46211</v>
      </c>
    </row>
    <row r="58" spans="1:3">
      <c r="A58" s="29" t="s">
        <v>330</v>
      </c>
      <c r="B58" s="30"/>
      <c r="C58" s="30">
        <v>46211</v>
      </c>
    </row>
    <row r="59" spans="1:3">
      <c r="A59" s="28" t="s">
        <v>334</v>
      </c>
      <c r="B59" s="33"/>
      <c r="C59" s="33">
        <v>46209</v>
      </c>
    </row>
    <row r="60" spans="1:3">
      <c r="A60" s="29" t="s">
        <v>339</v>
      </c>
      <c r="B60" s="30"/>
      <c r="C60" s="30">
        <v>46209</v>
      </c>
    </row>
    <row r="61" spans="1:3">
      <c r="A61" s="28" t="s">
        <v>343</v>
      </c>
      <c r="B61" s="33"/>
      <c r="C61" s="33">
        <v>46211</v>
      </c>
    </row>
    <row r="62" spans="1:3">
      <c r="A62" s="29" t="s">
        <v>350</v>
      </c>
      <c r="B62" s="30"/>
      <c r="C62" s="30"/>
    </row>
    <row r="63" spans="1:3">
      <c r="A63" s="28" t="s">
        <v>353</v>
      </c>
      <c r="B63" s="33"/>
      <c r="C63" s="33"/>
    </row>
    <row r="64" spans="1:3">
      <c r="A64" s="29" t="s">
        <v>359</v>
      </c>
      <c r="B64" s="30"/>
      <c r="C64" s="30"/>
    </row>
    <row r="65" spans="1:3">
      <c r="A65" s="28" t="s">
        <v>363</v>
      </c>
      <c r="B65" s="33">
        <v>46185</v>
      </c>
      <c r="C65" s="33">
        <v>46190</v>
      </c>
    </row>
    <row r="66" spans="1:3">
      <c r="A66" s="29" t="s">
        <v>368</v>
      </c>
      <c r="B66" s="30"/>
      <c r="C66" s="38">
        <v>46218</v>
      </c>
    </row>
    <row r="67" spans="1:3">
      <c r="A67" s="28" t="s">
        <v>372</v>
      </c>
      <c r="B67" s="33"/>
      <c r="C67" s="33"/>
    </row>
    <row r="68" spans="1:3">
      <c r="A68" s="29" t="s">
        <v>376</v>
      </c>
      <c r="B68" s="30"/>
      <c r="C68" s="30"/>
    </row>
    <row r="69" spans="1:3">
      <c r="A69" s="28" t="s">
        <v>379</v>
      </c>
      <c r="B69" s="33"/>
      <c r="C69" s="33"/>
    </row>
    <row r="70" spans="1:3">
      <c r="A70" s="29" t="s">
        <v>385</v>
      </c>
      <c r="B70" s="30"/>
      <c r="C70" s="30"/>
    </row>
    <row r="71" spans="1:3">
      <c r="A71" s="28" t="s">
        <v>389</v>
      </c>
      <c r="B71" s="33"/>
      <c r="C71" s="39">
        <v>46218</v>
      </c>
    </row>
    <row r="72" spans="1:3">
      <c r="A72" s="29" t="s">
        <v>393</v>
      </c>
      <c r="B72" s="30"/>
      <c r="C72" s="38">
        <v>46217</v>
      </c>
    </row>
    <row r="73" spans="1:3">
      <c r="A73" s="28" t="s">
        <v>397</v>
      </c>
      <c r="B73" s="33"/>
      <c r="C73" s="39">
        <v>46213</v>
      </c>
    </row>
    <row r="74" spans="1:3">
      <c r="A74" s="29" t="s">
        <v>401</v>
      </c>
      <c r="B74" s="30"/>
      <c r="C74" s="38">
        <v>46218</v>
      </c>
    </row>
    <row r="75" spans="1:3">
      <c r="A75" s="28" t="s">
        <v>404</v>
      </c>
      <c r="B75" s="33"/>
      <c r="C75" s="39">
        <v>46218</v>
      </c>
    </row>
    <row r="76" spans="1:3">
      <c r="A76" s="29" t="s">
        <v>408</v>
      </c>
      <c r="B76" s="30"/>
      <c r="C76" s="30"/>
    </row>
    <row r="77" spans="1:3">
      <c r="A77" s="28" t="s">
        <v>411</v>
      </c>
      <c r="B77" s="33"/>
      <c r="C77" s="33"/>
    </row>
    <row r="78" spans="1:3">
      <c r="A78" s="29" t="s">
        <v>414</v>
      </c>
      <c r="B78" s="30"/>
      <c r="C78" s="38">
        <v>46217</v>
      </c>
    </row>
    <row r="79" spans="1:3">
      <c r="A79" s="28" t="s">
        <v>418</v>
      </c>
      <c r="B79" s="33"/>
      <c r="C79" s="33"/>
    </row>
    <row r="80" spans="1:3">
      <c r="A80" s="29" t="s">
        <v>422</v>
      </c>
      <c r="B80" s="30"/>
      <c r="C80" s="38">
        <v>46216</v>
      </c>
    </row>
    <row r="81" spans="1:3">
      <c r="A81" s="28" t="s">
        <v>425</v>
      </c>
      <c r="B81" s="33"/>
      <c r="C81" s="39">
        <v>46225</v>
      </c>
    </row>
    <row r="82" spans="1:3">
      <c r="A82" s="29" t="s">
        <v>429</v>
      </c>
      <c r="B82" s="30"/>
      <c r="C82" s="30"/>
    </row>
    <row r="83" spans="1:3">
      <c r="A83" s="28" t="s">
        <v>433</v>
      </c>
      <c r="B83" s="33"/>
      <c r="C83" s="33"/>
    </row>
    <row r="84" spans="1:3">
      <c r="A84" s="29" t="s">
        <v>433</v>
      </c>
      <c r="B84" s="30"/>
      <c r="C84" s="30"/>
    </row>
    <row r="85" spans="1:3">
      <c r="A85" s="28" t="s">
        <v>438</v>
      </c>
      <c r="B85" s="33"/>
      <c r="C85" s="3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K153"/>
  <sheetViews>
    <sheetView topLeftCell="A115" workbookViewId="0">
      <selection activeCell="F147" sqref="F147"/>
    </sheetView>
  </sheetViews>
  <sheetFormatPr baseColWidth="10" defaultColWidth="11.42578125" defaultRowHeight="15"/>
  <cols>
    <col min="1" max="1" width="34.42578125" bestFit="1" customWidth="1"/>
    <col min="2" max="2" width="22.42578125" bestFit="1" customWidth="1"/>
    <col min="3" max="3" width="12.5703125" bestFit="1" customWidth="1"/>
    <col min="4" max="4" width="8.28515625" bestFit="1" customWidth="1"/>
    <col min="5" max="5" width="11.28515625" bestFit="1" customWidth="1"/>
    <col min="6" max="6" width="20" bestFit="1" customWidth="1"/>
    <col min="7" max="7" width="12.5703125" bestFit="1" customWidth="1"/>
    <col min="8" max="8" width="12.42578125" bestFit="1" customWidth="1"/>
    <col min="9" max="9" width="12.140625" bestFit="1" customWidth="1"/>
    <col min="10" max="10" width="34.85546875" bestFit="1" customWidth="1"/>
    <col min="11" max="11" width="12.5703125" bestFit="1" customWidth="1"/>
  </cols>
  <sheetData>
    <row r="3" spans="1:4">
      <c r="A3" s="3" t="s">
        <v>444</v>
      </c>
      <c r="B3" t="s">
        <v>445</v>
      </c>
    </row>
    <row r="4" spans="1:4">
      <c r="A4" s="9">
        <v>21</v>
      </c>
      <c r="B4" s="44">
        <v>8</v>
      </c>
    </row>
    <row r="5" spans="1:4">
      <c r="A5" s="9">
        <v>22</v>
      </c>
      <c r="B5" s="44">
        <v>5</v>
      </c>
    </row>
    <row r="6" spans="1:4">
      <c r="A6" s="9">
        <v>23</v>
      </c>
      <c r="B6" s="44">
        <v>9</v>
      </c>
    </row>
    <row r="7" spans="1:4">
      <c r="A7" s="9">
        <v>24</v>
      </c>
      <c r="B7" s="44">
        <v>5</v>
      </c>
    </row>
    <row r="8" spans="1:4">
      <c r="A8" s="9">
        <v>25</v>
      </c>
      <c r="B8" s="44">
        <v>7</v>
      </c>
    </row>
    <row r="9" spans="1:4">
      <c r="A9" s="9">
        <v>26</v>
      </c>
      <c r="B9" s="44">
        <v>3</v>
      </c>
    </row>
    <row r="10" spans="1:4">
      <c r="A10" s="9">
        <v>27</v>
      </c>
      <c r="B10" s="44">
        <v>10</v>
      </c>
    </row>
    <row r="11" spans="1:4">
      <c r="A11" s="9">
        <v>28</v>
      </c>
      <c r="B11" s="44">
        <v>13</v>
      </c>
    </row>
    <row r="12" spans="1:4">
      <c r="A12" s="9">
        <v>29</v>
      </c>
      <c r="B12" s="44">
        <v>4</v>
      </c>
    </row>
    <row r="13" spans="1:4">
      <c r="A13" s="9">
        <v>30</v>
      </c>
      <c r="B13" s="44">
        <v>9</v>
      </c>
    </row>
    <row r="14" spans="1:4">
      <c r="A14" s="9" t="s">
        <v>446</v>
      </c>
      <c r="B14" s="44">
        <v>73</v>
      </c>
    </row>
    <row r="15" spans="1:4">
      <c r="D15" s="26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0.19178082191780821</v>
      </c>
    </row>
    <row r="16" spans="1:4">
      <c r="A16" s="3" t="s">
        <v>445</v>
      </c>
      <c r="B16" s="3" t="s">
        <v>447</v>
      </c>
    </row>
    <row r="17" spans="1:11">
      <c r="A17" s="3" t="s">
        <v>444</v>
      </c>
      <c r="B17" t="s">
        <v>551</v>
      </c>
      <c r="C17" t="s">
        <v>448</v>
      </c>
      <c r="D17" t="s">
        <v>176</v>
      </c>
      <c r="E17" t="s">
        <v>57</v>
      </c>
      <c r="F17" t="s">
        <v>34</v>
      </c>
      <c r="G17" t="s">
        <v>384</v>
      </c>
      <c r="H17" t="s">
        <v>86</v>
      </c>
      <c r="I17" t="s">
        <v>101</v>
      </c>
      <c r="J17" t="s">
        <v>123</v>
      </c>
      <c r="K17" t="s">
        <v>446</v>
      </c>
    </row>
    <row r="18" spans="1:11">
      <c r="A18" s="9">
        <v>21</v>
      </c>
      <c r="B18" s="44"/>
      <c r="C18" s="44"/>
      <c r="D18" s="44"/>
      <c r="E18" s="44">
        <v>4</v>
      </c>
      <c r="F18" s="44">
        <v>2</v>
      </c>
      <c r="G18" s="44"/>
      <c r="H18" s="44"/>
      <c r="I18" s="44">
        <v>1</v>
      </c>
      <c r="J18" s="44">
        <v>1</v>
      </c>
      <c r="K18" s="44">
        <v>8</v>
      </c>
    </row>
    <row r="19" spans="1:11">
      <c r="A19" s="9">
        <v>22</v>
      </c>
      <c r="B19" s="44"/>
      <c r="C19" s="44"/>
      <c r="D19" s="44"/>
      <c r="E19" s="44">
        <v>2</v>
      </c>
      <c r="F19" s="44"/>
      <c r="G19" s="44"/>
      <c r="H19" s="44">
        <v>1</v>
      </c>
      <c r="I19" s="44">
        <v>2</v>
      </c>
      <c r="J19" s="44"/>
      <c r="K19" s="44">
        <v>5</v>
      </c>
    </row>
    <row r="20" spans="1:11">
      <c r="A20" s="9">
        <v>23</v>
      </c>
      <c r="B20" s="44"/>
      <c r="C20" s="44">
        <v>2</v>
      </c>
      <c r="D20" s="44">
        <v>1</v>
      </c>
      <c r="E20" s="44">
        <v>2</v>
      </c>
      <c r="F20" s="44"/>
      <c r="G20" s="44"/>
      <c r="H20" s="44">
        <v>4</v>
      </c>
      <c r="I20" s="44"/>
      <c r="J20" s="44"/>
      <c r="K20" s="44">
        <v>9</v>
      </c>
    </row>
    <row r="21" spans="1:11">
      <c r="A21" s="9">
        <v>24</v>
      </c>
      <c r="B21" s="44"/>
      <c r="C21" s="44"/>
      <c r="D21" s="44"/>
      <c r="E21" s="44">
        <v>1</v>
      </c>
      <c r="F21" s="44">
        <v>3</v>
      </c>
      <c r="G21" s="44"/>
      <c r="H21" s="44"/>
      <c r="I21" s="44">
        <v>1</v>
      </c>
      <c r="J21" s="44"/>
      <c r="K21" s="44">
        <v>5</v>
      </c>
    </row>
    <row r="22" spans="1:11">
      <c r="A22" s="9">
        <v>25</v>
      </c>
      <c r="B22" s="44">
        <v>2</v>
      </c>
      <c r="C22" s="44"/>
      <c r="D22" s="44"/>
      <c r="E22" s="44"/>
      <c r="F22" s="44">
        <v>1</v>
      </c>
      <c r="G22" s="44"/>
      <c r="H22" s="44">
        <v>1</v>
      </c>
      <c r="I22" s="44">
        <v>3</v>
      </c>
      <c r="J22" s="44"/>
      <c r="K22" s="44">
        <v>7</v>
      </c>
    </row>
    <row r="23" spans="1:11">
      <c r="A23" s="9">
        <v>26</v>
      </c>
      <c r="B23" s="44"/>
      <c r="C23" s="44"/>
      <c r="D23" s="44"/>
      <c r="E23" s="44">
        <v>1</v>
      </c>
      <c r="F23" s="44"/>
      <c r="G23" s="44"/>
      <c r="H23" s="44"/>
      <c r="I23" s="44">
        <v>2</v>
      </c>
      <c r="J23" s="44"/>
      <c r="K23" s="44">
        <v>3</v>
      </c>
    </row>
    <row r="24" spans="1:11">
      <c r="A24" s="9">
        <v>27</v>
      </c>
      <c r="B24" s="44">
        <v>3</v>
      </c>
      <c r="C24" s="44"/>
      <c r="D24" s="44">
        <v>1</v>
      </c>
      <c r="E24" s="44">
        <v>1</v>
      </c>
      <c r="F24" s="44">
        <v>2</v>
      </c>
      <c r="G24" s="44"/>
      <c r="H24" s="44"/>
      <c r="I24" s="44">
        <v>2</v>
      </c>
      <c r="J24" s="44">
        <v>1</v>
      </c>
      <c r="K24" s="44">
        <v>10</v>
      </c>
    </row>
    <row r="25" spans="1:11">
      <c r="A25" s="9">
        <v>28</v>
      </c>
      <c r="B25" s="44">
        <v>2</v>
      </c>
      <c r="C25" s="44">
        <v>2</v>
      </c>
      <c r="D25" s="44">
        <v>2</v>
      </c>
      <c r="E25" s="44">
        <v>1</v>
      </c>
      <c r="F25" s="44"/>
      <c r="G25" s="44">
        <v>3</v>
      </c>
      <c r="H25" s="44">
        <v>1</v>
      </c>
      <c r="I25" s="44">
        <v>2</v>
      </c>
      <c r="J25" s="44"/>
      <c r="K25" s="44">
        <v>13</v>
      </c>
    </row>
    <row r="26" spans="1:11">
      <c r="A26" s="9">
        <v>29</v>
      </c>
      <c r="B26" s="44">
        <v>2</v>
      </c>
      <c r="C26" s="44"/>
      <c r="D26" s="44"/>
      <c r="E26" s="44"/>
      <c r="F26" s="44"/>
      <c r="G26" s="44"/>
      <c r="H26" s="44"/>
      <c r="I26" s="44">
        <v>2</v>
      </c>
      <c r="J26" s="44"/>
      <c r="K26" s="44">
        <v>4</v>
      </c>
    </row>
    <row r="27" spans="1:11">
      <c r="A27" s="9">
        <v>30</v>
      </c>
      <c r="B27" s="44">
        <v>1</v>
      </c>
      <c r="C27" s="44">
        <v>2</v>
      </c>
      <c r="D27" s="44"/>
      <c r="E27" s="44">
        <v>2</v>
      </c>
      <c r="F27" s="44"/>
      <c r="G27" s="44">
        <v>1</v>
      </c>
      <c r="H27" s="44">
        <v>2</v>
      </c>
      <c r="I27" s="44"/>
      <c r="J27" s="44">
        <v>1</v>
      </c>
      <c r="K27" s="44">
        <v>9</v>
      </c>
    </row>
    <row r="28" spans="1:11">
      <c r="A28" s="9" t="s">
        <v>446</v>
      </c>
      <c r="B28" s="44">
        <v>10</v>
      </c>
      <c r="C28" s="44">
        <v>6</v>
      </c>
      <c r="D28" s="44">
        <v>4</v>
      </c>
      <c r="E28" s="44">
        <v>14</v>
      </c>
      <c r="F28" s="44">
        <v>8</v>
      </c>
      <c r="G28" s="44">
        <v>4</v>
      </c>
      <c r="H28" s="44">
        <v>9</v>
      </c>
      <c r="I28" s="44">
        <v>15</v>
      </c>
      <c r="J28" s="44">
        <v>3</v>
      </c>
      <c r="K28" s="44">
        <v>73</v>
      </c>
    </row>
    <row r="31" spans="1:11">
      <c r="F31" s="26">
        <f>+GETPIVOTDATA("[Measures].[Recuento distinto de Requisiciones]",$A$32,"[Control].[Zona requisición]","[Control].[Zona requisición].&amp;[12 Araucanía]")/GETPIVOTDATA("[Measures].[Recuento distinto de Requisiciones]",$A$32)</f>
        <v>0.38356164383561642</v>
      </c>
    </row>
    <row r="32" spans="1:11">
      <c r="A32" s="3" t="s">
        <v>445</v>
      </c>
      <c r="B32" s="3" t="s">
        <v>447</v>
      </c>
    </row>
    <row r="33" spans="1:11">
      <c r="A33" s="3" t="s">
        <v>444</v>
      </c>
      <c r="B33" t="s">
        <v>551</v>
      </c>
      <c r="C33" t="s">
        <v>273</v>
      </c>
      <c r="D33" t="s">
        <v>189</v>
      </c>
      <c r="E33" t="s">
        <v>75</v>
      </c>
      <c r="F33" t="s">
        <v>35</v>
      </c>
      <c r="G33" t="s">
        <v>124</v>
      </c>
      <c r="H33" t="s">
        <v>392</v>
      </c>
      <c r="I33" t="s">
        <v>58</v>
      </c>
      <c r="J33" t="s">
        <v>57</v>
      </c>
      <c r="K33" t="s">
        <v>446</v>
      </c>
    </row>
    <row r="34" spans="1:11">
      <c r="A34" s="9">
        <v>21</v>
      </c>
      <c r="B34" s="44"/>
      <c r="C34" s="44"/>
      <c r="D34" s="44"/>
      <c r="E34" s="44">
        <v>1</v>
      </c>
      <c r="F34" s="44">
        <v>1</v>
      </c>
      <c r="G34" s="44">
        <v>4</v>
      </c>
      <c r="H34" s="44"/>
      <c r="I34" s="44">
        <v>2</v>
      </c>
      <c r="J34" s="44"/>
      <c r="K34" s="44">
        <v>8</v>
      </c>
    </row>
    <row r="35" spans="1:11">
      <c r="A35" s="9">
        <v>22</v>
      </c>
      <c r="B35" s="44"/>
      <c r="C35" s="44"/>
      <c r="D35" s="44"/>
      <c r="E35" s="44"/>
      <c r="F35" s="44"/>
      <c r="G35" s="44"/>
      <c r="H35" s="44"/>
      <c r="I35" s="44">
        <v>5</v>
      </c>
      <c r="J35" s="44"/>
      <c r="K35" s="44">
        <v>5</v>
      </c>
    </row>
    <row r="36" spans="1:11">
      <c r="A36" s="9">
        <v>23</v>
      </c>
      <c r="B36" s="44"/>
      <c r="C36" s="44"/>
      <c r="D36" s="44">
        <v>1</v>
      </c>
      <c r="E36" s="44">
        <v>2</v>
      </c>
      <c r="F36" s="44">
        <v>3</v>
      </c>
      <c r="G36" s="44"/>
      <c r="H36" s="44"/>
      <c r="I36" s="44">
        <v>3</v>
      </c>
      <c r="J36" s="44"/>
      <c r="K36" s="44">
        <v>9</v>
      </c>
    </row>
    <row r="37" spans="1:11">
      <c r="A37" s="9">
        <v>24</v>
      </c>
      <c r="B37" s="44"/>
      <c r="C37" s="44">
        <v>1</v>
      </c>
      <c r="D37" s="44"/>
      <c r="E37" s="44">
        <v>2</v>
      </c>
      <c r="F37" s="44"/>
      <c r="G37" s="44">
        <v>2</v>
      </c>
      <c r="H37" s="44"/>
      <c r="I37" s="44"/>
      <c r="J37" s="44"/>
      <c r="K37" s="44">
        <v>5</v>
      </c>
    </row>
    <row r="38" spans="1:11">
      <c r="A38" s="9">
        <v>25</v>
      </c>
      <c r="B38" s="44"/>
      <c r="C38" s="44">
        <v>1</v>
      </c>
      <c r="D38" s="44"/>
      <c r="E38" s="44"/>
      <c r="F38" s="44"/>
      <c r="G38" s="44">
        <v>3</v>
      </c>
      <c r="H38" s="44"/>
      <c r="I38" s="44">
        <v>3</v>
      </c>
      <c r="J38" s="44"/>
      <c r="K38" s="44">
        <v>7</v>
      </c>
    </row>
    <row r="39" spans="1:11">
      <c r="A39" s="9">
        <v>26</v>
      </c>
      <c r="B39" s="44"/>
      <c r="C39" s="44"/>
      <c r="D39" s="44"/>
      <c r="E39" s="44"/>
      <c r="F39" s="44"/>
      <c r="G39" s="44">
        <v>1</v>
      </c>
      <c r="H39" s="44"/>
      <c r="I39" s="44">
        <v>2</v>
      </c>
      <c r="J39" s="44"/>
      <c r="K39" s="44">
        <v>3</v>
      </c>
    </row>
    <row r="40" spans="1:11">
      <c r="A40" s="9">
        <v>27</v>
      </c>
      <c r="B40" s="44">
        <v>1</v>
      </c>
      <c r="C40" s="44">
        <v>1</v>
      </c>
      <c r="D40" s="44"/>
      <c r="E40" s="44">
        <v>1</v>
      </c>
      <c r="F40" s="44"/>
      <c r="G40" s="44">
        <v>2</v>
      </c>
      <c r="H40" s="44"/>
      <c r="I40" s="44">
        <v>5</v>
      </c>
      <c r="J40" s="44"/>
      <c r="K40" s="44">
        <v>10</v>
      </c>
    </row>
    <row r="41" spans="1:11">
      <c r="A41" s="9">
        <v>28</v>
      </c>
      <c r="B41" s="44">
        <v>1</v>
      </c>
      <c r="C41" s="44"/>
      <c r="D41" s="44"/>
      <c r="E41" s="44">
        <v>1</v>
      </c>
      <c r="F41" s="44">
        <v>1</v>
      </c>
      <c r="G41" s="44">
        <v>4</v>
      </c>
      <c r="H41" s="44">
        <v>1</v>
      </c>
      <c r="I41" s="44">
        <v>5</v>
      </c>
      <c r="J41" s="44"/>
      <c r="K41" s="44">
        <v>13</v>
      </c>
    </row>
    <row r="42" spans="1:11">
      <c r="A42" s="9">
        <v>29</v>
      </c>
      <c r="B42" s="44">
        <v>1</v>
      </c>
      <c r="C42" s="44"/>
      <c r="D42" s="44"/>
      <c r="E42" s="44"/>
      <c r="F42" s="44">
        <v>1</v>
      </c>
      <c r="G42" s="44"/>
      <c r="H42" s="44"/>
      <c r="I42" s="44">
        <v>2</v>
      </c>
      <c r="J42" s="44">
        <v>1</v>
      </c>
      <c r="K42" s="44">
        <v>4</v>
      </c>
    </row>
    <row r="43" spans="1:11">
      <c r="A43" s="9">
        <v>30</v>
      </c>
      <c r="B43" s="44">
        <v>1</v>
      </c>
      <c r="C43" s="44"/>
      <c r="D43" s="44"/>
      <c r="E43" s="44"/>
      <c r="F43" s="44"/>
      <c r="G43" s="44">
        <v>7</v>
      </c>
      <c r="H43" s="44"/>
      <c r="I43" s="44">
        <v>1</v>
      </c>
      <c r="J43" s="44"/>
      <c r="K43" s="44">
        <v>9</v>
      </c>
    </row>
    <row r="44" spans="1:11">
      <c r="A44" s="9" t="s">
        <v>446</v>
      </c>
      <c r="B44" s="44">
        <v>4</v>
      </c>
      <c r="C44" s="44">
        <v>3</v>
      </c>
      <c r="D44" s="44">
        <v>1</v>
      </c>
      <c r="E44" s="44">
        <v>7</v>
      </c>
      <c r="F44" s="44">
        <v>6</v>
      </c>
      <c r="G44" s="44">
        <v>23</v>
      </c>
      <c r="H44" s="44">
        <v>1</v>
      </c>
      <c r="I44" s="44">
        <v>28</v>
      </c>
      <c r="J44" s="44">
        <v>1</v>
      </c>
      <c r="K44" s="44">
        <v>73</v>
      </c>
    </row>
    <row r="48" spans="1:11">
      <c r="A48" s="3" t="s">
        <v>445</v>
      </c>
      <c r="B48" s="3" t="s">
        <v>447</v>
      </c>
    </row>
    <row r="49" spans="1:7">
      <c r="A49" s="3" t="s">
        <v>444</v>
      </c>
      <c r="B49" t="s">
        <v>449</v>
      </c>
      <c r="C49" t="s">
        <v>450</v>
      </c>
      <c r="D49" t="s">
        <v>451</v>
      </c>
      <c r="E49" t="s">
        <v>717</v>
      </c>
      <c r="F49" t="s">
        <v>452</v>
      </c>
      <c r="G49" t="s">
        <v>446</v>
      </c>
    </row>
    <row r="50" spans="1:7">
      <c r="A50" s="9">
        <v>21</v>
      </c>
      <c r="B50" s="44"/>
      <c r="C50" s="44"/>
      <c r="D50" s="44"/>
      <c r="E50" s="44"/>
      <c r="F50" s="44">
        <v>8</v>
      </c>
      <c r="G50" s="44">
        <v>8</v>
      </c>
    </row>
    <row r="51" spans="1:7">
      <c r="A51" s="9">
        <v>22</v>
      </c>
      <c r="B51" s="44"/>
      <c r="C51" s="44"/>
      <c r="D51" s="44"/>
      <c r="E51" s="44"/>
      <c r="F51" s="44">
        <v>5</v>
      </c>
      <c r="G51" s="44">
        <v>5</v>
      </c>
    </row>
    <row r="52" spans="1:7">
      <c r="A52" s="9">
        <v>23</v>
      </c>
      <c r="B52" s="44"/>
      <c r="C52" s="44">
        <v>2</v>
      </c>
      <c r="D52" s="44">
        <v>2</v>
      </c>
      <c r="E52" s="44"/>
      <c r="F52" s="44">
        <v>6</v>
      </c>
      <c r="G52" s="44">
        <v>9</v>
      </c>
    </row>
    <row r="53" spans="1:7">
      <c r="A53" s="9">
        <v>24</v>
      </c>
      <c r="B53" s="44"/>
      <c r="C53" s="44"/>
      <c r="D53" s="44">
        <v>2</v>
      </c>
      <c r="E53" s="44">
        <v>1</v>
      </c>
      <c r="F53" s="44">
        <v>2</v>
      </c>
      <c r="G53" s="44">
        <v>5</v>
      </c>
    </row>
    <row r="54" spans="1:7">
      <c r="A54" s="9">
        <v>25</v>
      </c>
      <c r="B54" s="44"/>
      <c r="C54" s="44">
        <v>4</v>
      </c>
      <c r="D54" s="44">
        <v>2</v>
      </c>
      <c r="E54" s="44"/>
      <c r="F54" s="44">
        <v>2</v>
      </c>
      <c r="G54" s="44">
        <v>7</v>
      </c>
    </row>
    <row r="55" spans="1:7">
      <c r="A55" s="9">
        <v>26</v>
      </c>
      <c r="B55" s="44"/>
      <c r="C55" s="44"/>
      <c r="D55" s="44"/>
      <c r="E55" s="44"/>
      <c r="F55" s="44">
        <v>3</v>
      </c>
      <c r="G55" s="44">
        <v>3</v>
      </c>
    </row>
    <row r="56" spans="1:7">
      <c r="A56" s="9">
        <v>27</v>
      </c>
      <c r="B56" s="44"/>
      <c r="C56" s="44"/>
      <c r="D56" s="44">
        <v>3</v>
      </c>
      <c r="E56" s="44"/>
      <c r="F56" s="44">
        <v>7</v>
      </c>
      <c r="G56" s="44">
        <v>10</v>
      </c>
    </row>
    <row r="57" spans="1:7">
      <c r="A57" s="9">
        <v>28</v>
      </c>
      <c r="B57" s="44"/>
      <c r="C57" s="44">
        <v>7</v>
      </c>
      <c r="D57" s="44">
        <v>2</v>
      </c>
      <c r="E57" s="44">
        <v>1</v>
      </c>
      <c r="F57" s="44">
        <v>4</v>
      </c>
      <c r="G57" s="44">
        <v>13</v>
      </c>
    </row>
    <row r="58" spans="1:7">
      <c r="A58" s="9">
        <v>29</v>
      </c>
      <c r="B58" s="44"/>
      <c r="C58" s="44">
        <v>2</v>
      </c>
      <c r="D58" s="44">
        <v>1</v>
      </c>
      <c r="E58" s="44"/>
      <c r="F58" s="44">
        <v>3</v>
      </c>
      <c r="G58" s="44">
        <v>4</v>
      </c>
    </row>
    <row r="59" spans="1:7">
      <c r="A59" s="9">
        <v>30</v>
      </c>
      <c r="B59" s="44">
        <v>1</v>
      </c>
      <c r="C59" s="44">
        <v>3</v>
      </c>
      <c r="D59" s="44">
        <v>4</v>
      </c>
      <c r="E59" s="44"/>
      <c r="F59" s="44">
        <v>1</v>
      </c>
      <c r="G59" s="44">
        <v>9</v>
      </c>
    </row>
    <row r="60" spans="1:7">
      <c r="A60" s="9" t="s">
        <v>446</v>
      </c>
      <c r="B60" s="44">
        <v>1</v>
      </c>
      <c r="C60" s="44">
        <v>18</v>
      </c>
      <c r="D60" s="44">
        <v>16</v>
      </c>
      <c r="E60" s="44">
        <v>2</v>
      </c>
      <c r="F60" s="44">
        <v>41</v>
      </c>
      <c r="G60" s="44">
        <v>73</v>
      </c>
    </row>
    <row r="61" spans="1:7">
      <c r="B61" s="26">
        <f>+GETPIVOTDATA("[Measures].[Recuento distinto de Requisiciones]",$A$62,"[Control].[Estado]","[Control].[Estado].&amp;[Falta cotizacion]")/GETPIVOTDATA("[Measures].[Recuento distinto de Requisiciones]",$A$62)</f>
        <v>1.3698630136986301E-2</v>
      </c>
      <c r="D61" s="26">
        <f>+GETPIVOTDATA("[Measures].[Recuento distinto de Requisiciones]",$A$62,"[Control].[Estado]","[Control].[Estado].&amp;[Falta OC]")/GETPIVOTDATA("[Measures].[Recuento distinto de Requisiciones]",$A$62)</f>
        <v>0.21917808219178081</v>
      </c>
      <c r="E61">
        <f>+GETPIVOTDATA("[Measures].[Recuento distinto de Requisiciones]",$A$62,"[Control].[Estado]","[Control].[Estado].&amp;[Proceso OC completo]")/GETPIVOTDATA("[Measures].[Recuento distinto de Requisiciones]",$A$62)</f>
        <v>0.56164383561643838</v>
      </c>
    </row>
    <row r="62" spans="1:7">
      <c r="A62" s="3" t="s">
        <v>445</v>
      </c>
      <c r="B62" s="3" t="s">
        <v>447</v>
      </c>
    </row>
    <row r="63" spans="1:7">
      <c r="A63" s="3" t="s">
        <v>444</v>
      </c>
      <c r="B63" t="s">
        <v>449</v>
      </c>
      <c r="C63" t="s">
        <v>450</v>
      </c>
      <c r="D63" t="s">
        <v>451</v>
      </c>
      <c r="E63" t="s">
        <v>717</v>
      </c>
      <c r="F63" t="s">
        <v>452</v>
      </c>
      <c r="G63" t="s">
        <v>446</v>
      </c>
    </row>
    <row r="64" spans="1:7">
      <c r="A64" s="9" t="s">
        <v>551</v>
      </c>
      <c r="B64" s="44"/>
      <c r="C64" s="44">
        <v>5</v>
      </c>
      <c r="D64" s="44">
        <v>2</v>
      </c>
      <c r="E64" s="44"/>
      <c r="F64" s="44">
        <v>5</v>
      </c>
      <c r="G64" s="44">
        <v>10</v>
      </c>
    </row>
    <row r="65" spans="1:7">
      <c r="A65" s="9" t="s">
        <v>448</v>
      </c>
      <c r="B65" s="44">
        <v>1</v>
      </c>
      <c r="C65" s="44">
        <v>2</v>
      </c>
      <c r="D65" s="44"/>
      <c r="E65" s="44"/>
      <c r="F65" s="44">
        <v>3</v>
      </c>
      <c r="G65" s="44">
        <v>6</v>
      </c>
    </row>
    <row r="66" spans="1:7">
      <c r="A66" s="9" t="s">
        <v>176</v>
      </c>
      <c r="B66" s="44"/>
      <c r="C66" s="44"/>
      <c r="D66" s="44">
        <v>2</v>
      </c>
      <c r="E66" s="44"/>
      <c r="F66" s="44">
        <v>2</v>
      </c>
      <c r="G66" s="44">
        <v>4</v>
      </c>
    </row>
    <row r="67" spans="1:7">
      <c r="A67" s="9" t="s">
        <v>57</v>
      </c>
      <c r="B67" s="44"/>
      <c r="C67" s="44">
        <v>1</v>
      </c>
      <c r="D67" s="44">
        <v>2</v>
      </c>
      <c r="E67" s="44"/>
      <c r="F67" s="44">
        <v>11</v>
      </c>
      <c r="G67" s="44">
        <v>14</v>
      </c>
    </row>
    <row r="68" spans="1:7">
      <c r="A68" s="9" t="s">
        <v>34</v>
      </c>
      <c r="B68" s="44"/>
      <c r="C68" s="44">
        <v>1</v>
      </c>
      <c r="D68" s="44"/>
      <c r="E68" s="44">
        <v>1</v>
      </c>
      <c r="F68" s="44">
        <v>6</v>
      </c>
      <c r="G68" s="44">
        <v>8</v>
      </c>
    </row>
    <row r="69" spans="1:7">
      <c r="A69" s="9" t="s">
        <v>384</v>
      </c>
      <c r="B69" s="44"/>
      <c r="C69" s="44">
        <v>1</v>
      </c>
      <c r="D69" s="44">
        <v>1</v>
      </c>
      <c r="E69" s="44">
        <v>1</v>
      </c>
      <c r="F69" s="44">
        <v>1</v>
      </c>
      <c r="G69" s="44">
        <v>4</v>
      </c>
    </row>
    <row r="70" spans="1:7">
      <c r="A70" s="9" t="s">
        <v>86</v>
      </c>
      <c r="B70" s="44"/>
      <c r="C70" s="44">
        <v>4</v>
      </c>
      <c r="D70" s="44">
        <v>4</v>
      </c>
      <c r="E70" s="44"/>
      <c r="F70" s="44">
        <v>2</v>
      </c>
      <c r="G70" s="44">
        <v>9</v>
      </c>
    </row>
    <row r="71" spans="1:7">
      <c r="A71" s="9" t="s">
        <v>101</v>
      </c>
      <c r="B71" s="44"/>
      <c r="C71" s="44">
        <v>3</v>
      </c>
      <c r="D71" s="44">
        <v>5</v>
      </c>
      <c r="E71" s="44"/>
      <c r="F71" s="44">
        <v>9</v>
      </c>
      <c r="G71" s="44">
        <v>15</v>
      </c>
    </row>
    <row r="72" spans="1:7">
      <c r="A72" s="9" t="s">
        <v>123</v>
      </c>
      <c r="B72" s="44"/>
      <c r="C72" s="44">
        <v>1</v>
      </c>
      <c r="D72" s="44"/>
      <c r="E72" s="44"/>
      <c r="F72" s="44">
        <v>2</v>
      </c>
      <c r="G72" s="44">
        <v>3</v>
      </c>
    </row>
    <row r="73" spans="1:7">
      <c r="A73" s="9" t="s">
        <v>446</v>
      </c>
      <c r="B73" s="44">
        <v>1</v>
      </c>
      <c r="C73" s="44">
        <v>18</v>
      </c>
      <c r="D73" s="44">
        <v>16</v>
      </c>
      <c r="E73" s="44">
        <v>2</v>
      </c>
      <c r="F73" s="44">
        <v>41</v>
      </c>
      <c r="G73" s="44">
        <v>73</v>
      </c>
    </row>
    <row r="77" spans="1:7">
      <c r="A77" s="3" t="s">
        <v>445</v>
      </c>
      <c r="B77" s="3" t="s">
        <v>447</v>
      </c>
    </row>
    <row r="78" spans="1:7">
      <c r="A78" s="3" t="s">
        <v>444</v>
      </c>
      <c r="B78" t="s">
        <v>449</v>
      </c>
      <c r="C78" t="s">
        <v>450</v>
      </c>
      <c r="D78" t="s">
        <v>451</v>
      </c>
      <c r="E78" t="s">
        <v>717</v>
      </c>
      <c r="F78" t="s">
        <v>452</v>
      </c>
      <c r="G78" t="s">
        <v>446</v>
      </c>
    </row>
    <row r="79" spans="1:7">
      <c r="A79" s="9" t="s">
        <v>551</v>
      </c>
      <c r="B79" s="44"/>
      <c r="C79" s="44">
        <v>2</v>
      </c>
      <c r="D79" s="44">
        <v>2</v>
      </c>
      <c r="E79" s="44"/>
      <c r="F79" s="44">
        <v>1</v>
      </c>
      <c r="G79" s="44">
        <v>4</v>
      </c>
    </row>
    <row r="80" spans="1:7">
      <c r="A80" s="9" t="s">
        <v>273</v>
      </c>
      <c r="B80" s="44"/>
      <c r="C80" s="44">
        <v>1</v>
      </c>
      <c r="D80" s="44"/>
      <c r="E80" s="44"/>
      <c r="F80" s="44">
        <v>2</v>
      </c>
      <c r="G80" s="44">
        <v>3</v>
      </c>
    </row>
    <row r="81" spans="1:7">
      <c r="A81" s="9" t="s">
        <v>189</v>
      </c>
      <c r="B81" s="44"/>
      <c r="C81" s="44"/>
      <c r="D81" s="44"/>
      <c r="E81" s="44"/>
      <c r="F81" s="44">
        <v>1</v>
      </c>
      <c r="G81" s="44">
        <v>1</v>
      </c>
    </row>
    <row r="82" spans="1:7">
      <c r="A82" s="9" t="s">
        <v>75</v>
      </c>
      <c r="B82" s="44"/>
      <c r="C82" s="44"/>
      <c r="D82" s="44"/>
      <c r="E82" s="44">
        <v>1</v>
      </c>
      <c r="F82" s="44">
        <v>6</v>
      </c>
      <c r="G82" s="44">
        <v>7</v>
      </c>
    </row>
    <row r="83" spans="1:7">
      <c r="A83" s="9" t="s">
        <v>35</v>
      </c>
      <c r="B83" s="44"/>
      <c r="C83" s="44">
        <v>2</v>
      </c>
      <c r="D83" s="44">
        <v>1</v>
      </c>
      <c r="E83" s="44"/>
      <c r="F83" s="44">
        <v>4</v>
      </c>
      <c r="G83" s="44">
        <v>6</v>
      </c>
    </row>
    <row r="84" spans="1:7">
      <c r="A84" s="9" t="s">
        <v>124</v>
      </c>
      <c r="B84" s="44">
        <v>1</v>
      </c>
      <c r="C84" s="44">
        <v>6</v>
      </c>
      <c r="D84" s="44">
        <v>8</v>
      </c>
      <c r="E84" s="44"/>
      <c r="F84" s="44">
        <v>10</v>
      </c>
      <c r="G84" s="44">
        <v>23</v>
      </c>
    </row>
    <row r="85" spans="1:7">
      <c r="A85" s="9" t="s">
        <v>392</v>
      </c>
      <c r="B85" s="44"/>
      <c r="C85" s="44">
        <v>1</v>
      </c>
      <c r="D85" s="44"/>
      <c r="E85" s="44"/>
      <c r="F85" s="44"/>
      <c r="G85" s="44">
        <v>1</v>
      </c>
    </row>
    <row r="86" spans="1:7">
      <c r="A86" s="9" t="s">
        <v>58</v>
      </c>
      <c r="B86" s="44"/>
      <c r="C86" s="44">
        <v>6</v>
      </c>
      <c r="D86" s="44">
        <v>5</v>
      </c>
      <c r="E86" s="44">
        <v>1</v>
      </c>
      <c r="F86" s="44">
        <v>17</v>
      </c>
      <c r="G86" s="44">
        <v>28</v>
      </c>
    </row>
    <row r="87" spans="1:7">
      <c r="A87" s="9" t="s">
        <v>57</v>
      </c>
      <c r="B87" s="44"/>
      <c r="C87" s="44">
        <v>1</v>
      </c>
      <c r="D87" s="44"/>
      <c r="E87" s="44"/>
      <c r="F87" s="44">
        <v>1</v>
      </c>
      <c r="G87" s="44">
        <v>1</v>
      </c>
    </row>
    <row r="88" spans="1:7">
      <c r="A88" s="9" t="s">
        <v>446</v>
      </c>
      <c r="B88" s="44">
        <v>1</v>
      </c>
      <c r="C88" s="44">
        <v>18</v>
      </c>
      <c r="D88" s="44">
        <v>16</v>
      </c>
      <c r="E88" s="44">
        <v>2</v>
      </c>
      <c r="F88" s="44">
        <v>41</v>
      </c>
      <c r="G88" s="44">
        <v>73</v>
      </c>
    </row>
    <row r="95" spans="1:7">
      <c r="C95">
        <f>+GETPIVOTDATA("[Measures].[Suma de Monto Orden 2]",$A$96,"[Control].[Estado]","[Control].[Estado].&amp;[Proceso OC completo]")/GETPIVOTDATA("[Measures].[Suma de Monto Orden 2]",$A$96)</f>
        <v>0.87058847260172656</v>
      </c>
    </row>
    <row r="96" spans="1:7">
      <c r="A96" s="3" t="s">
        <v>453</v>
      </c>
      <c r="B96" s="3" t="s">
        <v>447</v>
      </c>
    </row>
    <row r="97" spans="1:5">
      <c r="A97" s="3" t="s">
        <v>444</v>
      </c>
      <c r="B97" t="s">
        <v>450</v>
      </c>
      <c r="C97" t="s">
        <v>717</v>
      </c>
      <c r="D97" t="s">
        <v>452</v>
      </c>
      <c r="E97" t="s">
        <v>446</v>
      </c>
    </row>
    <row r="98" spans="1:5">
      <c r="A98" s="9">
        <v>21</v>
      </c>
      <c r="B98" s="27"/>
      <c r="C98" s="27"/>
      <c r="D98" s="27">
        <v>2631902</v>
      </c>
      <c r="E98" s="27">
        <v>2631902</v>
      </c>
    </row>
    <row r="99" spans="1:5">
      <c r="A99" s="9">
        <v>22</v>
      </c>
      <c r="B99" s="27"/>
      <c r="C99" s="27"/>
      <c r="D99" s="27">
        <v>429808</v>
      </c>
      <c r="E99" s="27">
        <v>429808</v>
      </c>
    </row>
    <row r="100" spans="1:5">
      <c r="A100" s="9">
        <v>23</v>
      </c>
      <c r="B100" s="27">
        <v>494647</v>
      </c>
      <c r="C100" s="27"/>
      <c r="D100" s="27">
        <v>7480416</v>
      </c>
      <c r="E100" s="27">
        <v>7975063</v>
      </c>
    </row>
    <row r="101" spans="1:5">
      <c r="A101" s="9">
        <v>24</v>
      </c>
      <c r="B101" s="27"/>
      <c r="C101" s="27">
        <v>305487</v>
      </c>
      <c r="D101" s="27">
        <v>807344</v>
      </c>
      <c r="E101" s="27">
        <v>1112831</v>
      </c>
    </row>
    <row r="102" spans="1:5">
      <c r="A102" s="9">
        <v>25</v>
      </c>
      <c r="B102" s="27">
        <v>1151205</v>
      </c>
      <c r="C102" s="27"/>
      <c r="D102" s="27">
        <v>3808286</v>
      </c>
      <c r="E102" s="27">
        <v>4959491</v>
      </c>
    </row>
    <row r="103" spans="1:5">
      <c r="A103" s="9">
        <v>26</v>
      </c>
      <c r="B103" s="27"/>
      <c r="C103" s="27"/>
      <c r="D103" s="27">
        <v>599685</v>
      </c>
      <c r="E103" s="27">
        <v>599685</v>
      </c>
    </row>
    <row r="104" spans="1:5">
      <c r="A104" s="9">
        <v>27</v>
      </c>
      <c r="B104" s="27"/>
      <c r="C104" s="27"/>
      <c r="D104" s="27">
        <v>3311997</v>
      </c>
      <c r="E104" s="27">
        <v>3311997</v>
      </c>
    </row>
    <row r="105" spans="1:5">
      <c r="A105" s="9">
        <v>28</v>
      </c>
      <c r="B105" s="27">
        <v>738701</v>
      </c>
      <c r="C105" s="27"/>
      <c r="D105" s="27">
        <v>449966</v>
      </c>
      <c r="E105" s="27">
        <v>1188667</v>
      </c>
    </row>
    <row r="106" spans="1:5">
      <c r="A106" s="9">
        <v>29</v>
      </c>
      <c r="B106" s="27">
        <v>293249</v>
      </c>
      <c r="C106" s="27"/>
      <c r="D106" s="27">
        <v>550037</v>
      </c>
      <c r="E106" s="27">
        <v>843286</v>
      </c>
    </row>
    <row r="107" spans="1:5">
      <c r="A107" s="9" t="s">
        <v>446</v>
      </c>
      <c r="B107" s="27">
        <v>2677802</v>
      </c>
      <c r="C107" s="27">
        <v>305487</v>
      </c>
      <c r="D107" s="27">
        <v>20069441</v>
      </c>
      <c r="E107" s="27">
        <v>23052730</v>
      </c>
    </row>
    <row r="108" spans="1:5">
      <c r="A108" s="3" t="s">
        <v>453</v>
      </c>
      <c r="B108" s="3" t="s">
        <v>447</v>
      </c>
    </row>
    <row r="109" spans="1:5">
      <c r="A109" s="3" t="s">
        <v>444</v>
      </c>
      <c r="B109" t="s">
        <v>450</v>
      </c>
      <c r="C109" t="s">
        <v>717</v>
      </c>
      <c r="D109" t="s">
        <v>452</v>
      </c>
      <c r="E109" t="s">
        <v>446</v>
      </c>
    </row>
    <row r="110" spans="1:5">
      <c r="A110" s="9" t="s">
        <v>551</v>
      </c>
      <c r="B110" s="27">
        <v>954696</v>
      </c>
      <c r="C110" s="27"/>
      <c r="D110" s="27">
        <v>1949090</v>
      </c>
      <c r="E110" s="27">
        <v>2903786</v>
      </c>
    </row>
    <row r="111" spans="1:5">
      <c r="A111" s="9" t="s">
        <v>448</v>
      </c>
      <c r="B111" s="27"/>
      <c r="C111" s="27"/>
      <c r="D111" s="27">
        <v>2606272</v>
      </c>
      <c r="E111" s="27">
        <v>2606272</v>
      </c>
    </row>
    <row r="112" spans="1:5">
      <c r="A112" s="9" t="s">
        <v>176</v>
      </c>
      <c r="B112" s="27"/>
      <c r="C112" s="27"/>
      <c r="D112" s="27">
        <v>317503</v>
      </c>
      <c r="E112" s="27">
        <v>317503</v>
      </c>
    </row>
    <row r="113" spans="1:5">
      <c r="A113" s="9" t="s">
        <v>57</v>
      </c>
      <c r="B113" s="27"/>
      <c r="C113" s="27"/>
      <c r="D113" s="27">
        <v>3368118</v>
      </c>
      <c r="E113" s="27">
        <v>3368118</v>
      </c>
    </row>
    <row r="114" spans="1:5">
      <c r="A114" s="9" t="s">
        <v>34</v>
      </c>
      <c r="B114" s="27">
        <v>243450</v>
      </c>
      <c r="C114" s="27">
        <v>305487</v>
      </c>
      <c r="D114" s="27">
        <v>3000838</v>
      </c>
      <c r="E114" s="27">
        <v>3549775</v>
      </c>
    </row>
    <row r="115" spans="1:5">
      <c r="A115" s="9" t="s">
        <v>384</v>
      </c>
      <c r="B115" s="27">
        <v>85661</v>
      </c>
      <c r="C115" s="27"/>
      <c r="D115" s="27">
        <v>203395</v>
      </c>
      <c r="E115" s="27">
        <v>289056</v>
      </c>
    </row>
    <row r="116" spans="1:5">
      <c r="A116" s="9" t="s">
        <v>86</v>
      </c>
      <c r="B116" s="27">
        <v>826490</v>
      </c>
      <c r="C116" s="27"/>
      <c r="D116" s="27">
        <v>2406749</v>
      </c>
      <c r="E116" s="27">
        <v>3233239</v>
      </c>
    </row>
    <row r="117" spans="1:5">
      <c r="A117" s="9" t="s">
        <v>101</v>
      </c>
      <c r="B117" s="27">
        <v>567505</v>
      </c>
      <c r="C117" s="27"/>
      <c r="D117" s="27">
        <v>5131624</v>
      </c>
      <c r="E117" s="27">
        <v>5699129</v>
      </c>
    </row>
    <row r="118" spans="1:5">
      <c r="A118" s="9" t="s">
        <v>123</v>
      </c>
      <c r="B118" s="27"/>
      <c r="C118" s="27"/>
      <c r="D118" s="27">
        <v>1085852</v>
      </c>
      <c r="E118" s="27">
        <v>1085852</v>
      </c>
    </row>
    <row r="119" spans="1:5">
      <c r="A119" s="9" t="s">
        <v>446</v>
      </c>
      <c r="B119" s="27">
        <v>2677802</v>
      </c>
      <c r="C119" s="27">
        <v>305487</v>
      </c>
      <c r="D119" s="27">
        <v>20069441</v>
      </c>
      <c r="E119" s="27">
        <v>23052730</v>
      </c>
    </row>
    <row r="122" spans="1:5">
      <c r="A122" s="3" t="s">
        <v>453</v>
      </c>
      <c r="B122" s="3" t="s">
        <v>447</v>
      </c>
    </row>
    <row r="123" spans="1:5">
      <c r="A123" s="3" t="s">
        <v>444</v>
      </c>
      <c r="B123" t="s">
        <v>450</v>
      </c>
      <c r="C123" t="s">
        <v>717</v>
      </c>
      <c r="D123" t="s">
        <v>452</v>
      </c>
      <c r="E123" t="s">
        <v>446</v>
      </c>
    </row>
    <row r="124" spans="1:5">
      <c r="A124" s="9" t="s">
        <v>551</v>
      </c>
      <c r="B124" s="27">
        <v>448024</v>
      </c>
      <c r="C124" s="27"/>
      <c r="D124" s="27">
        <v>256788</v>
      </c>
      <c r="E124" s="27">
        <v>704812</v>
      </c>
    </row>
    <row r="125" spans="1:5">
      <c r="A125" s="9" t="s">
        <v>273</v>
      </c>
      <c r="B125" s="27">
        <v>243450</v>
      </c>
      <c r="C125" s="27"/>
      <c r="D125" s="27">
        <v>931389</v>
      </c>
      <c r="E125" s="27">
        <v>1174839</v>
      </c>
    </row>
    <row r="126" spans="1:5">
      <c r="A126" s="9" t="s">
        <v>189</v>
      </c>
      <c r="B126" s="27"/>
      <c r="C126" s="27"/>
      <c r="D126" s="27">
        <v>1895829</v>
      </c>
      <c r="E126" s="27">
        <v>1895829</v>
      </c>
    </row>
    <row r="127" spans="1:5">
      <c r="A127" s="9" t="s">
        <v>75</v>
      </c>
      <c r="B127" s="27"/>
      <c r="C127" s="27">
        <v>305487</v>
      </c>
      <c r="D127" s="27">
        <v>4068595</v>
      </c>
      <c r="E127" s="27">
        <v>4374082</v>
      </c>
    </row>
    <row r="128" spans="1:5">
      <c r="A128" s="9" t="s">
        <v>35</v>
      </c>
      <c r="B128" s="27">
        <v>283291</v>
      </c>
      <c r="C128" s="27"/>
      <c r="D128" s="27">
        <v>1506328</v>
      </c>
      <c r="E128" s="27">
        <v>1789619</v>
      </c>
    </row>
    <row r="129" spans="1:5">
      <c r="A129" s="9" t="s">
        <v>124</v>
      </c>
      <c r="B129" s="27">
        <v>522701</v>
      </c>
      <c r="C129" s="27"/>
      <c r="D129" s="27">
        <v>6048187</v>
      </c>
      <c r="E129" s="27">
        <v>6570888</v>
      </c>
    </row>
    <row r="130" spans="1:5">
      <c r="A130" s="9" t="s">
        <v>392</v>
      </c>
      <c r="B130" s="27">
        <v>44804</v>
      </c>
      <c r="C130" s="27"/>
      <c r="D130" s="27"/>
      <c r="E130" s="27">
        <v>44804</v>
      </c>
    </row>
    <row r="131" spans="1:5">
      <c r="A131" s="9" t="s">
        <v>58</v>
      </c>
      <c r="B131" s="27">
        <v>1135532</v>
      </c>
      <c r="C131" s="27"/>
      <c r="D131" s="27">
        <v>5362325</v>
      </c>
      <c r="E131" s="27">
        <v>6497857</v>
      </c>
    </row>
    <row r="132" spans="1:5">
      <c r="A132" s="9" t="s">
        <v>446</v>
      </c>
      <c r="B132" s="27">
        <v>2677802</v>
      </c>
      <c r="C132" s="27">
        <v>305487</v>
      </c>
      <c r="D132" s="27">
        <v>20069441</v>
      </c>
      <c r="E132" s="27">
        <v>23052730</v>
      </c>
    </row>
    <row r="133" spans="1:5">
      <c r="A133" s="3" t="s">
        <v>453</v>
      </c>
      <c r="B133" s="3" t="s">
        <v>447</v>
      </c>
    </row>
    <row r="134" spans="1:5">
      <c r="A134" s="3" t="s">
        <v>444</v>
      </c>
      <c r="B134" t="s">
        <v>450</v>
      </c>
      <c r="C134" t="s">
        <v>717</v>
      </c>
      <c r="D134" t="s">
        <v>452</v>
      </c>
      <c r="E134" t="s">
        <v>446</v>
      </c>
    </row>
    <row r="135" spans="1:5">
      <c r="A135" s="9" t="s">
        <v>243</v>
      </c>
      <c r="B135" s="27">
        <v>44804</v>
      </c>
      <c r="C135" s="27"/>
      <c r="D135" s="27">
        <v>7349338</v>
      </c>
      <c r="E135" s="27">
        <v>7394142</v>
      </c>
    </row>
    <row r="136" spans="1:5">
      <c r="A136" s="9" t="s">
        <v>32</v>
      </c>
      <c r="B136" s="27">
        <v>620060</v>
      </c>
      <c r="C136" s="27"/>
      <c r="D136" s="27">
        <v>4181933</v>
      </c>
      <c r="E136" s="27">
        <v>4801993</v>
      </c>
    </row>
    <row r="137" spans="1:5">
      <c r="A137" s="9" t="s">
        <v>166</v>
      </c>
      <c r="B137" s="27">
        <v>526741</v>
      </c>
      <c r="C137" s="27"/>
      <c r="D137" s="27">
        <v>1910057</v>
      </c>
      <c r="E137" s="27">
        <v>2436798</v>
      </c>
    </row>
    <row r="138" spans="1:5">
      <c r="A138" s="9" t="s">
        <v>40</v>
      </c>
      <c r="B138" s="27">
        <v>494647</v>
      </c>
      <c r="C138" s="27"/>
      <c r="D138" s="27">
        <v>1451655</v>
      </c>
      <c r="E138" s="27">
        <v>1946302</v>
      </c>
    </row>
    <row r="139" spans="1:5">
      <c r="A139" s="9" t="s">
        <v>187</v>
      </c>
      <c r="B139" s="27"/>
      <c r="C139" s="27"/>
      <c r="D139" s="27">
        <v>1895829</v>
      </c>
      <c r="E139" s="27">
        <v>1895829</v>
      </c>
    </row>
    <row r="140" spans="1:5">
      <c r="A140" s="9" t="s">
        <v>74</v>
      </c>
      <c r="B140" s="27">
        <v>85661</v>
      </c>
      <c r="C140" s="27">
        <v>305487</v>
      </c>
      <c r="D140" s="27">
        <v>1376249</v>
      </c>
      <c r="E140" s="27">
        <v>1767397</v>
      </c>
    </row>
    <row r="141" spans="1:5">
      <c r="A141" s="9" t="s">
        <v>121</v>
      </c>
      <c r="B141" s="27">
        <v>335894</v>
      </c>
      <c r="C141" s="27"/>
      <c r="D141" s="27">
        <v>252161</v>
      </c>
      <c r="E141" s="27">
        <v>588055</v>
      </c>
    </row>
    <row r="142" spans="1:5">
      <c r="A142" s="9" t="s">
        <v>174</v>
      </c>
      <c r="B142" s="27"/>
      <c r="C142" s="27"/>
      <c r="D142" s="27">
        <v>518240</v>
      </c>
      <c r="E142" s="27">
        <v>518240</v>
      </c>
    </row>
    <row r="143" spans="1:5">
      <c r="A143" s="9" t="s">
        <v>561</v>
      </c>
      <c r="B143" s="27">
        <v>336502</v>
      </c>
      <c r="C143" s="27"/>
      <c r="D143" s="27"/>
      <c r="E143" s="27">
        <v>336502</v>
      </c>
    </row>
    <row r="144" spans="1:5">
      <c r="A144" s="9" t="s">
        <v>148</v>
      </c>
      <c r="B144" s="27">
        <v>46686</v>
      </c>
      <c r="C144" s="27"/>
      <c r="D144" s="27">
        <v>286013</v>
      </c>
      <c r="E144" s="27">
        <v>332699</v>
      </c>
    </row>
    <row r="145" spans="1:5">
      <c r="A145" s="9" t="s">
        <v>278</v>
      </c>
      <c r="B145" s="27">
        <v>186807</v>
      </c>
      <c r="C145" s="27"/>
      <c r="D145" s="27">
        <v>68900</v>
      </c>
      <c r="E145" s="27">
        <v>255707</v>
      </c>
    </row>
    <row r="146" spans="1:5">
      <c r="A146" s="9" t="s">
        <v>246</v>
      </c>
      <c r="B146" s="27"/>
      <c r="C146" s="27"/>
      <c r="D146" s="27">
        <v>230147</v>
      </c>
      <c r="E146" s="27">
        <v>230147</v>
      </c>
    </row>
    <row r="147" spans="1:5">
      <c r="A147" s="9" t="s">
        <v>651</v>
      </c>
      <c r="B147" s="27"/>
      <c r="C147" s="27"/>
      <c r="D147" s="27">
        <v>203395</v>
      </c>
      <c r="E147" s="27">
        <v>203395</v>
      </c>
    </row>
    <row r="148" spans="1:5">
      <c r="A148" s="9" t="s">
        <v>108</v>
      </c>
      <c r="B148" s="27"/>
      <c r="C148" s="27"/>
      <c r="D148" s="27">
        <v>142182</v>
      </c>
      <c r="E148" s="27">
        <v>142182</v>
      </c>
    </row>
    <row r="149" spans="1:5">
      <c r="A149" s="9" t="s">
        <v>604</v>
      </c>
      <c r="B149" s="27"/>
      <c r="C149" s="27"/>
      <c r="D149" s="27">
        <v>99990</v>
      </c>
      <c r="E149" s="27">
        <v>99990</v>
      </c>
    </row>
    <row r="150" spans="1:5">
      <c r="A150" s="9" t="s">
        <v>454</v>
      </c>
      <c r="B150" s="27"/>
      <c r="C150" s="27"/>
      <c r="D150" s="27">
        <v>64172</v>
      </c>
      <c r="E150" s="27">
        <v>64172</v>
      </c>
    </row>
    <row r="151" spans="1:5">
      <c r="A151" s="9" t="s">
        <v>43</v>
      </c>
      <c r="B151" s="27"/>
      <c r="C151" s="27"/>
      <c r="D151" s="27">
        <v>19990</v>
      </c>
      <c r="E151" s="27">
        <v>19990</v>
      </c>
    </row>
    <row r="152" spans="1:5">
      <c r="A152" s="9" t="s">
        <v>46</v>
      </c>
      <c r="B152" s="27"/>
      <c r="C152" s="27"/>
      <c r="D152" s="27">
        <v>19190</v>
      </c>
      <c r="E152" s="27">
        <v>19190</v>
      </c>
    </row>
    <row r="153" spans="1:5">
      <c r="A153" s="9" t="s">
        <v>446</v>
      </c>
      <c r="B153" s="27">
        <v>2677802</v>
      </c>
      <c r="C153" s="27">
        <v>305487</v>
      </c>
      <c r="D153" s="27">
        <v>20069441</v>
      </c>
      <c r="E153" s="27">
        <v>23052730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40" sqref="B40"/>
    </sheetView>
  </sheetViews>
  <sheetFormatPr baseColWidth="10" defaultColWidth="11.42578125" defaultRowHeight="15"/>
  <cols>
    <col min="1" max="1" width="35.42578125" style="13" customWidth="1"/>
    <col min="2" max="6" width="11.42578125" style="13"/>
    <col min="7" max="7" width="25.7109375" style="13" bestFit="1" customWidth="1"/>
    <col min="8" max="8" width="22.42578125" style="13" bestFit="1" customWidth="1"/>
    <col min="9" max="9" width="12.5703125" style="13" bestFit="1" customWidth="1"/>
    <col min="10" max="10" width="8.28515625" style="13" bestFit="1" customWidth="1"/>
    <col min="11" max="11" width="20" style="13" bestFit="1" customWidth="1"/>
    <col min="12" max="16384" width="11.42578125" style="13"/>
  </cols>
  <sheetData>
    <row r="5" spans="1:3">
      <c r="A5" s="14"/>
      <c r="B5" s="15"/>
      <c r="C5" s="16"/>
    </row>
    <row r="6" spans="1:3">
      <c r="A6" s="17"/>
      <c r="C6" s="18"/>
    </row>
    <row r="7" spans="1:3" ht="33.75">
      <c r="A7" s="23" t="s">
        <v>442</v>
      </c>
      <c r="B7" s="19">
        <f>GETPIVOTDATA("[Measures].[Recuento distinto de Requisiciones]",Graficos!$A$56)</f>
        <v>73</v>
      </c>
      <c r="C7" s="18"/>
    </row>
    <row r="8" spans="1:3">
      <c r="A8" s="17"/>
      <c r="C8" s="18"/>
    </row>
    <row r="9" spans="1:3" ht="33.75">
      <c r="A9" s="23" t="s">
        <v>443</v>
      </c>
      <c r="B9" s="19">
        <f>GETPIVOTDATA("[Measures].[Recuento de OC]",Graficos!$N$1)</f>
        <v>91</v>
      </c>
      <c r="C9" s="18"/>
    </row>
    <row r="10" spans="1:3">
      <c r="A10" s="17"/>
      <c r="C10" s="18"/>
    </row>
    <row r="11" spans="1:3">
      <c r="A11" s="17"/>
      <c r="C11" s="18"/>
    </row>
    <row r="12" spans="1:3">
      <c r="A12" s="17"/>
      <c r="C12" s="18"/>
    </row>
    <row r="13" spans="1:3">
      <c r="A13" s="20"/>
      <c r="B13" s="21"/>
      <c r="C13" s="2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62"/>
  <sheetViews>
    <sheetView topLeftCell="A37" workbookViewId="0">
      <selection activeCell="G88" sqref="G88"/>
    </sheetView>
  </sheetViews>
  <sheetFormatPr baseColWidth="10" defaultColWidth="11.42578125" defaultRowHeight="15"/>
  <cols>
    <col min="1" max="1" width="17.5703125" bestFit="1" customWidth="1"/>
    <col min="2" max="2" width="22.7109375" bestFit="1" customWidth="1"/>
    <col min="3" max="3" width="33.28515625" bestFit="1" customWidth="1"/>
    <col min="4" max="4" width="14.5703125" bestFit="1" customWidth="1"/>
    <col min="5" max="5" width="19.85546875" bestFit="1" customWidth="1"/>
    <col min="6" max="6" width="13.140625" bestFit="1" customWidth="1"/>
    <col min="7" max="7" width="17.85546875" bestFit="1" customWidth="1"/>
    <col min="9" max="9" width="24.85546875" bestFit="1" customWidth="1"/>
    <col min="10" max="10" width="18.5703125" bestFit="1" customWidth="1"/>
    <col min="11" max="11" width="7" bestFit="1" customWidth="1"/>
    <col min="12" max="13" width="8" bestFit="1" customWidth="1"/>
    <col min="14" max="14" width="17.5703125" bestFit="1" customWidth="1"/>
    <col min="15" max="15" width="15.140625" bestFit="1" customWidth="1"/>
    <col min="16" max="16" width="8" bestFit="1" customWidth="1"/>
    <col min="17" max="17" width="11.7109375" bestFit="1" customWidth="1"/>
    <col min="18" max="18" width="34.42578125" bestFit="1" customWidth="1"/>
    <col min="19" max="19" width="22.42578125" bestFit="1" customWidth="1"/>
    <col min="20" max="20" width="12.5703125" bestFit="1" customWidth="1"/>
    <col min="21" max="21" width="8.28515625" bestFit="1" customWidth="1"/>
    <col min="22" max="22" width="11.28515625" bestFit="1" customWidth="1"/>
    <col min="23" max="23" width="20" bestFit="1" customWidth="1"/>
    <col min="24" max="24" width="12.5703125" bestFit="1" customWidth="1"/>
    <col min="25" max="25" width="34.42578125" bestFit="1" customWidth="1"/>
    <col min="26" max="26" width="25.140625" bestFit="1" customWidth="1"/>
    <col min="27" max="28" width="8" bestFit="1" customWidth="1"/>
    <col min="29" max="29" width="11.7109375" bestFit="1" customWidth="1"/>
  </cols>
  <sheetData>
    <row r="1" spans="1:26">
      <c r="A1" s="3" t="s">
        <v>444</v>
      </c>
      <c r="B1" t="s">
        <v>455</v>
      </c>
      <c r="N1" s="3" t="s">
        <v>444</v>
      </c>
      <c r="O1" t="s">
        <v>456</v>
      </c>
      <c r="R1" s="3" t="s">
        <v>457</v>
      </c>
      <c r="S1" s="3" t="s">
        <v>447</v>
      </c>
    </row>
    <row r="2" spans="1:26">
      <c r="A2" s="9" t="s">
        <v>458</v>
      </c>
      <c r="B2" s="44">
        <v>22</v>
      </c>
      <c r="N2" s="9" t="s">
        <v>28</v>
      </c>
      <c r="O2" s="44">
        <v>4</v>
      </c>
      <c r="R2" s="3" t="s">
        <v>444</v>
      </c>
      <c r="S2" t="s">
        <v>449</v>
      </c>
      <c r="T2" t="s">
        <v>450</v>
      </c>
      <c r="U2" t="s">
        <v>451</v>
      </c>
      <c r="V2" t="s">
        <v>717</v>
      </c>
      <c r="W2" t="s">
        <v>452</v>
      </c>
      <c r="X2" t="s">
        <v>446</v>
      </c>
    </row>
    <row r="3" spans="1:26">
      <c r="A3" s="12" t="s">
        <v>459</v>
      </c>
      <c r="B3" s="44">
        <v>22</v>
      </c>
      <c r="N3" s="9" t="s">
        <v>52</v>
      </c>
      <c r="O3" s="44">
        <v>1</v>
      </c>
      <c r="R3" s="9" t="s">
        <v>551</v>
      </c>
      <c r="S3" s="44"/>
      <c r="T3" s="44">
        <v>3</v>
      </c>
      <c r="U3" s="44">
        <v>2</v>
      </c>
      <c r="V3" s="44"/>
      <c r="W3" s="44">
        <v>1</v>
      </c>
      <c r="X3" s="44">
        <v>6</v>
      </c>
      <c r="Y3" s="3" t="s">
        <v>444</v>
      </c>
      <c r="Z3" t="s">
        <v>460</v>
      </c>
    </row>
    <row r="4" spans="1:26">
      <c r="A4" s="9" t="s">
        <v>461</v>
      </c>
      <c r="B4" s="44">
        <v>43</v>
      </c>
      <c r="N4" s="9" t="s">
        <v>65</v>
      </c>
      <c r="O4" s="44">
        <v>1</v>
      </c>
      <c r="R4" s="9" t="s">
        <v>273</v>
      </c>
      <c r="S4" s="44"/>
      <c r="T4" s="44">
        <v>1</v>
      </c>
      <c r="U4" s="44"/>
      <c r="V4" s="44"/>
      <c r="W4" s="44">
        <v>7</v>
      </c>
      <c r="X4" s="44">
        <v>8</v>
      </c>
      <c r="Y4" s="9" t="s">
        <v>551</v>
      </c>
      <c r="Z4" s="44">
        <v>6</v>
      </c>
    </row>
    <row r="5" spans="1:26">
      <c r="A5" s="9" t="s">
        <v>462</v>
      </c>
      <c r="B5" s="44">
        <v>43</v>
      </c>
      <c r="N5" s="9" t="s">
        <v>73</v>
      </c>
      <c r="O5" s="44">
        <v>2</v>
      </c>
      <c r="R5" s="9" t="s">
        <v>189</v>
      </c>
      <c r="S5" s="44"/>
      <c r="T5" s="44"/>
      <c r="U5" s="44"/>
      <c r="V5" s="44"/>
      <c r="W5" s="44">
        <v>1</v>
      </c>
      <c r="X5" s="44">
        <v>1</v>
      </c>
      <c r="Y5" s="9" t="s">
        <v>273</v>
      </c>
      <c r="Z5" s="44">
        <v>8</v>
      </c>
    </row>
    <row r="6" spans="1:26">
      <c r="A6" s="9" t="s">
        <v>446</v>
      </c>
      <c r="B6" s="44">
        <v>108</v>
      </c>
      <c r="N6" s="9" t="s">
        <v>83</v>
      </c>
      <c r="O6" s="44">
        <v>1</v>
      </c>
      <c r="R6" s="9" t="s">
        <v>75</v>
      </c>
      <c r="S6" s="44"/>
      <c r="T6" s="44"/>
      <c r="U6" s="44"/>
      <c r="V6" s="44">
        <v>1</v>
      </c>
      <c r="W6" s="44">
        <v>9</v>
      </c>
      <c r="X6" s="44">
        <v>10</v>
      </c>
      <c r="Y6" s="9" t="s">
        <v>189</v>
      </c>
      <c r="Z6" s="44">
        <v>1</v>
      </c>
    </row>
    <row r="7" spans="1:26">
      <c r="N7" s="9" t="s">
        <v>92</v>
      </c>
      <c r="O7" s="44">
        <v>1</v>
      </c>
      <c r="R7" s="9" t="s">
        <v>35</v>
      </c>
      <c r="S7" s="44"/>
      <c r="T7" s="44">
        <v>2</v>
      </c>
      <c r="U7" s="44">
        <v>1</v>
      </c>
      <c r="V7" s="44"/>
      <c r="W7" s="44">
        <v>9</v>
      </c>
      <c r="X7" s="44">
        <v>12</v>
      </c>
      <c r="Y7" s="9" t="s">
        <v>75</v>
      </c>
      <c r="Z7" s="44">
        <v>10</v>
      </c>
    </row>
    <row r="8" spans="1:26">
      <c r="N8" s="9" t="s">
        <v>100</v>
      </c>
      <c r="O8" s="44">
        <v>1</v>
      </c>
      <c r="R8" s="9" t="s">
        <v>124</v>
      </c>
      <c r="S8" s="44">
        <v>1</v>
      </c>
      <c r="T8" s="44">
        <v>8</v>
      </c>
      <c r="U8" s="44">
        <v>8</v>
      </c>
      <c r="V8" s="44"/>
      <c r="W8" s="44">
        <v>19</v>
      </c>
      <c r="X8" s="44">
        <v>36</v>
      </c>
      <c r="Y8" s="9" t="s">
        <v>35</v>
      </c>
      <c r="Z8" s="44">
        <v>12</v>
      </c>
    </row>
    <row r="9" spans="1:26">
      <c r="N9" s="9" t="s">
        <v>107</v>
      </c>
      <c r="O9" s="44">
        <v>1</v>
      </c>
      <c r="R9" s="9" t="s">
        <v>392</v>
      </c>
      <c r="S9" s="44"/>
      <c r="T9" s="44">
        <v>1</v>
      </c>
      <c r="U9" s="44"/>
      <c r="V9" s="44"/>
      <c r="W9" s="44"/>
      <c r="X9" s="44">
        <v>1</v>
      </c>
      <c r="Y9" s="9" t="s">
        <v>124</v>
      </c>
      <c r="Z9" s="44">
        <v>36</v>
      </c>
    </row>
    <row r="10" spans="1:26">
      <c r="N10" s="9" t="s">
        <v>114</v>
      </c>
      <c r="O10" s="44">
        <v>1</v>
      </c>
      <c r="R10" s="9" t="s">
        <v>58</v>
      </c>
      <c r="S10" s="44"/>
      <c r="T10" s="44">
        <v>6</v>
      </c>
      <c r="U10" s="44">
        <v>5</v>
      </c>
      <c r="V10" s="44">
        <v>1</v>
      </c>
      <c r="W10" s="44">
        <v>20</v>
      </c>
      <c r="X10" s="44">
        <v>32</v>
      </c>
      <c r="Y10" s="9" t="s">
        <v>392</v>
      </c>
      <c r="Z10" s="44">
        <v>1</v>
      </c>
    </row>
    <row r="11" spans="1:26">
      <c r="N11" s="9" t="s">
        <v>120</v>
      </c>
      <c r="O11" s="44">
        <v>3</v>
      </c>
      <c r="R11" s="9" t="s">
        <v>57</v>
      </c>
      <c r="S11" s="44"/>
      <c r="T11" s="44">
        <v>1</v>
      </c>
      <c r="U11" s="44"/>
      <c r="V11" s="44"/>
      <c r="W11" s="44">
        <v>1</v>
      </c>
      <c r="X11" s="44">
        <v>2</v>
      </c>
      <c r="Y11" s="9" t="s">
        <v>58</v>
      </c>
      <c r="Z11" s="44">
        <v>32</v>
      </c>
    </row>
    <row r="12" spans="1:26">
      <c r="N12" s="9" t="s">
        <v>134</v>
      </c>
      <c r="O12" s="44">
        <v>2</v>
      </c>
      <c r="R12" s="9" t="s">
        <v>446</v>
      </c>
      <c r="S12" s="44">
        <v>1</v>
      </c>
      <c r="T12" s="44">
        <v>22</v>
      </c>
      <c r="U12" s="44">
        <v>16</v>
      </c>
      <c r="V12" s="44">
        <v>2</v>
      </c>
      <c r="W12" s="44">
        <v>67</v>
      </c>
      <c r="X12" s="44">
        <v>108</v>
      </c>
      <c r="Y12" s="9" t="s">
        <v>57</v>
      </c>
      <c r="Z12" s="44">
        <v>2</v>
      </c>
    </row>
    <row r="13" spans="1:26">
      <c r="N13" s="9" t="s">
        <v>144</v>
      </c>
      <c r="O13" s="44">
        <v>3</v>
      </c>
      <c r="U13" s="2"/>
      <c r="Y13" s="9" t="s">
        <v>446</v>
      </c>
      <c r="Z13" s="44">
        <v>108</v>
      </c>
    </row>
    <row r="14" spans="1:26">
      <c r="N14" s="9" t="s">
        <v>156</v>
      </c>
      <c r="O14" s="44">
        <v>1</v>
      </c>
      <c r="U14" s="2"/>
    </row>
    <row r="15" spans="1:26">
      <c r="N15" s="9" t="s">
        <v>164</v>
      </c>
      <c r="O15" s="44">
        <v>1</v>
      </c>
      <c r="U15" s="2"/>
    </row>
    <row r="16" spans="1:26">
      <c r="N16" s="9" t="s">
        <v>173</v>
      </c>
      <c r="O16" s="44">
        <v>3</v>
      </c>
      <c r="U16" s="2"/>
    </row>
    <row r="17" spans="14:21">
      <c r="N17" s="9" t="s">
        <v>186</v>
      </c>
      <c r="O17" s="44">
        <v>1</v>
      </c>
      <c r="U17" s="2"/>
    </row>
    <row r="18" spans="14:21">
      <c r="N18" s="9" t="s">
        <v>194</v>
      </c>
      <c r="O18" s="44">
        <v>1</v>
      </c>
      <c r="U18" s="2"/>
    </row>
    <row r="19" spans="14:21">
      <c r="N19" s="9" t="s">
        <v>235</v>
      </c>
      <c r="O19" s="44">
        <v>1</v>
      </c>
      <c r="U19" s="2"/>
    </row>
    <row r="20" spans="14:21">
      <c r="N20" s="9" t="s">
        <v>241</v>
      </c>
      <c r="O20" s="44">
        <v>3</v>
      </c>
      <c r="U20" s="2"/>
    </row>
    <row r="21" spans="14:21">
      <c r="N21" s="9" t="s">
        <v>254</v>
      </c>
      <c r="O21" s="44">
        <v>1</v>
      </c>
      <c r="U21" s="2"/>
    </row>
    <row r="22" spans="14:21">
      <c r="N22" s="9" t="s">
        <v>262</v>
      </c>
      <c r="O22" s="44">
        <v>4</v>
      </c>
      <c r="U22" s="2"/>
    </row>
    <row r="23" spans="14:21">
      <c r="N23" s="9" t="s">
        <v>272</v>
      </c>
      <c r="O23" s="44">
        <v>3</v>
      </c>
      <c r="U23" s="2"/>
    </row>
    <row r="24" spans="14:21">
      <c r="N24" s="9" t="s">
        <v>284</v>
      </c>
      <c r="O24" s="44">
        <v>1</v>
      </c>
      <c r="U24" s="2"/>
    </row>
    <row r="25" spans="14:21">
      <c r="N25" s="9" t="s">
        <v>230</v>
      </c>
      <c r="O25" s="44">
        <v>2</v>
      </c>
      <c r="U25" s="2"/>
    </row>
    <row r="26" spans="14:21">
      <c r="N26" s="9" t="s">
        <v>290</v>
      </c>
      <c r="O26" s="44">
        <v>1</v>
      </c>
      <c r="U26" s="2"/>
    </row>
    <row r="27" spans="14:21">
      <c r="N27" s="9" t="s">
        <v>297</v>
      </c>
      <c r="O27" s="44">
        <v>1</v>
      </c>
      <c r="U27" s="2"/>
    </row>
    <row r="28" spans="14:21">
      <c r="N28" s="9" t="s">
        <v>305</v>
      </c>
      <c r="O28" s="44">
        <v>1</v>
      </c>
      <c r="U28" s="2"/>
    </row>
    <row r="29" spans="14:21">
      <c r="N29" s="9" t="s">
        <v>313</v>
      </c>
      <c r="O29" s="44">
        <v>5</v>
      </c>
      <c r="U29" s="2"/>
    </row>
    <row r="30" spans="14:21">
      <c r="N30" s="9" t="s">
        <v>327</v>
      </c>
      <c r="O30" s="44">
        <v>1</v>
      </c>
      <c r="U30" s="2"/>
    </row>
    <row r="31" spans="14:21">
      <c r="N31" s="9" t="s">
        <v>333</v>
      </c>
      <c r="O31" s="44">
        <v>1</v>
      </c>
      <c r="U31" s="2"/>
    </row>
    <row r="32" spans="14:21">
      <c r="N32" s="9" t="s">
        <v>337</v>
      </c>
      <c r="O32" s="44">
        <v>1</v>
      </c>
      <c r="U32" s="2"/>
    </row>
    <row r="33" spans="1:21">
      <c r="A33" s="3" t="s">
        <v>444</v>
      </c>
      <c r="B33" t="s">
        <v>463</v>
      </c>
      <c r="N33" s="9" t="s">
        <v>342</v>
      </c>
      <c r="O33" s="44">
        <v>1</v>
      </c>
      <c r="U33" s="2"/>
    </row>
    <row r="34" spans="1:21">
      <c r="A34" s="9" t="s">
        <v>449</v>
      </c>
      <c r="B34" s="44">
        <v>1</v>
      </c>
      <c r="N34" s="9" t="s">
        <v>347</v>
      </c>
      <c r="O34" s="44">
        <v>1</v>
      </c>
      <c r="U34" s="2"/>
    </row>
    <row r="35" spans="1:21">
      <c r="A35" s="9" t="s">
        <v>717</v>
      </c>
      <c r="B35" s="44">
        <v>2</v>
      </c>
      <c r="N35" s="9" t="s">
        <v>352</v>
      </c>
      <c r="O35" s="44">
        <v>1</v>
      </c>
      <c r="U35" s="2"/>
    </row>
    <row r="36" spans="1:21">
      <c r="A36" s="9" t="s">
        <v>451</v>
      </c>
      <c r="B36" s="44">
        <v>16</v>
      </c>
      <c r="N36" s="9" t="s">
        <v>361</v>
      </c>
      <c r="O36" s="44">
        <v>2</v>
      </c>
      <c r="U36" s="2"/>
    </row>
    <row r="37" spans="1:21">
      <c r="A37" s="9" t="s">
        <v>450</v>
      </c>
      <c r="B37" s="44">
        <v>22</v>
      </c>
      <c r="N37" s="9" t="s">
        <v>366</v>
      </c>
      <c r="O37" s="44">
        <v>4</v>
      </c>
      <c r="U37" s="2"/>
    </row>
    <row r="38" spans="1:21">
      <c r="A38" s="9" t="s">
        <v>452</v>
      </c>
      <c r="B38" s="44">
        <v>67</v>
      </c>
      <c r="N38" s="9" t="s">
        <v>374</v>
      </c>
      <c r="O38" s="44">
        <v>1</v>
      </c>
      <c r="U38" s="2"/>
    </row>
    <row r="39" spans="1:21">
      <c r="A39" s="9" t="s">
        <v>446</v>
      </c>
      <c r="B39" s="44">
        <v>108</v>
      </c>
      <c r="N39" s="9" t="s">
        <v>378</v>
      </c>
      <c r="O39" s="44">
        <v>1</v>
      </c>
      <c r="U39" s="2"/>
    </row>
    <row r="40" spans="1:21">
      <c r="N40" s="9" t="s">
        <v>391</v>
      </c>
      <c r="O40" s="44">
        <v>1</v>
      </c>
      <c r="U40" s="2"/>
    </row>
    <row r="41" spans="1:21">
      <c r="N41" s="9" t="s">
        <v>395</v>
      </c>
      <c r="O41" s="44">
        <v>1</v>
      </c>
      <c r="U41" s="2"/>
    </row>
    <row r="42" spans="1:21">
      <c r="N42" s="9" t="s">
        <v>399</v>
      </c>
      <c r="O42" s="44">
        <v>1</v>
      </c>
      <c r="U42" s="2"/>
    </row>
    <row r="43" spans="1:21">
      <c r="N43" s="9" t="s">
        <v>403</v>
      </c>
      <c r="O43" s="44">
        <v>2</v>
      </c>
      <c r="U43" s="2"/>
    </row>
    <row r="44" spans="1:21">
      <c r="N44" s="9" t="s">
        <v>406</v>
      </c>
      <c r="O44" s="44">
        <v>1</v>
      </c>
      <c r="U44" s="2"/>
    </row>
    <row r="45" spans="1:21">
      <c r="N45" s="9" t="s">
        <v>410</v>
      </c>
      <c r="O45" s="44">
        <v>1</v>
      </c>
      <c r="U45" s="2"/>
    </row>
    <row r="46" spans="1:21">
      <c r="N46" s="9" t="s">
        <v>416</v>
      </c>
      <c r="O46" s="44">
        <v>1</v>
      </c>
      <c r="U46" s="2"/>
    </row>
    <row r="47" spans="1:21">
      <c r="N47" s="9" t="s">
        <v>420</v>
      </c>
      <c r="O47" s="44">
        <v>4</v>
      </c>
      <c r="U47" s="2"/>
    </row>
    <row r="48" spans="1:21">
      <c r="N48" s="9" t="s">
        <v>424</v>
      </c>
      <c r="O48" s="44">
        <v>1</v>
      </c>
      <c r="U48" s="2"/>
    </row>
    <row r="49" spans="1:21">
      <c r="N49" s="9" t="s">
        <v>427</v>
      </c>
      <c r="O49" s="44">
        <v>1</v>
      </c>
      <c r="U49" s="2"/>
    </row>
    <row r="50" spans="1:21">
      <c r="N50" s="9" t="s">
        <v>435</v>
      </c>
      <c r="O50" s="44">
        <v>4</v>
      </c>
      <c r="U50" s="2"/>
    </row>
    <row r="51" spans="1:21">
      <c r="N51" s="9" t="s">
        <v>552</v>
      </c>
      <c r="O51" s="44">
        <v>1</v>
      </c>
      <c r="U51" s="2"/>
    </row>
    <row r="52" spans="1:21">
      <c r="N52" s="9" t="s">
        <v>553</v>
      </c>
      <c r="O52" s="44">
        <v>2</v>
      </c>
      <c r="U52" s="2"/>
    </row>
    <row r="53" spans="1:21">
      <c r="N53" s="9" t="s">
        <v>554</v>
      </c>
      <c r="O53" s="44">
        <v>1</v>
      </c>
      <c r="U53" s="2"/>
    </row>
    <row r="54" spans="1:21">
      <c r="N54" s="9" t="s">
        <v>654</v>
      </c>
      <c r="O54" s="44">
        <v>1</v>
      </c>
      <c r="U54" s="2"/>
    </row>
    <row r="55" spans="1:21">
      <c r="N55" s="9" t="s">
        <v>659</v>
      </c>
      <c r="O55" s="44">
        <v>1</v>
      </c>
      <c r="U55" s="2"/>
    </row>
    <row r="56" spans="1:21">
      <c r="A56" s="3" t="s">
        <v>444</v>
      </c>
      <c r="B56" t="s">
        <v>445</v>
      </c>
      <c r="N56" s="9" t="s">
        <v>662</v>
      </c>
      <c r="O56" s="44">
        <v>1</v>
      </c>
      <c r="U56" s="2"/>
    </row>
    <row r="57" spans="1:21">
      <c r="A57" s="9" t="s">
        <v>458</v>
      </c>
      <c r="B57" s="44">
        <v>13</v>
      </c>
      <c r="N57" s="9" t="s">
        <v>666</v>
      </c>
      <c r="O57" s="44">
        <v>1</v>
      </c>
      <c r="U57" s="2"/>
    </row>
    <row r="58" spans="1:21">
      <c r="A58" s="9" t="s">
        <v>461</v>
      </c>
      <c r="B58" s="44">
        <v>28</v>
      </c>
      <c r="N58" s="9" t="s">
        <v>446</v>
      </c>
      <c r="O58" s="44">
        <v>91</v>
      </c>
      <c r="U58" s="2"/>
    </row>
    <row r="59" spans="1:21">
      <c r="A59" s="9" t="s">
        <v>462</v>
      </c>
      <c r="B59" s="44">
        <v>32</v>
      </c>
      <c r="U59" s="2"/>
    </row>
    <row r="60" spans="1:21">
      <c r="A60" s="9" t="s">
        <v>446</v>
      </c>
      <c r="B60" s="44">
        <v>73</v>
      </c>
      <c r="U60" s="2"/>
    </row>
    <row r="61" spans="1:21">
      <c r="U61" s="2"/>
    </row>
    <row r="62" spans="1:21">
      <c r="U62" s="2"/>
    </row>
    <row r="63" spans="1:21">
      <c r="U63" s="2"/>
    </row>
    <row r="64" spans="1:21">
      <c r="U64" s="2"/>
    </row>
    <row r="65" spans="4:21">
      <c r="U65" s="2"/>
    </row>
    <row r="66" spans="4:21">
      <c r="U66" s="2"/>
    </row>
    <row r="67" spans="4:21">
      <c r="U67" s="2"/>
    </row>
    <row r="68" spans="4:21">
      <c r="U68" s="2"/>
    </row>
    <row r="74" spans="4:21">
      <c r="D74" s="10" t="s">
        <v>464</v>
      </c>
      <c r="E74" s="25" t="s">
        <v>465</v>
      </c>
      <c r="F74" s="25" t="s">
        <v>466</v>
      </c>
      <c r="G74" s="25" t="s">
        <v>467</v>
      </c>
      <c r="I74" t="s">
        <v>468</v>
      </c>
    </row>
    <row r="75" spans="4:21">
      <c r="D75" t="s">
        <v>28</v>
      </c>
      <c r="E75" s="6">
        <v>607125</v>
      </c>
      <c r="F75" s="6">
        <v>607126</v>
      </c>
      <c r="G75" s="6" t="str">
        <f>+IF(Monto_Pendiente[[#This Row],[Monto OC]]&lt;&gt;"","",Monto_Pendiente[[#This Row],[Monto Cotizacion]])</f>
        <v/>
      </c>
      <c r="I75" s="24">
        <v>35635301</v>
      </c>
    </row>
    <row r="76" spans="4:21">
      <c r="D76" t="s">
        <v>52</v>
      </c>
      <c r="E76" s="6">
        <v>49990</v>
      </c>
      <c r="F76" s="6">
        <v>227646</v>
      </c>
      <c r="G76" s="6" t="str">
        <f>+IF(Monto_Pendiente[[#This Row],[Monto OC]]&lt;&gt;"","",Monto_Pendiente[[#This Row],[Monto Cotizacion]])</f>
        <v/>
      </c>
    </row>
    <row r="77" spans="4:21">
      <c r="D77" t="s">
        <v>65</v>
      </c>
      <c r="E77" s="6">
        <v>65695</v>
      </c>
      <c r="F77" s="6">
        <v>65695</v>
      </c>
      <c r="G77" s="6" t="str">
        <f>+IF(Monto_Pendiente[[#This Row],[Monto OC]]&lt;&gt;"","",Monto_Pendiente[[#This Row],[Monto Cotizacion]])</f>
        <v/>
      </c>
    </row>
    <row r="78" spans="4:21">
      <c r="D78" t="s">
        <v>73</v>
      </c>
      <c r="E78" s="6">
        <v>428402</v>
      </c>
      <c r="F78" s="6">
        <v>404591</v>
      </c>
      <c r="G78" s="6" t="str">
        <f>+IF(Monto_Pendiente[[#This Row],[Monto OC]]&lt;&gt;"","",Monto_Pendiente[[#This Row],[Monto Cotizacion]])</f>
        <v/>
      </c>
    </row>
    <row r="79" spans="4:21">
      <c r="D79" t="s">
        <v>83</v>
      </c>
      <c r="E79" s="6">
        <v>756638</v>
      </c>
      <c r="F79" s="6">
        <v>227646</v>
      </c>
      <c r="G79" s="6" t="str">
        <f>+IF(Monto_Pendiente[[#This Row],[Monto OC]]&lt;&gt;"","",Monto_Pendiente[[#This Row],[Monto Cotizacion]])</f>
        <v/>
      </c>
    </row>
    <row r="80" spans="4:21">
      <c r="D80" t="s">
        <v>92</v>
      </c>
      <c r="E80" s="6">
        <v>29990</v>
      </c>
      <c r="F80" s="6">
        <v>29990</v>
      </c>
      <c r="G80" s="6" t="str">
        <f>+IF(Monto_Pendiente[[#This Row],[Monto OC]]&lt;&gt;"","",Monto_Pendiente[[#This Row],[Monto Cotizacion]])</f>
        <v/>
      </c>
    </row>
    <row r="81" spans="2:7">
      <c r="D81" t="s">
        <v>107</v>
      </c>
      <c r="E81" s="6">
        <v>71091</v>
      </c>
      <c r="F81" s="6">
        <v>71091</v>
      </c>
      <c r="G81" s="6" t="str">
        <f>+IF(Monto_Pendiente[[#This Row],[Monto OC]]&lt;&gt;"","",Monto_Pendiente[[#This Row],[Monto Cotizacion]])</f>
        <v/>
      </c>
    </row>
    <row r="82" spans="2:7">
      <c r="D82" t="s">
        <v>114</v>
      </c>
      <c r="E82" s="6">
        <v>71091</v>
      </c>
      <c r="F82" s="6">
        <v>71091</v>
      </c>
      <c r="G82" s="6" t="str">
        <f>+IF(Monto_Pendiente[[#This Row],[Monto OC]]&lt;&gt;"","",Monto_Pendiente[[#This Row],[Monto Cotizacion]])</f>
        <v/>
      </c>
    </row>
    <row r="83" spans="2:7">
      <c r="D83" t="s">
        <v>120</v>
      </c>
      <c r="E83" s="6">
        <v>547689</v>
      </c>
      <c r="F83" s="6">
        <v>563204</v>
      </c>
      <c r="G83" s="6" t="str">
        <f>+IF(Monto_Pendiente[[#This Row],[Monto OC]]&lt;&gt;"","",Monto_Pendiente[[#This Row],[Monto Cotizacion]])</f>
        <v/>
      </c>
    </row>
    <row r="84" spans="2:7">
      <c r="D84" t="s">
        <v>134</v>
      </c>
      <c r="E84" s="6">
        <v>69017</v>
      </c>
      <c r="F84" s="6">
        <v>85631</v>
      </c>
      <c r="G84" s="6" t="str">
        <f>+IF(Monto_Pendiente[[#This Row],[Monto OC]]&lt;&gt;"","",Monto_Pendiente[[#This Row],[Monto Cotizacion]])</f>
        <v/>
      </c>
    </row>
    <row r="85" spans="2:7">
      <c r="D85" t="s">
        <v>144</v>
      </c>
      <c r="E85" s="6">
        <v>547689</v>
      </c>
      <c r="F85" s="6">
        <v>547690</v>
      </c>
      <c r="G85" s="6" t="str">
        <f>+IF(Monto_Pendiente[[#This Row],[Monto OC]]&lt;&gt;"","",Monto_Pendiente[[#This Row],[Monto Cotizacion]])</f>
        <v/>
      </c>
    </row>
    <row r="86" spans="2:7">
      <c r="D86" t="s">
        <v>164</v>
      </c>
      <c r="E86" s="6">
        <v>728280</v>
      </c>
      <c r="F86" s="6">
        <v>728280</v>
      </c>
      <c r="G86" s="6" t="str">
        <f>+IF(Monto_Pendiente[[#This Row],[Monto OC]]&lt;&gt;"","",Monto_Pendiente[[#This Row],[Monto Cotizacion]])</f>
        <v/>
      </c>
    </row>
    <row r="87" spans="2:7">
      <c r="D87" t="s">
        <v>173</v>
      </c>
      <c r="E87" s="6">
        <v>170924</v>
      </c>
      <c r="F87" s="6">
        <v>170922</v>
      </c>
      <c r="G87" s="6" t="str">
        <f>+IF(Monto_Pendiente[[#This Row],[Monto OC]]&lt;&gt;"","",Monto_Pendiente[[#This Row],[Monto Cotizacion]])</f>
        <v/>
      </c>
    </row>
    <row r="88" spans="2:7">
      <c r="D88" t="s">
        <v>202</v>
      </c>
      <c r="E88" s="6">
        <v>2654479</v>
      </c>
      <c r="F88" s="6"/>
      <c r="G88" s="6">
        <f>+IF(Monto_Pendiente[[#This Row],[Monto OC]]&lt;&gt;"","",Monto_Pendiente[[#This Row],[Monto Cotizacion]])</f>
        <v>2654479</v>
      </c>
    </row>
    <row r="89" spans="2:7">
      <c r="D89" t="s">
        <v>235</v>
      </c>
      <c r="E89" s="6">
        <v>174204</v>
      </c>
      <c r="F89" s="6">
        <v>174204</v>
      </c>
      <c r="G89" s="6" t="str">
        <f>+IF(Monto_Pendiente[[#This Row],[Monto OC]]&lt;&gt;"","",Monto_Pendiente[[#This Row],[Monto Cotizacion]])</f>
        <v/>
      </c>
    </row>
    <row r="90" spans="2:7">
      <c r="D90" t="s">
        <v>241</v>
      </c>
      <c r="E90" s="6">
        <v>1921302</v>
      </c>
      <c r="F90" s="6">
        <v>1921302</v>
      </c>
      <c r="G90" s="6" t="str">
        <f>+IF(Monto_Pendiente[[#This Row],[Monto OC]]&lt;&gt;"","",Monto_Pendiente[[#This Row],[Monto Cotizacion]])</f>
        <v/>
      </c>
    </row>
    <row r="91" spans="2:7">
      <c r="D91" t="s">
        <v>254</v>
      </c>
      <c r="E91" s="6">
        <v>305488</v>
      </c>
      <c r="F91" s="6">
        <v>305487</v>
      </c>
      <c r="G91" s="6" t="str">
        <f>+IF(Monto_Pendiente[[#This Row],[Monto OC]]&lt;&gt;"","",Monto_Pendiente[[#This Row],[Monto Cotizacion]])</f>
        <v/>
      </c>
    </row>
    <row r="92" spans="2:7">
      <c r="D92" t="s">
        <v>262</v>
      </c>
      <c r="E92" s="6">
        <v>1321173</v>
      </c>
      <c r="F92" s="6">
        <v>2499546</v>
      </c>
      <c r="G92" s="6" t="str">
        <f>+IF(Monto_Pendiente[[#This Row],[Monto OC]]&lt;&gt;"","",Monto_Pendiente[[#This Row],[Monto Cotizacion]])</f>
        <v/>
      </c>
    </row>
    <row r="93" spans="2:7">
      <c r="D93" t="s">
        <v>272</v>
      </c>
      <c r="E93" s="6">
        <v>574996</v>
      </c>
      <c r="F93" s="6">
        <v>574996</v>
      </c>
      <c r="G93" s="6" t="str">
        <f>+IF(Monto_Pendiente[[#This Row],[Monto OC]]&lt;&gt;"","",Monto_Pendiente[[#This Row],[Monto Cotizacion]])</f>
        <v/>
      </c>
    </row>
    <row r="94" spans="2:7">
      <c r="D94" t="s">
        <v>284</v>
      </c>
      <c r="E94" s="6">
        <v>278818</v>
      </c>
      <c r="F94" s="6">
        <v>232348</v>
      </c>
      <c r="G94" s="6" t="str">
        <f>+IF(Monto_Pendiente[[#This Row],[Monto OC]]&lt;&gt;"","",Monto_Pendiente[[#This Row],[Monto Cotizacion]])</f>
        <v/>
      </c>
    </row>
    <row r="95" spans="2:7">
      <c r="B95" s="24">
        <f>+Monto_Pendiente[[#This Row],[Monto Cotizacion]]+E98+E136</f>
        <v>5151823</v>
      </c>
      <c r="C95" t="str">
        <f>+'[1]Tabla Control'!$A$43</f>
        <v>026_15062026_Sae_Maule norte.xlsx</v>
      </c>
      <c r="D95" t="s">
        <v>211</v>
      </c>
      <c r="E95" s="6">
        <v>3838571</v>
      </c>
      <c r="F95" s="6"/>
      <c r="G95" s="6">
        <f>+IF(Monto_Pendiente[[#This Row],[Monto OC]]&lt;&gt;"","",Monto_Pendiente[[#This Row],[Monto Cotizacion]])</f>
        <v>3838571</v>
      </c>
    </row>
    <row r="96" spans="2:7">
      <c r="C96" t="str">
        <f>+'[1]Tabla Control'!$A$44</f>
        <v>027_12062026_Sae_Maule Norte.xlsx</v>
      </c>
      <c r="D96" t="s">
        <v>217</v>
      </c>
      <c r="E96" s="6">
        <v>1748924</v>
      </c>
      <c r="F96" s="6"/>
      <c r="G96" s="6">
        <f>+IF(Monto_Pendiente[[#This Row],[Monto OC]]&lt;&gt;"","",Monto_Pendiente[[#This Row],[Monto Cotizacion]])</f>
        <v>1748924</v>
      </c>
    </row>
    <row r="97" spans="3:7">
      <c r="C97" t="str">
        <f>+'[1]Tabla Control'!$A$45</f>
        <v>028_12062026_CYM_Maule Norte.xlsx</v>
      </c>
      <c r="D97" t="s">
        <v>223</v>
      </c>
      <c r="E97" s="6">
        <v>363163</v>
      </c>
      <c r="F97" s="6"/>
      <c r="G97" s="6">
        <f>+IF(Monto_Pendiente[[#This Row],[Monto OC]]&lt;&gt;"","",Monto_Pendiente[[#This Row],[Monto Cotizacion]])</f>
        <v>363163</v>
      </c>
    </row>
    <row r="98" spans="3:7">
      <c r="C98" t="str">
        <f>+'[1]Tabla Control'!$A$46</f>
        <v>029_15062026_Sae_Maule Norte.xlsx</v>
      </c>
      <c r="D98" t="s">
        <v>227</v>
      </c>
      <c r="E98" s="6">
        <v>1153252</v>
      </c>
      <c r="F98" s="6"/>
      <c r="G98" s="6">
        <f>+IF(Monto_Pendiente[[#This Row],[Monto OC]]&lt;&gt;"","",Monto_Pendiente[[#This Row],[Monto Cotizacion]])</f>
        <v>1153252</v>
      </c>
    </row>
    <row r="99" spans="3:7">
      <c r="D99" t="s">
        <v>297</v>
      </c>
      <c r="E99" s="6">
        <v>48552</v>
      </c>
      <c r="F99" s="6">
        <v>48552</v>
      </c>
      <c r="G99" s="6" t="str">
        <f>+IF(Monto_Pendiente[[#This Row],[Monto OC]]&lt;&gt;"","",Monto_Pendiente[[#This Row],[Monto Cotizacion]])</f>
        <v/>
      </c>
    </row>
    <row r="100" spans="3:7">
      <c r="C100" t="str">
        <f>+'[1]Tabla Control'!$A$50</f>
        <v>033_17062026_Control perdida_Rancagua.xlsx</v>
      </c>
      <c r="D100" t="s">
        <v>305</v>
      </c>
      <c r="E100" s="6">
        <v>243450</v>
      </c>
      <c r="F100" s="6">
        <v>243450</v>
      </c>
      <c r="G100" s="6" t="str">
        <f>+IF(Monto_Pendiente[[#This Row],[Monto OC]]&lt;&gt;"","",Monto_Pendiente[[#This Row],[Monto Cotizacion]])</f>
        <v/>
      </c>
    </row>
    <row r="101" spans="3:7">
      <c r="C101" t="str">
        <f>+'[1]Tabla Control'!$A$51</f>
        <v>034_19062026_SAE_Maule Norte.xlsx</v>
      </c>
      <c r="D101" t="s">
        <v>313</v>
      </c>
      <c r="E101" s="6">
        <v>4175867</v>
      </c>
      <c r="F101" s="6">
        <v>4175867</v>
      </c>
      <c r="G101" s="6" t="str">
        <f>+IF(Monto_Pendiente[[#This Row],[Monto OC]]&lt;&gt;"","",Monto_Pendiente[[#This Row],[Monto Cotizacion]])</f>
        <v/>
      </c>
    </row>
    <row r="102" spans="3:7">
      <c r="D102" t="s">
        <v>333</v>
      </c>
      <c r="E102" s="6">
        <v>98440</v>
      </c>
      <c r="F102" s="6">
        <v>98442</v>
      </c>
      <c r="G102" s="6" t="str">
        <f>+IF(Monto_Pendiente[[#This Row],[Monto OC]]&lt;&gt;"","",Monto_Pendiente[[#This Row],[Monto Cotizacion]])</f>
        <v/>
      </c>
    </row>
    <row r="103" spans="3:7">
      <c r="D103" t="s">
        <v>337</v>
      </c>
      <c r="E103" s="6">
        <v>35196</v>
      </c>
      <c r="F103" s="6">
        <v>35195</v>
      </c>
      <c r="G103" s="6" t="str">
        <f>+IF(Monto_Pendiente[[#This Row],[Monto OC]]&lt;&gt;"","",Monto_Pendiente[[#This Row],[Monto Cotizacion]])</f>
        <v/>
      </c>
    </row>
    <row r="104" spans="3:7">
      <c r="D104" t="s">
        <v>342</v>
      </c>
      <c r="E104" s="6">
        <v>35196</v>
      </c>
      <c r="F104" s="6">
        <v>35195</v>
      </c>
      <c r="G104" s="6" t="str">
        <f>+IF(Monto_Pendiente[[#This Row],[Monto OC]]&lt;&gt;"","",Monto_Pendiente[[#This Row],[Monto Cotizacion]])</f>
        <v/>
      </c>
    </row>
    <row r="105" spans="3:7">
      <c r="C105" s="6">
        <f>+E95+E96+E98+E136</f>
        <v>6900747</v>
      </c>
      <c r="D105" t="s">
        <v>347</v>
      </c>
      <c r="E105" s="6">
        <v>398948</v>
      </c>
      <c r="F105" s="6">
        <v>398948</v>
      </c>
      <c r="G105" s="6" t="str">
        <f>+IF(Monto_Pendiente[[#This Row],[Monto OC]]&lt;&gt;"","",Monto_Pendiente[[#This Row],[Monto Cotizacion]])</f>
        <v/>
      </c>
    </row>
    <row r="106" spans="3:7">
      <c r="D106" t="s">
        <v>352</v>
      </c>
      <c r="E106" s="6">
        <v>825384</v>
      </c>
      <c r="F106" s="6">
        <v>825384</v>
      </c>
      <c r="G106" s="6" t="str">
        <f>+IF(Monto_Pendiente[[#This Row],[Monto OC]]&lt;&gt;"","",Monto_Pendiente[[#This Row],[Monto Cotizacion]])</f>
        <v/>
      </c>
    </row>
    <row r="107" spans="3:7">
      <c r="D107" t="s">
        <v>361</v>
      </c>
      <c r="E107" s="6">
        <v>584210</v>
      </c>
      <c r="F107" s="6">
        <v>522648</v>
      </c>
      <c r="G107" s="6" t="str">
        <f>+IF(Monto_Pendiente[[#This Row],[Monto OC]]&lt;&gt;"","",Monto_Pendiente[[#This Row],[Monto Cotizacion]])</f>
        <v/>
      </c>
    </row>
    <row r="108" spans="3:7">
      <c r="D108" t="s">
        <v>356</v>
      </c>
      <c r="E108" s="6">
        <v>1056863</v>
      </c>
      <c r="F108" s="6"/>
      <c r="G108" s="6">
        <f>+IF(Monto_Pendiente[[#This Row],[Monto OC]]&lt;&gt;"","",Monto_Pendiente[[#This Row],[Monto Cotizacion]])</f>
        <v>1056863</v>
      </c>
    </row>
    <row r="109" spans="3:7">
      <c r="D109" t="s">
        <v>370</v>
      </c>
      <c r="E109" s="6">
        <v>154986</v>
      </c>
      <c r="F109" s="6"/>
      <c r="G109" s="6">
        <f>+IF(Monto_Pendiente[[#This Row],[Monto OC]]&lt;&gt;"","",Monto_Pendiente[[#This Row],[Monto Cotizacion]])</f>
        <v>154986</v>
      </c>
    </row>
    <row r="110" spans="3:7">
      <c r="D110" t="s">
        <v>374</v>
      </c>
      <c r="E110" s="6">
        <v>803095</v>
      </c>
      <c r="F110" s="6">
        <v>803095</v>
      </c>
      <c r="G110" s="6" t="str">
        <f>+IF(Monto_Pendiente[[#This Row],[Monto OC]]&lt;&gt;"","",Monto_Pendiente[[#This Row],[Monto Cotizacion]])</f>
        <v/>
      </c>
    </row>
    <row r="111" spans="3:7">
      <c r="D111" t="s">
        <v>378</v>
      </c>
      <c r="E111" s="6">
        <v>734087</v>
      </c>
      <c r="F111" s="6">
        <v>734087</v>
      </c>
      <c r="G111" s="6" t="str">
        <f>+IF(Monto_Pendiente[[#This Row],[Monto OC]]&lt;&gt;"","",Monto_Pendiente[[#This Row],[Monto Cotizacion]])</f>
        <v/>
      </c>
    </row>
    <row r="112" spans="3:7">
      <c r="D112" t="s">
        <v>387</v>
      </c>
      <c r="E112" s="6">
        <v>394991</v>
      </c>
      <c r="F112" s="6"/>
      <c r="G112" s="6">
        <f>+IF(Monto_Pendiente[[#This Row],[Monto OC]]&lt;&gt;"","",Monto_Pendiente[[#This Row],[Monto Cotizacion]])</f>
        <v>394991</v>
      </c>
    </row>
    <row r="113" spans="4:7">
      <c r="D113" t="s">
        <v>391</v>
      </c>
      <c r="E113" s="6">
        <v>44804</v>
      </c>
      <c r="F113" s="6">
        <v>44804</v>
      </c>
      <c r="G113" s="6" t="str">
        <f>+IF(Monto_Pendiente[[#This Row],[Monto OC]]&lt;&gt;"","",Monto_Pendiente[[#This Row],[Monto Cotizacion]])</f>
        <v/>
      </c>
    </row>
    <row r="114" spans="4:7">
      <c r="D114" t="s">
        <v>395</v>
      </c>
      <c r="E114" s="6">
        <v>85661</v>
      </c>
      <c r="F114" s="6">
        <v>85661</v>
      </c>
      <c r="G114" s="6" t="str">
        <f>+IF(Monto_Pendiente[[#This Row],[Monto OC]]&lt;&gt;"","",Monto_Pendiente[[#This Row],[Monto Cotizacion]])</f>
        <v/>
      </c>
    </row>
    <row r="115" spans="4:7">
      <c r="D115" t="s">
        <v>399</v>
      </c>
      <c r="E115" s="6">
        <v>283291</v>
      </c>
      <c r="F115" s="6">
        <v>283291</v>
      </c>
      <c r="G115" s="6" t="str">
        <f>+IF(Monto_Pendiente[[#This Row],[Monto OC]]&lt;&gt;"","",Monto_Pendiente[[#This Row],[Monto Cotizacion]])</f>
        <v/>
      </c>
    </row>
    <row r="116" spans="4:7">
      <c r="D116" t="s">
        <v>403</v>
      </c>
      <c r="E116" s="6">
        <v>154774</v>
      </c>
      <c r="F116" s="6">
        <v>154775</v>
      </c>
      <c r="G116" s="6" t="str">
        <f>+IF(Monto_Pendiente[[#This Row],[Monto OC]]&lt;&gt;"","",Monto_Pendiente[[#This Row],[Monto Cotizacion]])</f>
        <v/>
      </c>
    </row>
    <row r="117" spans="4:7">
      <c r="D117" t="s">
        <v>406</v>
      </c>
      <c r="E117" s="6">
        <v>99990</v>
      </c>
      <c r="F117" s="6">
        <v>99990</v>
      </c>
      <c r="G117" s="6" t="str">
        <f>+IF(Monto_Pendiente[[#This Row],[Monto OC]]&lt;&gt;"","",Monto_Pendiente[[#This Row],[Monto Cotizacion]])</f>
        <v/>
      </c>
    </row>
    <row r="118" spans="4:7">
      <c r="D118" t="s">
        <v>410</v>
      </c>
      <c r="E118" s="6">
        <v>4003638</v>
      </c>
      <c r="F118" s="6"/>
      <c r="G118" s="6">
        <f>+IF(Monto_Pendiente[[#This Row],[Monto OC]]&lt;&gt;"","",Monto_Pendiente[[#This Row],[Monto Cotizacion]])</f>
        <v>4003638</v>
      </c>
    </row>
    <row r="119" spans="4:7">
      <c r="D119" t="s">
        <v>416</v>
      </c>
      <c r="E119" s="6">
        <v>170170</v>
      </c>
      <c r="F119" s="6">
        <v>170170</v>
      </c>
      <c r="G119" s="6" t="str">
        <f>+IF(Monto_Pendiente[[#This Row],[Monto OC]]&lt;&gt;"","",Monto_Pendiente[[#This Row],[Monto Cotizacion]])</f>
        <v/>
      </c>
    </row>
    <row r="120" spans="4:7">
      <c r="D120" t="s">
        <v>413</v>
      </c>
      <c r="E120" s="6">
        <v>204957</v>
      </c>
      <c r="F120" s="6"/>
      <c r="G120" s="6">
        <f>+IF(Monto_Pendiente[[#This Row],[Monto OC]]&lt;&gt;"","",Monto_Pendiente[[#This Row],[Monto Cotizacion]])</f>
        <v>204957</v>
      </c>
    </row>
    <row r="121" spans="4:7">
      <c r="D121" t="s">
        <v>424</v>
      </c>
      <c r="E121" s="6">
        <v>146582</v>
      </c>
      <c r="F121" s="6">
        <v>146581</v>
      </c>
      <c r="G121" s="6" t="str">
        <f>+IF(Monto_Pendiente[[#This Row],[Monto OC]]&lt;&gt;"","",Monto_Pendiente[[#This Row],[Monto Cotizacion]])</f>
        <v/>
      </c>
    </row>
    <row r="122" spans="4:7">
      <c r="D122" t="s">
        <v>427</v>
      </c>
      <c r="E122" s="6">
        <v>203395</v>
      </c>
      <c r="F122" s="6">
        <v>203395</v>
      </c>
      <c r="G122" s="6" t="str">
        <f>+IF(Monto_Pendiente[[#This Row],[Monto OC]]&lt;&gt;"","",Monto_Pendiente[[#This Row],[Monto Cotizacion]])</f>
        <v/>
      </c>
    </row>
    <row r="123" spans="4:7">
      <c r="D123" t="s">
        <v>420</v>
      </c>
      <c r="E123" s="6">
        <v>1876347</v>
      </c>
      <c r="F123" s="6"/>
      <c r="G123" s="6">
        <f>+IF(Monto_Pendiente[[#This Row],[Monto OC]]&lt;&gt;"","",Monto_Pendiente[[#This Row],[Monto Cotizacion]])</f>
        <v>1876347</v>
      </c>
    </row>
    <row r="124" spans="4:7">
      <c r="D124" t="s">
        <v>431</v>
      </c>
      <c r="E124" s="6">
        <v>36088</v>
      </c>
      <c r="F124" s="6"/>
      <c r="G124" s="6">
        <f>+IF(Monto_Pendiente[[#This Row],[Monto OC]]&lt;&gt;"","",Monto_Pendiente[[#This Row],[Monto Cotizacion]])</f>
        <v>36088</v>
      </c>
    </row>
    <row r="125" spans="4:7">
      <c r="D125" t="s">
        <v>435</v>
      </c>
      <c r="E125" s="6">
        <v>200004</v>
      </c>
      <c r="F125" s="6"/>
      <c r="G125" s="6">
        <f>+IF(Monto_Pendiente[[#This Row],[Monto OC]]&lt;&gt;"","",Monto_Pendiente[[#This Row],[Monto Cotizacion]])</f>
        <v>200004</v>
      </c>
    </row>
    <row r="126" spans="4:7">
      <c r="D126" t="s">
        <v>440</v>
      </c>
      <c r="E126" s="6">
        <v>432124</v>
      </c>
      <c r="F126" s="6"/>
      <c r="G126" s="6">
        <f>+IF(Monto_Pendiente[[#This Row],[Monto OC]]&lt;&gt;"","",Monto_Pendiente[[#This Row],[Monto Cotizacion]])</f>
        <v>432124</v>
      </c>
    </row>
    <row r="127" spans="4:7">
      <c r="D127" s="44" t="s">
        <v>552</v>
      </c>
      <c r="E127" s="6">
        <v>470532</v>
      </c>
      <c r="F127" s="6">
        <v>293249</v>
      </c>
      <c r="G127" s="46" t="str">
        <f>+IF(Monto_Pendiente[[#This Row],[Monto OC]]&lt;&gt;"","",Monto_Pendiente[[#This Row],[Monto Cotizacion]])</f>
        <v/>
      </c>
    </row>
    <row r="128" spans="4:7">
      <c r="D128" s="44" t="s">
        <v>553</v>
      </c>
      <c r="E128" s="6">
        <v>383766</v>
      </c>
      <c r="F128" s="6">
        <v>550037</v>
      </c>
      <c r="G128" s="46" t="str">
        <f>+IF(Monto_Pendiente[[#This Row],[Monto OC]]&lt;&gt;"","",Monto_Pendiente[[#This Row],[Monto Cotizacion]])</f>
        <v/>
      </c>
    </row>
    <row r="129" spans="4:7">
      <c r="D129" s="44" t="s">
        <v>554</v>
      </c>
      <c r="E129" s="6">
        <v>336502</v>
      </c>
      <c r="F129" s="6"/>
      <c r="G129" s="46">
        <f>+IF(Monto_Pendiente[[#This Row],[Monto OC]]&lt;&gt;"","",Monto_Pendiente[[#This Row],[Monto Cotizacion]])</f>
        <v>336502</v>
      </c>
    </row>
    <row r="130" spans="4:7">
      <c r="D130" s="44" t="s">
        <v>659</v>
      </c>
      <c r="E130" s="6">
        <v>2399278</v>
      </c>
      <c r="F130" s="6"/>
      <c r="G130" s="46">
        <f>+IF(Monto_Pendiente[[#This Row],[Monto OC]]&lt;&gt;"","",Monto_Pendiente[[#This Row],[Monto Cotizacion]])</f>
        <v>2399278</v>
      </c>
    </row>
    <row r="131" spans="4:7">
      <c r="D131" s="44" t="s">
        <v>662</v>
      </c>
      <c r="E131" s="6">
        <v>175038</v>
      </c>
      <c r="F131" s="6"/>
      <c r="G131" s="46">
        <f>+IF(Monto_Pendiente[[#This Row],[Monto OC]]&lt;&gt;"","",Monto_Pendiente[[#This Row],[Monto Cotizacion]])</f>
        <v>175038</v>
      </c>
    </row>
    <row r="132" spans="4:7">
      <c r="D132" s="44" t="s">
        <v>666</v>
      </c>
      <c r="E132" s="6">
        <v>182987</v>
      </c>
      <c r="F132" s="6"/>
      <c r="G132" s="46">
        <f>+IF(Monto_Pendiente[[#This Row],[Monto OC]]&lt;&gt;"","",Monto_Pendiente[[#This Row],[Monto Cotizacion]])</f>
        <v>182987</v>
      </c>
    </row>
    <row r="133" spans="4:7">
      <c r="D133" s="44" t="s">
        <v>669</v>
      </c>
      <c r="E133" s="6">
        <v>203972</v>
      </c>
      <c r="F133" s="6"/>
      <c r="G133" s="46">
        <f>+IF(Monto_Pendiente[[#This Row],[Monto OC]]&lt;&gt;"","",Monto_Pendiente[[#This Row],[Monto Cotizacion]])</f>
        <v>203972</v>
      </c>
    </row>
    <row r="134" spans="4:7">
      <c r="D134" s="44" t="s">
        <v>672</v>
      </c>
      <c r="E134" s="6">
        <v>314031</v>
      </c>
      <c r="F134" s="6"/>
      <c r="G134" s="46">
        <f>+IF(Monto_Pendiente[[#This Row],[Monto OC]]&lt;&gt;"","",Monto_Pendiente[[#This Row],[Monto Cotizacion]])</f>
        <v>314031</v>
      </c>
    </row>
    <row r="135" spans="4:7">
      <c r="D135" s="44" t="s">
        <v>676</v>
      </c>
      <c r="E135" s="6">
        <v>133875</v>
      </c>
      <c r="F135" s="6"/>
      <c r="G135" s="46">
        <f>+IF(Monto_Pendiente[[#This Row],[Monto OC]]&lt;&gt;"","",Monto_Pendiente[[#This Row],[Monto Cotizacion]])</f>
        <v>133875</v>
      </c>
    </row>
    <row r="136" spans="4:7">
      <c r="D136" s="44" t="s">
        <v>716</v>
      </c>
      <c r="E136" s="6">
        <v>160000</v>
      </c>
      <c r="F136" s="6"/>
      <c r="G136" s="46">
        <f>+IF(Monto_Pendiente[[#This Row],[Monto OC]]&lt;&gt;"","",Monto_Pendiente[[#This Row],[Monto Cotizacion]])</f>
        <v>160000</v>
      </c>
    </row>
    <row r="137" spans="4:7">
      <c r="E137" s="6"/>
      <c r="F137" s="6"/>
    </row>
    <row r="138" spans="4:7">
      <c r="E138" s="6"/>
      <c r="F138" s="6"/>
    </row>
    <row r="139" spans="4:7">
      <c r="E139" s="6"/>
      <c r="F139" s="6"/>
    </row>
    <row r="140" spans="4:7">
      <c r="F140" s="6"/>
    </row>
    <row r="141" spans="4:7">
      <c r="E141" s="6"/>
      <c r="F141" s="6"/>
    </row>
    <row r="142" spans="4:7">
      <c r="E142" s="6"/>
      <c r="F142" s="6"/>
    </row>
    <row r="143" spans="4:7">
      <c r="E143" s="6"/>
      <c r="F143" s="6"/>
    </row>
    <row r="144" spans="4:7">
      <c r="E144" s="6"/>
      <c r="F144" s="6"/>
    </row>
    <row r="145" spans="5:6">
      <c r="E145" s="6"/>
      <c r="F145" s="6"/>
    </row>
    <row r="146" spans="5:6">
      <c r="E146" s="6"/>
      <c r="F146" s="6"/>
    </row>
    <row r="147" spans="5:6">
      <c r="E147" s="6"/>
      <c r="F147" s="6"/>
    </row>
    <row r="148" spans="5:6">
      <c r="E148" s="6"/>
      <c r="F148" s="6"/>
    </row>
    <row r="149" spans="5:6">
      <c r="E149" s="6"/>
      <c r="F149" s="6"/>
    </row>
    <row r="150" spans="5:6">
      <c r="E150" s="6"/>
      <c r="F150" s="6"/>
    </row>
    <row r="151" spans="5:6">
      <c r="E151" s="6"/>
      <c r="F151" s="6"/>
    </row>
    <row r="152" spans="5:6">
      <c r="E152" s="6"/>
      <c r="F152" s="6"/>
    </row>
    <row r="153" spans="5:6">
      <c r="E153" s="6"/>
      <c r="F153" s="6"/>
    </row>
    <row r="154" spans="5:6">
      <c r="E154" s="6"/>
      <c r="F154" s="6"/>
    </row>
    <row r="155" spans="5:6">
      <c r="E155" s="6"/>
      <c r="F155" s="6"/>
    </row>
    <row r="156" spans="5:6">
      <c r="E156" s="6"/>
      <c r="F156" s="6"/>
    </row>
    <row r="157" spans="5:6">
      <c r="E157" s="6"/>
      <c r="F157" s="6"/>
    </row>
    <row r="158" spans="5:6">
      <c r="E158" s="6"/>
      <c r="F158" s="6"/>
    </row>
    <row r="159" spans="5:6">
      <c r="E159" s="6"/>
      <c r="F159" s="6"/>
    </row>
    <row r="160" spans="5:6">
      <c r="E160" s="6"/>
      <c r="F160" s="6"/>
    </row>
    <row r="161" spans="5:6">
      <c r="E161" s="6"/>
      <c r="F161" s="6"/>
    </row>
    <row r="162" spans="5:6">
      <c r="E162" s="6"/>
      <c r="F162" s="6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6"/>
    <col min="13" max="13" width="21.7109375" customWidth="1"/>
    <col min="14" max="14" width="12" customWidth="1"/>
  </cols>
  <sheetData>
    <row r="1" spans="1:14">
      <c r="A1" t="s">
        <v>0</v>
      </c>
      <c r="B1" t="s">
        <v>469</v>
      </c>
      <c r="C1" t="s">
        <v>1</v>
      </c>
      <c r="D1" t="s">
        <v>2</v>
      </c>
      <c r="E1" t="s">
        <v>470</v>
      </c>
      <c r="F1" t="s">
        <v>17</v>
      </c>
      <c r="G1" t="s">
        <v>15</v>
      </c>
      <c r="H1" s="2" t="s">
        <v>19</v>
      </c>
      <c r="I1" s="2" t="s">
        <v>20</v>
      </c>
      <c r="J1" t="s">
        <v>471</v>
      </c>
      <c r="K1" t="s">
        <v>472</v>
      </c>
      <c r="L1" s="6" t="s">
        <v>473</v>
      </c>
      <c r="M1" t="s">
        <v>474</v>
      </c>
      <c r="N1" t="s">
        <v>475</v>
      </c>
    </row>
    <row r="2" spans="1:14">
      <c r="A2" t="s">
        <v>24</v>
      </c>
      <c r="B2">
        <v>46162</v>
      </c>
      <c r="C2" t="s">
        <v>476</v>
      </c>
      <c r="D2" t="s">
        <v>477</v>
      </c>
      <c r="E2" t="s">
        <v>478</v>
      </c>
      <c r="F2" t="s">
        <v>452</v>
      </c>
      <c r="G2" t="s">
        <v>479</v>
      </c>
      <c r="I2" s="2">
        <v>46175</v>
      </c>
      <c r="J2" t="s">
        <v>480</v>
      </c>
      <c r="K2" t="s">
        <v>481</v>
      </c>
      <c r="L2" s="6">
        <v>408360</v>
      </c>
      <c r="M2" t="s">
        <v>482</v>
      </c>
      <c r="N2">
        <v>13</v>
      </c>
    </row>
    <row r="3" spans="1:14">
      <c r="A3" t="s">
        <v>24</v>
      </c>
      <c r="B3">
        <v>46162</v>
      </c>
      <c r="C3" t="s">
        <v>476</v>
      </c>
      <c r="D3" t="s">
        <v>477</v>
      </c>
      <c r="E3" t="s">
        <v>483</v>
      </c>
      <c r="F3" t="s">
        <v>452</v>
      </c>
      <c r="G3" t="s">
        <v>484</v>
      </c>
      <c r="H3" s="2">
        <v>46169</v>
      </c>
      <c r="I3" s="2">
        <v>46177</v>
      </c>
      <c r="J3" t="s">
        <v>480</v>
      </c>
      <c r="K3" t="s">
        <v>481</v>
      </c>
      <c r="L3" s="6">
        <v>68906</v>
      </c>
      <c r="M3" t="s">
        <v>482</v>
      </c>
      <c r="N3">
        <v>15</v>
      </c>
    </row>
    <row r="4" spans="1:14">
      <c r="A4" t="s">
        <v>24</v>
      </c>
      <c r="B4">
        <v>46162</v>
      </c>
      <c r="C4" t="s">
        <v>476</v>
      </c>
      <c r="D4" t="s">
        <v>477</v>
      </c>
      <c r="E4" t="s">
        <v>485</v>
      </c>
      <c r="F4" t="s">
        <v>452</v>
      </c>
      <c r="G4" t="s">
        <v>484</v>
      </c>
      <c r="H4" s="2">
        <v>46171</v>
      </c>
      <c r="I4" s="2">
        <v>46177</v>
      </c>
      <c r="J4" t="s">
        <v>480</v>
      </c>
      <c r="K4" t="s">
        <v>481</v>
      </c>
      <c r="L4" s="6">
        <v>16798</v>
      </c>
      <c r="M4" t="s">
        <v>482</v>
      </c>
      <c r="N4">
        <v>15</v>
      </c>
    </row>
    <row r="5" spans="1:14">
      <c r="A5" t="s">
        <v>24</v>
      </c>
      <c r="B5">
        <v>46162</v>
      </c>
      <c r="C5" t="s">
        <v>476</v>
      </c>
      <c r="D5" t="s">
        <v>477</v>
      </c>
      <c r="E5" t="s">
        <v>486</v>
      </c>
      <c r="F5" t="s">
        <v>452</v>
      </c>
      <c r="G5" t="s">
        <v>484</v>
      </c>
      <c r="H5" s="2">
        <v>46171</v>
      </c>
      <c r="I5" s="2">
        <v>46177</v>
      </c>
      <c r="J5" t="s">
        <v>480</v>
      </c>
      <c r="K5" t="s">
        <v>481</v>
      </c>
      <c r="L5" s="6">
        <v>16126</v>
      </c>
      <c r="M5" t="s">
        <v>482</v>
      </c>
      <c r="N5">
        <v>15</v>
      </c>
    </row>
    <row r="6" spans="1:14">
      <c r="A6" t="s">
        <v>48</v>
      </c>
      <c r="B6">
        <v>46161</v>
      </c>
      <c r="C6" t="s">
        <v>487</v>
      </c>
      <c r="D6" t="s">
        <v>488</v>
      </c>
      <c r="E6" t="s">
        <v>489</v>
      </c>
      <c r="F6" t="s">
        <v>452</v>
      </c>
      <c r="G6" t="s">
        <v>484</v>
      </c>
      <c r="H6" s="2">
        <v>46168</v>
      </c>
      <c r="I6" s="2">
        <v>46171</v>
      </c>
      <c r="J6" t="s">
        <v>490</v>
      </c>
      <c r="K6" t="s">
        <v>491</v>
      </c>
      <c r="L6" s="6">
        <v>191299</v>
      </c>
      <c r="M6" t="s">
        <v>492</v>
      </c>
      <c r="N6">
        <v>10</v>
      </c>
    </row>
    <row r="7" spans="1:14">
      <c r="A7" t="s">
        <v>61</v>
      </c>
      <c r="B7">
        <v>46164</v>
      </c>
      <c r="C7" t="s">
        <v>493</v>
      </c>
      <c r="D7" t="s">
        <v>494</v>
      </c>
      <c r="E7" t="s">
        <v>495</v>
      </c>
      <c r="F7" t="s">
        <v>452</v>
      </c>
      <c r="G7" t="s">
        <v>496</v>
      </c>
      <c r="I7" s="2">
        <v>46171</v>
      </c>
      <c r="J7" t="s">
        <v>490</v>
      </c>
      <c r="K7" t="s">
        <v>497</v>
      </c>
      <c r="L7" s="6">
        <v>55206</v>
      </c>
      <c r="M7" t="s">
        <v>492</v>
      </c>
      <c r="N7">
        <v>7</v>
      </c>
    </row>
    <row r="8" spans="1:14">
      <c r="A8" t="s">
        <v>69</v>
      </c>
      <c r="B8">
        <v>46164</v>
      </c>
      <c r="C8" t="s">
        <v>498</v>
      </c>
      <c r="D8" t="s">
        <v>499</v>
      </c>
      <c r="E8" t="s">
        <v>500</v>
      </c>
      <c r="F8" t="s">
        <v>452</v>
      </c>
      <c r="G8" t="s">
        <v>496</v>
      </c>
      <c r="I8" s="2">
        <v>46177</v>
      </c>
      <c r="J8" t="s">
        <v>480</v>
      </c>
      <c r="K8" t="s">
        <v>501</v>
      </c>
      <c r="L8" s="6">
        <v>306380</v>
      </c>
      <c r="M8" t="s">
        <v>482</v>
      </c>
      <c r="N8">
        <v>13</v>
      </c>
    </row>
    <row r="9" spans="1:14">
      <c r="A9" t="s">
        <v>69</v>
      </c>
      <c r="B9">
        <v>46164</v>
      </c>
      <c r="C9" t="s">
        <v>498</v>
      </c>
      <c r="D9" t="s">
        <v>499</v>
      </c>
      <c r="E9" t="s">
        <v>502</v>
      </c>
      <c r="F9" t="s">
        <v>452</v>
      </c>
      <c r="G9" t="s">
        <v>484</v>
      </c>
      <c r="H9" s="2">
        <v>46170</v>
      </c>
      <c r="I9" s="2">
        <v>46172</v>
      </c>
      <c r="J9" t="s">
        <v>480</v>
      </c>
      <c r="K9" t="s">
        <v>501</v>
      </c>
      <c r="L9" s="6">
        <v>39999</v>
      </c>
      <c r="M9" t="s">
        <v>482</v>
      </c>
      <c r="N9">
        <v>8</v>
      </c>
    </row>
    <row r="10" spans="1:14">
      <c r="A10" t="s">
        <v>79</v>
      </c>
      <c r="B10">
        <v>46167</v>
      </c>
      <c r="C10" t="s">
        <v>503</v>
      </c>
      <c r="D10" t="s">
        <v>504</v>
      </c>
      <c r="E10" t="s">
        <v>505</v>
      </c>
      <c r="F10" t="s">
        <v>452</v>
      </c>
      <c r="G10" t="s">
        <v>496</v>
      </c>
      <c r="I10" s="2">
        <v>46171</v>
      </c>
      <c r="J10" t="s">
        <v>506</v>
      </c>
      <c r="K10" t="s">
        <v>497</v>
      </c>
      <c r="L10" s="6">
        <v>191299</v>
      </c>
      <c r="M10" t="s">
        <v>492</v>
      </c>
      <c r="N10">
        <v>4</v>
      </c>
    </row>
    <row r="11" spans="1:14">
      <c r="A11" t="s">
        <v>88</v>
      </c>
      <c r="B11">
        <v>46167</v>
      </c>
      <c r="C11" t="s">
        <v>507</v>
      </c>
      <c r="D11" t="s">
        <v>508</v>
      </c>
      <c r="E11" t="s">
        <v>509</v>
      </c>
      <c r="F11" t="s">
        <v>452</v>
      </c>
      <c r="G11" t="s">
        <v>484</v>
      </c>
      <c r="H11" s="2">
        <v>46170</v>
      </c>
      <c r="I11" s="2">
        <v>46175</v>
      </c>
      <c r="J11" t="s">
        <v>490</v>
      </c>
      <c r="K11" t="s">
        <v>497</v>
      </c>
      <c r="L11" s="6">
        <v>25202</v>
      </c>
      <c r="M11" t="s">
        <v>492</v>
      </c>
      <c r="N11">
        <v>8</v>
      </c>
    </row>
    <row r="12" spans="1:14">
      <c r="A12" t="s">
        <v>96</v>
      </c>
      <c r="B12">
        <v>46167</v>
      </c>
      <c r="C12" t="s">
        <v>510</v>
      </c>
      <c r="D12" t="s">
        <v>510</v>
      </c>
      <c r="E12" t="s">
        <v>511</v>
      </c>
      <c r="F12" t="s">
        <v>452</v>
      </c>
      <c r="G12" t="s">
        <v>484</v>
      </c>
      <c r="H12" s="2">
        <v>46171</v>
      </c>
      <c r="I12" s="2">
        <v>46175</v>
      </c>
      <c r="J12" t="s">
        <v>512</v>
      </c>
      <c r="K12" t="s">
        <v>497</v>
      </c>
      <c r="L12" s="6">
        <v>25202</v>
      </c>
      <c r="M12" t="s">
        <v>492</v>
      </c>
      <c r="N12">
        <v>8</v>
      </c>
    </row>
    <row r="13" spans="1:14">
      <c r="A13" t="s">
        <v>103</v>
      </c>
      <c r="B13">
        <v>46167</v>
      </c>
      <c r="C13" t="s">
        <v>513</v>
      </c>
      <c r="D13" t="s">
        <v>514</v>
      </c>
      <c r="E13" t="s">
        <v>515</v>
      </c>
      <c r="F13" t="s">
        <v>452</v>
      </c>
      <c r="G13" t="s">
        <v>484</v>
      </c>
      <c r="I13" s="2">
        <v>46179</v>
      </c>
      <c r="J13" t="s">
        <v>512</v>
      </c>
      <c r="K13" t="s">
        <v>497</v>
      </c>
      <c r="L13" s="6">
        <v>71091</v>
      </c>
      <c r="M13" t="s">
        <v>492</v>
      </c>
      <c r="N13">
        <v>12</v>
      </c>
    </row>
    <row r="14" spans="1:14">
      <c r="A14" t="s">
        <v>110</v>
      </c>
      <c r="B14">
        <v>46167</v>
      </c>
      <c r="C14" t="s">
        <v>516</v>
      </c>
      <c r="D14" t="s">
        <v>516</v>
      </c>
      <c r="E14" t="s">
        <v>517</v>
      </c>
      <c r="F14" t="s">
        <v>452</v>
      </c>
      <c r="G14" t="s">
        <v>484</v>
      </c>
      <c r="I14" s="2">
        <v>46179</v>
      </c>
      <c r="J14" t="s">
        <v>490</v>
      </c>
      <c r="K14" t="s">
        <v>497</v>
      </c>
      <c r="L14" s="6">
        <v>710091</v>
      </c>
      <c r="M14" t="s">
        <v>492</v>
      </c>
      <c r="N14">
        <v>12</v>
      </c>
    </row>
    <row r="15" spans="1:14">
      <c r="A15" t="s">
        <v>116</v>
      </c>
      <c r="B15">
        <v>46161</v>
      </c>
      <c r="C15" t="s">
        <v>518</v>
      </c>
      <c r="D15" t="s">
        <v>519</v>
      </c>
      <c r="E15" t="s">
        <v>520</v>
      </c>
      <c r="F15" t="s">
        <v>452</v>
      </c>
      <c r="G15" t="s">
        <v>484</v>
      </c>
      <c r="H15" s="2">
        <v>46170</v>
      </c>
      <c r="J15" t="s">
        <v>521</v>
      </c>
      <c r="K15" t="s">
        <v>491</v>
      </c>
      <c r="L15" s="6">
        <v>61596</v>
      </c>
      <c r="M15" t="s">
        <v>482</v>
      </c>
      <c r="N15">
        <v>-46161</v>
      </c>
    </row>
    <row r="16" spans="1:14">
      <c r="A16" t="s">
        <v>116</v>
      </c>
      <c r="B16">
        <v>46161</v>
      </c>
      <c r="C16" t="s">
        <v>518</v>
      </c>
      <c r="D16" t="s">
        <v>519</v>
      </c>
      <c r="E16" t="s">
        <v>522</v>
      </c>
      <c r="F16" t="s">
        <v>452</v>
      </c>
      <c r="G16" t="s">
        <v>484</v>
      </c>
      <c r="H16" s="2">
        <v>46170</v>
      </c>
      <c r="J16" t="s">
        <v>521</v>
      </c>
      <c r="K16" t="s">
        <v>491</v>
      </c>
      <c r="L16" s="6">
        <v>47558</v>
      </c>
      <c r="M16" t="s">
        <v>482</v>
      </c>
      <c r="N16">
        <v>-46161</v>
      </c>
    </row>
    <row r="17" spans="1:14">
      <c r="A17" t="s">
        <v>116</v>
      </c>
      <c r="B17">
        <v>46161</v>
      </c>
      <c r="C17" t="s">
        <v>518</v>
      </c>
      <c r="D17" t="s">
        <v>519</v>
      </c>
      <c r="E17" t="s">
        <v>523</v>
      </c>
      <c r="F17" t="s">
        <v>452</v>
      </c>
      <c r="G17" t="s">
        <v>484</v>
      </c>
      <c r="H17" s="2">
        <v>46170</v>
      </c>
      <c r="J17" t="s">
        <v>521</v>
      </c>
      <c r="K17" t="s">
        <v>491</v>
      </c>
      <c r="L17" s="6">
        <v>460942</v>
      </c>
      <c r="M17" t="s">
        <v>482</v>
      </c>
      <c r="N17">
        <v>-46161</v>
      </c>
    </row>
    <row r="18" spans="1:14">
      <c r="A18" t="s">
        <v>130</v>
      </c>
      <c r="B18">
        <v>46161</v>
      </c>
      <c r="C18" t="s">
        <v>524</v>
      </c>
      <c r="D18" t="s">
        <v>525</v>
      </c>
      <c r="E18" t="s">
        <v>526</v>
      </c>
      <c r="F18" t="s">
        <v>452</v>
      </c>
      <c r="G18" t="s">
        <v>484</v>
      </c>
      <c r="H18" s="2">
        <v>46170</v>
      </c>
      <c r="J18" t="s">
        <v>490</v>
      </c>
      <c r="K18" t="s">
        <v>491</v>
      </c>
      <c r="L18" s="6">
        <v>21459</v>
      </c>
      <c r="M18" t="s">
        <v>482</v>
      </c>
      <c r="N18">
        <v>-46161</v>
      </c>
    </row>
    <row r="19" spans="1:14">
      <c r="A19" t="s">
        <v>130</v>
      </c>
      <c r="B19">
        <v>46161</v>
      </c>
      <c r="C19" t="s">
        <v>524</v>
      </c>
      <c r="D19" t="s">
        <v>525</v>
      </c>
      <c r="E19" t="s">
        <v>527</v>
      </c>
      <c r="F19" t="s">
        <v>452</v>
      </c>
      <c r="G19" t="s">
        <v>484</v>
      </c>
      <c r="H19" s="2">
        <v>46170</v>
      </c>
      <c r="J19" t="s">
        <v>490</v>
      </c>
      <c r="K19" t="s">
        <v>491</v>
      </c>
      <c r="L19" s="6">
        <v>47558</v>
      </c>
      <c r="M19" t="s">
        <v>482</v>
      </c>
      <c r="N19">
        <v>-46161</v>
      </c>
    </row>
    <row r="20" spans="1:14">
      <c r="A20" t="s">
        <v>140</v>
      </c>
      <c r="B20">
        <v>46161</v>
      </c>
      <c r="C20" t="s">
        <v>528</v>
      </c>
      <c r="D20" t="s">
        <v>529</v>
      </c>
      <c r="E20" t="s">
        <v>530</v>
      </c>
      <c r="F20" t="s">
        <v>452</v>
      </c>
      <c r="G20" t="s">
        <v>484</v>
      </c>
      <c r="H20" s="2">
        <v>46170</v>
      </c>
      <c r="J20" t="s">
        <v>512</v>
      </c>
      <c r="K20" t="s">
        <v>491</v>
      </c>
      <c r="L20" s="6">
        <v>39190</v>
      </c>
      <c r="M20" t="s">
        <v>482</v>
      </c>
      <c r="N20">
        <v>-46161</v>
      </c>
    </row>
    <row r="21" spans="1:14">
      <c r="A21" t="s">
        <v>140</v>
      </c>
      <c r="B21">
        <v>46161</v>
      </c>
      <c r="C21" t="s">
        <v>528</v>
      </c>
      <c r="D21" t="s">
        <v>529</v>
      </c>
      <c r="E21" t="s">
        <v>531</v>
      </c>
      <c r="F21" t="s">
        <v>452</v>
      </c>
      <c r="G21" t="s">
        <v>484</v>
      </c>
      <c r="H21" s="2">
        <v>46170</v>
      </c>
      <c r="J21" t="s">
        <v>512</v>
      </c>
      <c r="K21" t="s">
        <v>491</v>
      </c>
      <c r="L21" s="6">
        <v>47558</v>
      </c>
      <c r="M21" t="s">
        <v>482</v>
      </c>
      <c r="N21">
        <v>-46161</v>
      </c>
    </row>
    <row r="22" spans="1:14">
      <c r="A22" t="s">
        <v>140</v>
      </c>
      <c r="B22">
        <v>46161</v>
      </c>
      <c r="C22" t="s">
        <v>528</v>
      </c>
      <c r="D22" t="s">
        <v>529</v>
      </c>
      <c r="E22" t="s">
        <v>532</v>
      </c>
      <c r="F22" t="s">
        <v>452</v>
      </c>
      <c r="G22" t="s">
        <v>484</v>
      </c>
      <c r="H22" s="2">
        <v>46170</v>
      </c>
      <c r="J22" t="s">
        <v>512</v>
      </c>
      <c r="K22" t="s">
        <v>491</v>
      </c>
      <c r="L22" s="6">
        <v>460942</v>
      </c>
      <c r="M22" t="s">
        <v>482</v>
      </c>
      <c r="N22">
        <v>-46161</v>
      </c>
    </row>
    <row r="23" spans="1:14">
      <c r="A23" t="s">
        <v>152</v>
      </c>
      <c r="B23">
        <v>46161</v>
      </c>
      <c r="C23" t="s">
        <v>533</v>
      </c>
      <c r="D23" t="s">
        <v>534</v>
      </c>
      <c r="E23" t="s">
        <v>535</v>
      </c>
      <c r="F23" t="s">
        <v>452</v>
      </c>
      <c r="G23" t="s">
        <v>484</v>
      </c>
      <c r="H23" s="2">
        <v>46174</v>
      </c>
      <c r="J23" t="s">
        <v>490</v>
      </c>
      <c r="K23" t="s">
        <v>536</v>
      </c>
      <c r="L23" s="6">
        <v>130319</v>
      </c>
      <c r="M23" t="s">
        <v>482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808578b4-528e-4ee2-8e62-a56b9401e0b1"/>
    <ds:schemaRef ds:uri="http://purl.org/dc/dcmitype/"/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Tabla Control</vt:lpstr>
      <vt:lpstr>Estado solicitudes</vt:lpstr>
      <vt:lpstr>Fechas</vt:lpstr>
      <vt:lpstr>ppt</vt:lpstr>
      <vt:lpstr>Tablero</vt:lpstr>
      <vt:lpstr>Graficos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2026-07-28T15:44:35Z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