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17E25399-0E65-4194-9AA0-620962459DFA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8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C24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<sst xmlns="http://schemas.openxmlformats.org/spreadsheetml/2006/main" count="4709" uniqueCount="1377">
  <si>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</si>
  <si>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</si>
  <si>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</si>
  <si>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</si>
  <si>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</si>
  <si>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</si>
  <si>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</si>
  <si>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</si>
  <si>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</si>
  <si>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</si>
  <si>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</si>
  <si>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</si>
  <si>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</si>
  <si>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</si>
  <si>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</si>
  <si>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</si>
  <si>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</si>
  <si>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</si>
  <si>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</si>
  <si>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</si>
  <si>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</si>
  <si>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</si>
  <si>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</si>
  <si>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</si>
  <si>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</si>
  <si>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</si>
  <si>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</si>
  <si>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</si>
  <si>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</si>
  <si>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</si>
  <si>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</si>
  <si>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</si>
  <si>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</si>
  <si>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</si>
  <si>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</si>
  <si>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</si>
  <si>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</si>
  <si>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</si>
  <si>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</si>
  <si>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</si>
  <si>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</si>
  <si>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</si>
  <si>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</si>
  <si>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</si>
  <si>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</si>
  <si>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</si>
  <si>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</si>
  <si>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</si>
  <si>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</si>
  <si>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</si>
  <si>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</si>
  <si>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</si>
  <si>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</si>
  <si>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</si>
  <si>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</si>
  <si>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</si>
  <si>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</si>
  <si>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</si>
  <si>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</si>
  <si>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</si>
  <si>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</si>
  <si>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</si>
  <si>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</si>
  <si>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</si>
  <si>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</si>
  <si>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</si>
  <si>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</si>
  <si>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</si>
  <si>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</si>
  <si>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</si>
  <si>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</si>
  <si>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</si>
  <si>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</si>
  <si>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</si>
  <si>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</si>
  <si>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</si>
  <si>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</si>
  <si>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</si>
  <si>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</si>
  <si>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</si>
  <si>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</si>
  <si>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</si>
  <si>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</si>
  <si>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</si>
  <si>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</si>
  <si>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</si>
  <si>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</si>
  <si>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</si>
  <si>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</si>
  <si>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</si>
  <si>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</si>
  <si>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</si>
  <si>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</si>
  <si>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</si>
  <si>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</si>
  <si>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</si>
  <si>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</si>
  <si>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</si>
  <si>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</si>
  <si>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</si>
  <si>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</si>
  <si>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</si>
  <si>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</si>
  <si>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</si>
  <si>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</si>
  <si>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</si>
  <si>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</si>
  <si>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</si>
  <si>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</si>
  <si>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</si>
  <si>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</si>
  <si>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</si>
  <si>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</si>
  <si>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</si>
  <si>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</si>
  <si>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</si>
  <si>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</si>
  <si>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</si>
  <si>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</si>
  <si>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</si>
  <si>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</si>
  <si>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</si>
  <si>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</si>
  <si>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</si>
  <si>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</si>
  <si>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</si>
  <si>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</si>
  <si>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</si>
  <si>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</si>
  <si>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</si>
  <si>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</si>
  <si>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</si>
  <si>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</si>
  <si>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</si>
  <si>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</si>
  <si>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</si>
  <si>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</si>
  <si>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</si>
  <si>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</si>
  <si>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</si>
  <si>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</si>
  <si>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</si>
  <si>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</si>
  <si>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</si>
  <si>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</si>
  <si>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</si>
  <si>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</si>
  <si>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</si>
  <si>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</si>
  <si>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</si>
  <si>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</si>
  <si>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</si>
  <si>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</si>
  <si>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</si>
  <si>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</si>
  <si>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</si>
  <si>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</si>
  <si>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</si>
  <si>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</si>
  <si>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</si>
  <si>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</si>
  <si>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</si>
  <si>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</si>
  <si>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</si>
  <si>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</si>
  <si>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</si>
  <si>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</si>
  <si>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</si>
  <si>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</si>
  <si>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</si>
  <si>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</si>
  <si>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</si>
  <si>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</si>
  <si>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</si>
  <si>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</si>
  <si>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</si>
  <si>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</si>
  <si>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</si>
  <si>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</si>
  <si>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</si>
  <si>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</si>
  <si>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</si>
  <si>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</si>
  <si>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</si>
  <si>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</si>
  <si>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</si>
  <si>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</si>
  <si>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</si>
  <si>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</si>
  <si>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</si>
  <si>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</si>
  <si>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</si>
  <si>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</si>
  <si>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</si>
  <si>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</si>
  <si>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</si>
  <si>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</si>
  <si>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</si>
  <si>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</si>
  <si>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</si>
  <si>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</si>
  <si>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</si>
  <si>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</si>
  <si>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</si>
  <si>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</si>
  <si>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</si>
  <si>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</si>
  <si>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</si>
  <si>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</si>
  <si>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</si>
  <si>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</si>
  <si>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</si>
  <si>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</si>
  <si>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</si>
  <si>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</si>
  <si>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</si>
  <si>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</si>
  <si>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</si>
  <si>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</si>
  <si>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</si>
  <si>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</si>
  <si>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</si>
  <si>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</si>
  <si>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</si>
  <si>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</si>
  <si>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</si>
  <si>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</si>
  <si>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</si>
  <si>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</si>
  <si>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</si>
  <si>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</si>
  <si>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</si>
  <si>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</si>
  <si>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</si>
  <si>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</si>
  <si>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</si>
  <si>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</si>
  <si>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</si>
  <si>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</si>
  <si>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</si>
  <si>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</si>
  <si>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</si>
  <si>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</si>
  <si>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</si>
  <si>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</si>
  <si>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</si>
  <si>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</si>
  <si>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</si>
  <si>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</si>
  <si>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</si>
  <si>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</si>
  <si>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</si>
  <si>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</si>
  <si>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</si>
  <si>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</si>
  <si>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</si>
  <si>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</si>
  <si>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</si>
  <si>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</si>
  <si>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</si>
  <si>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</si>
  <si>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</si>
  <si>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</si>
  <si>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</si>
  <si>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</si>
  <si>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</si>
  <si>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</si>
  <si>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</si>
  <si>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</si>
  <si>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</si>
  <si>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</si>
  <si>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</si>
  <si>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</si>
  <si>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</si>
  <si>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</si>
  <si>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</si>
  <si>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</si>
  <si>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</si>
  <si>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</si>
  <si>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</si>
  <si>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</si>
  <si>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</si>
  <si>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</si>
  <si>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</si>
  <si>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</si>
  <si>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</si>
  <si>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</si>
  <si>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</si>
  <si>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</si>
  <si>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</si>
  <si>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</si>
  <si>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</si>
  <si>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</si>
  <si>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</si>
  <si>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</si>
  <si>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</si>
  <si>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</si>
  <si>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</si>
  <si>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</si>
  <si>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</si>
  <si>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</si>
  <si>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</si>
  <si>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</si>
  <si>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</si>
  <si>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</si>
  <si>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</si>
  <si>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</si>
  <si>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</si>
  <si>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</si>
  <si>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</si>
  <si>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</si>
  <si>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</si>
  <si>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</si>
  <si>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</si>
  <si>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</si>
  <si>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</si>
  <si>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</si>
  <si>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</si>
  <si>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</si>
  <si>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</si>
  <si>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</si>
  <si>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</si>
  <si>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</si>
  <si>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</si>
  <si>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</si>
  <si>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</si>
  <si>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</si>
  <si>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</si>
  <si>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</si>
  <si>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</si>
  <si>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</si>
  <si>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</si>
  <si>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</si>
  <si>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</si>
  <si>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</si>
  <si>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</si>
  <si>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</si>
  <si>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</si>
  <si>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</si>
  <si>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</si>
  <si>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</si>
  <si>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</si>
  <si>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</si>
  <si>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</si>
  <si>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</si>
  <si>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</si>
  <si>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</si>
  <si>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</si>
  <si>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</si>
  <si>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</si>
  <si>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</si>
  <si>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</si>
  <si>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</si>
  <si>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</si>
  <si>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</si>
  <si>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</si>
  <si>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</si>
  <si>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</si>
  <si>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</si>
  <si>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</si>
  <si>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</si>
  <si>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</si>
  <si>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</si>
  <si>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</si>
  <si>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</si>
  <si>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</si>
  <si>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</si>
  <si>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</si>
  <si>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</si>
  <si>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</si>
  <si>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</si>
  <si>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</si>
  <si>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</si>
  <si>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</si>
  <si>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</si>
  <si>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</si>
  <si>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</si>
  <si>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</si>
  <si>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</si>
  <si>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</si>
  <si>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</si>
  <si>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</si>
  <si>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</si>
  <si>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</si>
  <si>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</si>
  <si>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</si>
  <si>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</si>
  <si>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</si>
  <si>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</si>
  <si>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</si>
  <si>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</si>
  <si>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</si>
  <si>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</si>
  <si>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</si>
  <si>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</si>
  <si>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</si>
  <si>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</si>
  <si>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</si>
  <si>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</si>
  <si>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</si>
  <si>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</si>
  <si>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</si>
  <si>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</si>
  <si>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</si>
  <si>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</si>
  <si>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</si>
  <si>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</si>
  <si>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</si>
  <si>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</si>
  <si>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</si>
  <si>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</si>
  <si>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</si>
  <si>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</si>
  <si>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</si>
  <si>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</si>
  <si>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</si>
  <si>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</si>
  <si>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</si>
  <si>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</si>
  <si>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</si>
  <si>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</si>
  <si>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</si>
  <si>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</si>
  <si>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</si>
  <si>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</si>
  <si>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</si>
  <si>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</si>
  <si>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</si>
  <si>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</si>
  <si>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</si>
  <si>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</si>
  <si>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</si>
  <si>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</si>
  <si>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</si>
  <si>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</si>
  <si>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</si>
  <si>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</si>
  <si>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</si>
  <si>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</si>
  <si>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</si>
  <si>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</si>
  <si>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</si>
  <si>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</si>
  <si>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</si>
  <si>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</si>
  <si>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</si>
  <si>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</si>
  <si>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</si>
  <si>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</si>
  <si>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</si>
  <si>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</si>
  <si>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</si>
  <si>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</si>
  <si>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</si>
  <si>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</si>
  <si>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</si>
  <si>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</si>
  <si>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</si>
  <si>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</si>
  <si>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</si>
  <si>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</si>
  <si>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</si>
  <si>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</si>
  <si>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</si>
  <si>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</si>
  <si>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</si>
  <si>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</si>
  <si>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</si>
  <si>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</si>
  <si>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</si>
  <si>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</si>
  <si>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</si>
  <si>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</si>
  <si>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</si>
  <si>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</si>
  <si>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</si>
  <si>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</si>
  <si>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</si>
  <si>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</si>
  <si>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</si>
  <si>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</si>
  <si>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</si>
  <si>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</si>
  <si>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</si>
  <si>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</si>
  <si>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</si>
  <si>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</si>
  <si>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</si>
  <si>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</si>
  <si>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</si>
  <si>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</si>
  <si>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</si>
  <si>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</si>
  <si>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</si>
  <si>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</si>
  <si>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</si>
  <si>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</si>
  <si>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</si>
  <si>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</si>
  <si>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</si>
  <si>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</si>
  <si>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</si>
  <si>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</si>
  <si>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</si>
  <si>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</si>
  <si>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</si>
  <si>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</si>
  <si>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</si>
  <si>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</si>
  <si>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</si>
  <si>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</si>
  <si>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</si>
  <si>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</si>
  <si>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</si>
  <si>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</si>
  <si>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</si>
  <si>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</si>
  <si>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</si>
  <si>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</si>
  <si>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</si>
  <si>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</si>
  <si>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</si>
  <si>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</si>
  <si>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</si>
  <si>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</si>
  <si>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</si>
  <si>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</si>
  <si>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</si>
  <si>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</si>
  <si>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</si>
  <si>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</si>
  <si>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</si>
  <si>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</si>
  <si>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</si>
  <si>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</si>
  <si>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</si>
  <si>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</si>
  <si>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</si>
  <si>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</si>
  <si>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</si>
  <si>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</si>
  <si>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</si>
  <si>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</si>
  <si>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</si>
  <si>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</si>
  <si>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</si>
  <si>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</si>
  <si>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</si>
  <si>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</si>
  <si>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</si>
  <si>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</si>
  <si>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</si>
  <si>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</si>
  <si>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</si>
  <si>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</si>
  <si>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</si>
  <si>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</si>
  <si>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</si>
  <si>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</si>
  <si>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</si>
  <si>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</si>
  <si>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</si>
  <si>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</si>
  <si>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</si>
  <si>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</si>
  <si>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</si>
  <si>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</si>
  <si>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</si>
  <si>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</si>
  <si>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</si>
  <si>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</si>
  <si>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</si>
  <si>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</si>
  <si>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</si>
  <si>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</si>
  <si>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</si>
  <si>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</si>
  <si>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</si>
  <si>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</si>
  <si>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</si>
  <si>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</si>
  <si>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</si>
  <si>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</si>
  <si>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</si>
  <si>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</si>
  <si>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</si>
  <si>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</si>
  <si>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</si>
  <si>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</si>
  <si>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</si>
  <si>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</si>
  <si>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</si>
  <si>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</si>
  <si>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</si>
  <si>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</si>
  <si>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</si>
  <si>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</si>
  <si>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</si>
  <si>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</si>
  <si>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</si>
  <si>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</si>
  <si>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</si>
  <si>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</si>
  <si>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</si>
  <si>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</si>
  <si>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</si>
  <si>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</si>
  <si>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</si>
  <si>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</si>
  <si>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</si>
  <si>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</si>
  <si>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</si>
  <si>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</si>
  <si>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</si>
  <si>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</si>
  <si>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</si>
  <si>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</si>
  <si>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</si>
  <si>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</si>
  <si>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</si>
  <si>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</si>
  <si>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</si>
  <si>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</si>
  <si>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</si>
  <si>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</si>
  <si>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</si>
  <si>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</si>
  <si>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</si>
  <si>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</si>
  <si>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</si>
  <si>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</si>
  <si>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</si>
  <si>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</si>
  <si>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</si>
  <si>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</si>
  <si>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</si>
  <si>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</si>
  <si>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</si>
  <si>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</si>
  <si>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</si>
  <si>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</si>
  <si>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</si>
  <si>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</si>
  <si>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</si>
  <si>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</si>
  <si>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</si>
  <si>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</si>
  <si>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</si>
  <si>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</si>
  <si>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</si>
  <si>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</si>
  <si>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</si>
  <si>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</si>
  <si>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</si>
  <si>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</si>
  <si>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</si>
  <si>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</si>
  <si>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</si>
  <si>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</si>
  <si>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</si>
  <si>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</si>
  <si>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</si>
  <si>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</si>
  <si>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</si>
  <si>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</si>
  <si>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</si>
  <si>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</si>
  <si>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</si>
  <si>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</si>
  <si>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</si>
  <si>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</si>
  <si>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</si>
  <si>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</si>
  <si>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</si>
  <si>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</si>
  <si>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</si>
  <si>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</si>
  <si>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</si>
  <si>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</si>
  <si>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</si>
  <si>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</si>
  <si>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</si>
  <si>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</si>
  <si>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</si>
  <si>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</si>
  <si>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</si>
  <si>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</si>
  <si>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</si>
  <si>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</si>
  <si>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</si>
  <si>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</si>
  <si>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</si>
  <si>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</si>
  <si>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</si>
  <si>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</si>
  <si>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</si>
  <si>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</si>
  <si>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</si>
  <si>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</si>
  <si>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</si>
  <si>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</si>
  <si>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</si>
  <si>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</si>
  <si>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</si>
  <si>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</si>
  <si>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</si>
  <si>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</si>
  <si>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</si>
  <si>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</si>
  <si>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</si>
  <si>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</si>
  <si>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</si>
  <si>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</si>
  <si>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</si>
  <si>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</si>
  <si>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</si>
  <si>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</si>
  <si>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</si>
  <si>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</si>
  <si>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</si>
  <si>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</si>
  <si>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</si>
  <si>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</si>
  <si>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</si>
  <si>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</si>
  <si>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</si>
  <si>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</si>
  <si>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</si>
  <si>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</si>
  <si>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</si>
  <si>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</si>
  <si>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</si>
  <si>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</si>
  <si>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</si>
  <si>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</si>
  <si>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</si>
  <si>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</si>
  <si>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</si>
  <si>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</si>
  <si>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</si>
  <si>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</si>
  <si>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</si>
  <si>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</si>
  <si>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</si>
  <si>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</si>
  <si>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</si>
  <si>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</si>
  <si>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</si>
  <si>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</si>
  <si>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</si>
  <si>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</si>
  <si>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</si>
  <si>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</si>
  <si>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</si>
  <si>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</si>
  <si>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</si>
  <si>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</si>
  <si>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</si>
  <si>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</si>
  <si>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</si>
  <si>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</si>
  <si>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</si>
  <si>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</si>
  <si>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</si>
  <si>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</si>
  <si>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</si>
  <si>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</si>
  <si>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</si>
  <si>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</si>
  <si>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</si>
  <si>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</si>
  <si>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</si>
  <si>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</si>
  <si>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</si>
  <si>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</si>
  <si>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</si>
  <si>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</si>
  <si>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</si>
  <si>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</si>
  <si>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</si>
  <si>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</si>
  <si>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</si>
  <si>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</si>
  <si>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</si>
  <si>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</si>
  <si>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</si>
  <si>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</si>
  <si>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</si>
  <si>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</si>
  <si>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</si>
  <si>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</si>
  <si>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</si>
  <si>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</si>
  <si>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</si>
  <si>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</si>
  <si>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</si>
  <si>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</si>
  <si>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</si>
  <si>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</si>
  <si>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</si>
  <si>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</si>
  <si>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</si>
  <si>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</si>
  <si>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</si>
  <si>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</si>
  <si>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</si>
  <si>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</si>
  <si>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</si>
  <si>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</si>
  <si>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</si>
  <si>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</si>
  <si>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</si>
  <si>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</si>
  <si>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</si>
  <si>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</si>
  <si>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</si>
  <si>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</si>
  <si>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</si>
  <si>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</si>
  <si>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</si>
  <si>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</si>
  <si>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</si>
  <si>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</si>
  <si>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</si>
  <si>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</si>
  <si>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</si>
  <si>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</si>
  <si>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</si>
  <si>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</si>
  <si>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</si>
  <si>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</si>
  <si>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</si>
  <si>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</si>
  <si>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</si>
  <si>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</si>
  <si>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</si>
  <si>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</si>
  <si>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</si>
  <si>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</si>
  <si>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</si>
  <si>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</si>
  <si>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</si>
  <si>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</si>
  <si>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</si>
  <si>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</si>
  <si>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</si>
  <si>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</si>
  <si>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</si>
  <si>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</si>
  <si>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</si>
  <si>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</si>
  <si>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</si>
  <si>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</si>
  <si>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</si>
  <si>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</si>
  <si>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</si>
  <si>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</si>
  <si>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</si>
  <si>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</si>
  <si>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</si>
  <si>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</si>
  <si>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</si>
  <si>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</si>
  <si>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</si>
  <si>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</si>
  <si>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</si>
  <si>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</si>
  <si>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</si>
  <si>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</si>
  <si>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</si>
  <si>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</si>
  <si>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</si>
  <si>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</si>
  <si>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</si>
  <si>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</si>
  <si>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</si>
  <si>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</si>
  <si>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</si>
  <si>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</si>
  <si>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</si>
  <si>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</si>
  <si>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</si>
  <si>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</si>
  <si>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</si>
  <si>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</si>
  <si>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</si>
  <si>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</si>
  <si>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</si>
  <si>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</si>
  <si>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</si>
  <si>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</si>
  <si>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</si>
  <si>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</si>
  <si>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</si>
  <si>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</si>
  <si>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</si>
  <si>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</si>
  <si>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</si>
  <si>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</si>
  <si>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</si>
  <si>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</si>
  <si>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</si>
  <si>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</si>
  <si>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</si>
  <si>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</si>
  <si>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</si>
  <si>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</si>
  <si>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</si>
  <si>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</si>
  <si>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</si>
  <si>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</si>
  <si>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</si>
  <si>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</si>
  <si>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</si>
  <si>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</si>
  <si>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</si>
  <si>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</si>
  <si>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</si>
  <si>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</si>
  <si>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</si>
  <si>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</si>
  <si>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</si>
  <si>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</si>
  <si>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</si>
  <si>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</si>
  <si>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</si>
  <si>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</si>
  <si>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</si>
  <si>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</si>
  <si>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</si>
  <si>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</si>
  <si>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</si>
  <si>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</si>
  <si>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</si>
  <si>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</si>
  <si>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</si>
  <si>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</si>
  <si>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</si>
  <si>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</si>
  <si>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</si>
  <si>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</si>
  <si>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</si>
  <si>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</si>
  <si>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</si>
  <si>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</si>
  <si>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</si>
  <si>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</si>
  <si>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</si>
  <si>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</si>
  <si>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</si>
  <si>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</si>
  <si>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</si>
  <si>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</si>
  <si>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</si>
  <si>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</si>
  <si>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</si>
  <si>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</si>
  <si>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</si>
  <si>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</si>
  <si>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</si>
  <si>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</si>
  <si>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</si>
  <si>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</si>
  <si>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</si>
  <si>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</si>
  <si>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</si>
  <si>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</si>
  <si>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</si>
  <si>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</si>
  <si>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</si>
  <si>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</si>
  <si>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</si>
  <si>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</si>
  <si>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</si>
  <si>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</si>
  <si>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</si>
  <si>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</si>
  <si>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</si>
  <si>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</si>
  <si>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</si>
  <si>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</si>
  <si>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</si>
  <si>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</si>
  <si>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</si>
  <si>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</si>
  <si>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</si>
  <si>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</si>
  <si>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</si>
  <si>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</si>
  <si>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</si>
  <si>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</si>
  <si>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</si>
  <si>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</si>
  <si>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</si>
  <si>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</si>
  <si>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</si>
  <si>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</si>
  <si>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</si>
  <si>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</si>
  <si>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</si>
  <si>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</si>
  <si>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</si>
  <si>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</si>
  <si>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</si>
  <si>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</si>
  <si>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</si>
  <si>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</si>
  <si>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</si>
  <si>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</si>
  <si>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</si>
  <si>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</si>
  <si>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</si>
  <si>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</si>
  <si>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</si>
  <si>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</si>
  <si>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</si>
  <si>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</si>
  <si>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</si>
  <si>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</si>
  <si>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</si>
  <si>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</si>
  <si>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</si>
  <si>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</si>
  <si>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</si>
  <si>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</si>
  <si>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</si>
  <si>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</si>
  <si>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</si>
  <si>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</si>
  <si>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</si>
  <si>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</si>
  <si>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</si>
  <si>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</si>
  <si>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</si>
  <si>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</si>
  <si>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</si>
  <si>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</si>
  <si>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</si>
  <si>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</si>
  <si>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</si>
  <si>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</si>
  <si>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</si>
  <si>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</si>
  <si>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</si>
  <si>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</si>
  <si>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</si>
  <si>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</si>
  <si>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</si>
  <si>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</si>
  <si>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</si>
  <si>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</si>
  <si>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</si>
  <si>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</si>
  <si>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</si>
  <si>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</si>
  <si>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</si>
  <si>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</si>
  <si>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</si>
  <si>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</si>
  <si>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</si>
  <si>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</si>
  <si>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</si>
  <si>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</si>
  <si>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</si>
  <si>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</si>
  <si>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</si>
  <si>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</si>
  <si>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</si>
  <si>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</si>
  <si>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</si>
  <si>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</si>
  <si>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</si>
  <si>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</si>
  <si>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</si>
  <si>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</si>
  <si>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</si>
  <si>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</si>
  <si>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</si>
  <si>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</si>
  <si>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</si>
  <si>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</si>
  <si>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</si>
  <si>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</si>
  <si>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</si>
  <si>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</si>
  <si>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</si>
  <si>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</si>
  <si>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</si>
  <si>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</si>
  <si>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</si>
  <si>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</si>
  <si>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</si>
  <si>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</si>
  <si>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</si>
  <si>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</si>
  <si>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</si>
  <si>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</si>
  <si>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</si>
  <si>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</si>
  <si>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</si>
  <si>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</si>
  <si>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</si>
  <si>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</si>
  <si>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</si>
  <si>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</si>
  <si>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</si>
  <si>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</si>
  <si>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</si>
  <si>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</si>
  <si>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</si>
  <si>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</si>
  <si>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</si>
  <si>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</si>
  <si>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</si>
  <si>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</si>
  <si>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</si>
  <si>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</si>
  <si>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</si>
  <si>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</si>
  <si>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</si>
  <si>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</si>
  <si>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</si>
  <si>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</si>
  <si>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</si>
  <si>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</si>
  <si>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</si>
  <si>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</si>
  <si>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</si>
  <si>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</si>
  <si>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</si>
  <si>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</si>
  <si>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</si>
  <si>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</si>
  <si>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</si>
  <si>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</si>
  <si>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</si>
  <si>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</si>
  <si>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</si>
  <si>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</si>
  <si>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</si>
  <si>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</si>
  <si>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</si>
  <si>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</si>
  <si>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</si>
  <si>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</si>
  <si>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</si>
  <si>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</si>
  <si>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</si>
  <si>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</si>
  <si>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</si>
  <si>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</si>
  <si>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</si>
  <si>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</si>
  <si>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</si>
  <si>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</si>
  <si>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</si>
  <si>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</si>
  <si>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</si>
  <si>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</si>
  <si>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</si>
  <si>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</si>
  <si>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</si>
  <si>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</si>
  <si>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</si>
  <si>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</si>
  <si>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</si>
  <si>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</si>
  <si>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</si>
  <si>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</si>
  <si>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</si>
  <si>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</si>
  <si>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</si>
  <si>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</si>
  <si>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</si>
  <si>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</si>
  <si>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</si>
  <si>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</si>
  <si>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</si>
  <si>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</si>
  <si>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</si>
  <si>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</si>
  <si>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</si>
  <si>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</si>
  <si>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</si>
  <si>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</si>
  <si>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</si>
  <si>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</si>
  <si>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</si>
  <si>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</si>
  <si>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</si>
  <si>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</si>
  <si>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</si>
  <si>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</si>
  <si>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</si>
  <si>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</si>
  <si>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</si>
  <si>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</si>
  <si>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</si>
  <si>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</si>
  <si>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</si>
  <si>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</si>
  <si>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</si>
  <si>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</si>
  <si>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</si>
  <si>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</si>
  <si>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</si>
  <si>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</si>
  <si>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</si>
  <si>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</si>
  <si>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</si>
  <si>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</si>
  <si>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</si>
  <si>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</si>
  <si>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</si>
  <si>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</si>
  <si>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</si>
  <si>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</si>
  <si>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</si>
  <si>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</si>
  <si>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</si>
  <si>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</si>
  <si>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</si>
  <si>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</si>
  <si>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</si>
  <si>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</si>
  <si>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</si>
  <si>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</si>
  <si>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</si>
  <si>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</si>
  <si>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</si>
  <si>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</si>
  <si>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</si>
  <si>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</si>
  <si>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</si>
  <si>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</si>
  <si>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</si>
  <si>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</si>
  <si>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</si>
  <si>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</si>
  <si>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</si>
  <si>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</si>
  <si>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</si>
  <si>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</si>
  <si>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</si>
  <si>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</si>
  <si>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</si>
  <si>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</si>
  <si>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</si>
  <si>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</si>
  <si>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</si>
  <si>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</si>
  <si>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</si>
  <si>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</si>
  <si>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</si>
  <si>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</si>
  <si>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</si>
  <si>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</si>
  <si>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</si>
  <si>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</si>
  <si>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</si>
  <si>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</si>
  <si>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</si>
  <si>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</si>
  <si>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</si>
  <si>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</si>
  <si>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</si>
  <si>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</si>
  <si>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</si>
  <si>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</si>
  <si>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</si>
  <si>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</si>
  <si>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</si>
  <si>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</si>
  <si>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</si>
  <si>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</si>
  <si>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</si>
  <si>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</si>
  <si>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</si>
  <si>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</si>
  <si>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</si>
  <si>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</si>
  <si>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</si>
  <si>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</si>
  <si>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</si>
  <si>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</si>
  <si>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</si>
  <si>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</si>
  <si>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</si>
  <si>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</si>
  <si>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</si>
  <si>
    <t>cotizado, los montos son aproximados y cotizados por rodolfo</t>
  </si>
  <si>
    <t>157_08092026</t>
  </si>
  <si>
    <t>157_08092026_CYM_Maule norte.xlsx</t>
  </si>
  <si>
    <t>157_08092026_CYM_Maule norte_cotizacion.xlsx</t>
  </si>
  <si>
    <t>157</t>
  </si>
  <si>
    <t>158_08092026</t>
  </si>
  <si>
    <t>158_08092026_CYM_INGECAF_Araucania.xlsx</t>
  </si>
  <si>
    <t>158_08092026_CYM_INGECAF_Araucania_cotizacion.xlsx</t>
  </si>
  <si>
    <t>158</t>
  </si>
  <si>
    <t>159_08092026</t>
  </si>
  <si>
    <t>159_08092026_SAE_INGECAF_Araucania.xlsx</t>
  </si>
  <si>
    <t>159_08092026_SAE_INGECAF_Araucania_cotizacion.xlsx</t>
  </si>
  <si>
    <t>159</t>
  </si>
  <si>
    <t xml:space="preserve">Sebastian Sandoval </t>
  </si>
  <si>
    <t>160_08092026</t>
  </si>
  <si>
    <t>160_08092026_Multiproposito_Araucania.xlsx</t>
  </si>
  <si>
    <t>160_08092026_Multiproposito_Araucania_cotizacion.xlsx</t>
  </si>
  <si>
    <t>160</t>
  </si>
  <si>
    <t>161_08092026</t>
  </si>
  <si>
    <t>161_08092026_Multiproposito_Araucania_cotizacion.xlsx</t>
  </si>
  <si>
    <t>161</t>
  </si>
  <si>
    <t>162_08092026</t>
  </si>
  <si>
    <t>162_08092026_FLOTA_INGECAF_Araucania.xlsx</t>
  </si>
  <si>
    <t>162_08092026_FLOTA_INGECAF_cotizacion.xlsx</t>
  </si>
  <si>
    <t>162</t>
  </si>
  <si>
    <t>163_08092026</t>
  </si>
  <si>
    <t>163_08092026_FLOTA_INGECAF_Araucania.xlsx</t>
  </si>
  <si>
    <t>163_08092026_FLOTA_INGECAF_Araucania_cotizacion.xlsx</t>
  </si>
  <si>
    <t>163</t>
  </si>
  <si>
    <t>164_08092026</t>
  </si>
  <si>
    <t>164_08092026_Flota_Maule Norte.xlsx</t>
  </si>
  <si>
    <t>164_08092026_Flota_Maule Norte_cotizacion.xlsx</t>
  </si>
  <si>
    <t>164</t>
  </si>
  <si>
    <t>ok, nomina pagada pendiente a despachar</t>
  </si>
  <si>
    <t>aprobado</t>
  </si>
  <si>
    <t>ok, oc enviada para que proveedor despache</t>
  </si>
  <si>
    <t xml:space="preserve">cotizado, pendiente de aprobacion </t>
  </si>
  <si>
    <t>165_10092026</t>
  </si>
  <si>
    <t>165_10092026_Prevencion riesgos_INGECAF_Araucania.xlsx</t>
  </si>
  <si>
    <t>165_10092026_Prevencion riesgos_INGECAF_Araucania_cotizacion.xlsx</t>
  </si>
  <si>
    <t>165</t>
  </si>
  <si>
    <t>10-09-2026</t>
  </si>
  <si>
    <t>166_10092026</t>
  </si>
  <si>
    <t>166_10092026_prevencion riesgos_INGECAF_Araucania.xlsx</t>
  </si>
  <si>
    <t>166_10092026_prevencion riesgos_INGECAF_Araucania_cotizacion.xlsx</t>
  </si>
  <si>
    <t>166</t>
  </si>
  <si>
    <t>167_10092026</t>
  </si>
  <si>
    <t>167_10092026_CYM_Araucania.xlsx</t>
  </si>
  <si>
    <t>167_10092026_CYM_Araucania_cotizacion.xlsx</t>
  </si>
  <si>
    <t>167</t>
  </si>
  <si>
    <t>168_10092026</t>
  </si>
  <si>
    <t>168_10092026_CYM_INGECAF_Araucania.xlsx</t>
  </si>
  <si>
    <t>168_10092026_CYM_INGECAF_Araucania_cotizacion.xlsx</t>
  </si>
  <si>
    <t>168</t>
  </si>
  <si>
    <t>169_10092026</t>
  </si>
  <si>
    <t>169_10092026_Prevencion riesgos_Maule norte.xlsx</t>
  </si>
  <si>
    <t>169_10092026_Prevencion riesgos_Maule norte_cotizacion.xlsx</t>
  </si>
  <si>
    <t>169</t>
  </si>
  <si>
    <t>170_10092026</t>
  </si>
  <si>
    <t>170_10092026_MUltiporposito_Maule Norte.xlsx</t>
  </si>
  <si>
    <t>170_10092026_MUltiporposito_Maule Norte_cotizacion.xlsx</t>
  </si>
  <si>
    <t>170</t>
  </si>
  <si>
    <t>171_10092026</t>
  </si>
  <si>
    <t>171_10092026_Multiproposito_Maule Norte.xlsx</t>
  </si>
  <si>
    <t>171_10092026_Multiproposito_Maule Norte_cotizacion.xlsx</t>
  </si>
  <si>
    <t>171</t>
  </si>
  <si>
    <t>172_10092026</t>
  </si>
  <si>
    <t>172_10092026_Sae_Maule Norte.xlsx</t>
  </si>
  <si>
    <t>172</t>
  </si>
  <si>
    <t>173_10092026</t>
  </si>
  <si>
    <t>173_10092026_CYM_Maule Norte.xlsx</t>
  </si>
  <si>
    <t>173</t>
  </si>
  <si>
    <t>174_10092026</t>
  </si>
  <si>
    <t>174_10092026_Multiproposito_Iquique.xlsx</t>
  </si>
  <si>
    <t>174</t>
  </si>
  <si>
    <t>175_10092026</t>
  </si>
  <si>
    <t>175_10092026_Multiproposito_Iquique.xlsx</t>
  </si>
  <si>
    <t>175</t>
  </si>
  <si>
    <t>ok, nomina cargada en banco pendiente a liberacion</t>
  </si>
  <si>
    <t xml:space="preserve">ok, oc enviadas esperando despachos </t>
  </si>
  <si>
    <t xml:space="preserve">cotizado, pendiengte de aprobacion </t>
  </si>
  <si>
    <t>143_03092026_CYM_Maule Norte_SEGURYCEL_108_OC.xlsx</t>
  </si>
  <si>
    <t>C:\Users\rcayuleo\OneDrive - Transformadores Tusan SA\Archivos de Claudia Muñoz Farias EXT - Proceso de compras\03 Ordenes de Compra\143_03092026_CYM_Maule Norte_SEGURYCEL_108_OC.xlsx</t>
  </si>
  <si>
    <t>172_10092026_Sae_Maule Norte_cotizacion.xlsx</t>
  </si>
  <si>
    <t>173_10092026_CYM_Maule Norte_cotizacion.xlsx</t>
  </si>
  <si>
    <t>174_10092026_Multiproposito_Iquique_cotizacion.xlsx</t>
  </si>
  <si>
    <t>175_10092026_Multiproposito_Iquique_cotizacion.xlsx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</si>
</sst>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32" tableType="queryTable" totalsRowShown="0" headerRowDxfId="31">
  <autoFilter ref="A1:AA232" xr:uid="{FDA11577-8B06-46D1-ADA8-5D8875297866}">
    <filterColumn colId="4">
      <filters>
        <filter val="79"/>
        <filter val="82"/>
      </filters>
    </filterColumn>
  </autoFilter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76" totalsRowShown="0" headerRowDxfId="30" dataDxfId="29">
  <autoFilter ref="A1:G176" xr:uid="{0EB08CB5-F347-46F6-A2BB-419FEB016475}"/>
  <tableColumns count="7">
    <tableColumn id="1" xr3:uid="{EA8F1E43-6EF0-43E9-B71B-98D3C4584ACC}" name="N° solicitud" dataDxfId="25"/>
    <tableColumn id="2" xr3:uid="{9FA8BFE5-861C-4596-A02E-A670F1BDB608}" name="Estado" dataDxfId="24"/>
    <tableColumn id="3" xr3:uid="{E58581DB-8B04-4C13-8B4F-27FC5E1AE281}" name="Empresa" dataDxfId="23"/>
    <tableColumn id="6" xr3:uid="{DAADF8D0-34FE-479B-9430-88C5F34DBAE2}" name="fecha pago " dataDxfId="22"/>
    <tableColumn id="7" xr3:uid="{7D80F5CD-A672-43F9-903B-537A4B66EACC}" name="fecha entrega" dataDxfId="21"/>
    <tableColumn id="5" xr3:uid="{16163A18-549A-4B29-B76F-2E153A8FC4F4}" name="Comentario" dataDxfId="20"/>
    <tableColumn id="4" xr3:uid="{AB2C7C8D-292F-499F-B490-59E3C5CBAC30}" name="Columna1" dataDxfId="2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7"/>
    <tableColumn id="9" xr3:uid="{64335130-2EC5-44A7-9C4C-F057150832C4}" name="Fecha de entrega" dataDxfId="2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48"/>
  <sheetViews>
    <sheetView tabSelected="1" topLeftCell="S1" zoomScaleNormal="100" workbookViewId="0">
      <selection activeCell="T69" sqref="T69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28515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 hidden="1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>
      <c r="A30" t="s">
        <v>199</v>
      </c>
      <c r="B30" t="s">
        <v>200</v>
      </c>
      <c r="C30" t="s">
        <v>201</v>
      </c>
      <c r="E30">
        <v>18</v>
      </c>
      <c r="F30" t="s">
        <v>202</v>
      </c>
      <c r="G30" t="s">
        <v>203</v>
      </c>
      <c r="H30" t="s">
        <v>203</v>
      </c>
      <c r="K30" s="5"/>
      <c r="L30" s="5" t="s">
        <v>55</v>
      </c>
      <c r="N30" t="s">
        <v>204</v>
      </c>
      <c r="O30" t="s">
        <v>86</v>
      </c>
      <c r="P30" t="s">
        <v>58</v>
      </c>
      <c r="Q30" t="s">
        <v>36</v>
      </c>
      <c r="S30" t="s">
        <v>641</v>
      </c>
      <c r="V30" t="s">
        <v>641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30" s="9">
        <f>+DATE(YEAR(Control[[#This Row],[Fecha Requisición]]),MONTH(Control[[#This Row],[Fecha Requisición]]),1)</f>
        <v>46174</v>
      </c>
      <c r="Y30" s="14" t="str">
        <f>+IF(Control[[#This Row],[Fecha de entrega]]="","",NETWORKDAYS(Control[[#This Row],[Fecha Requisición]],Control[[#This Row],[Fecha de entrega]]))</f>
        <v/>
      </c>
      <c r="AA30" s="13">
        <f>+_xlfn.ISOWEEKNUM(Control[[#This Row],[Fecha Requisición]])</f>
        <v>23</v>
      </c>
    </row>
    <row r="31" spans="1:27" hidden="1">
      <c r="A31" t="s">
        <v>231</v>
      </c>
      <c r="B31" t="s">
        <v>232</v>
      </c>
      <c r="C31" t="s">
        <v>233</v>
      </c>
      <c r="D31" t="s">
        <v>234</v>
      </c>
      <c r="E31">
        <v>19</v>
      </c>
      <c r="F31" t="s">
        <v>235</v>
      </c>
      <c r="G31" t="s">
        <v>203</v>
      </c>
      <c r="H31" t="s">
        <v>203</v>
      </c>
      <c r="I31" t="s">
        <v>203</v>
      </c>
      <c r="J31" t="s">
        <v>39</v>
      </c>
      <c r="K31" s="5">
        <v>174204</v>
      </c>
      <c r="L31" s="5" t="s">
        <v>55</v>
      </c>
      <c r="M31" t="s">
        <v>40</v>
      </c>
      <c r="N31" t="s">
        <v>204</v>
      </c>
      <c r="O31" t="s">
        <v>86</v>
      </c>
      <c r="P31" t="s">
        <v>58</v>
      </c>
      <c r="Q31" t="s">
        <v>36</v>
      </c>
      <c r="R31" t="s">
        <v>236</v>
      </c>
      <c r="S31" t="s">
        <v>514</v>
      </c>
      <c r="T31" s="2">
        <v>46191</v>
      </c>
      <c r="U31" s="2">
        <v>46192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14</v>
      </c>
      <c r="AA31">
        <f>+_xlfn.ISOWEEKNUM(Control[[#This Row],[Fecha Requisición]])</f>
        <v>23</v>
      </c>
    </row>
    <row r="32" spans="1:27" hidden="1">
      <c r="A32" t="s">
        <v>237</v>
      </c>
      <c r="B32" t="s">
        <v>238</v>
      </c>
      <c r="C32" t="s">
        <v>239</v>
      </c>
      <c r="D32" t="s">
        <v>240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1281701</v>
      </c>
      <c r="L32" s="5" t="s">
        <v>31</v>
      </c>
      <c r="M32" t="s">
        <v>243</v>
      </c>
      <c r="N32" t="s">
        <v>196</v>
      </c>
      <c r="O32" t="s">
        <v>197</v>
      </c>
      <c r="P32" t="s">
        <v>75</v>
      </c>
      <c r="Q32" t="s">
        <v>36</v>
      </c>
      <c r="R32" t="s">
        <v>244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 hidden="1">
      <c r="A33" t="s">
        <v>237</v>
      </c>
      <c r="B33" t="s">
        <v>238</v>
      </c>
      <c r="C33" t="s">
        <v>239</v>
      </c>
      <c r="D33" t="s">
        <v>245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30</v>
      </c>
      <c r="K33" s="5">
        <v>164277</v>
      </c>
      <c r="L33" s="5" t="s">
        <v>31</v>
      </c>
      <c r="M33" t="s">
        <v>246</v>
      </c>
      <c r="N33" t="s">
        <v>196</v>
      </c>
      <c r="O33" t="s">
        <v>197</v>
      </c>
      <c r="P33" t="s">
        <v>75</v>
      </c>
      <c r="Q33" t="s">
        <v>36</v>
      </c>
      <c r="R33" t="s">
        <v>247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 hidden="1">
      <c r="A34" t="s">
        <v>237</v>
      </c>
      <c r="B34" t="s">
        <v>238</v>
      </c>
      <c r="C34" t="s">
        <v>239</v>
      </c>
      <c r="D34" t="s">
        <v>248</v>
      </c>
      <c r="E34">
        <v>20</v>
      </c>
      <c r="F34" t="s">
        <v>241</v>
      </c>
      <c r="G34" t="s">
        <v>242</v>
      </c>
      <c r="H34" t="s">
        <v>242</v>
      </c>
      <c r="I34" t="s">
        <v>242</v>
      </c>
      <c r="J34" t="s">
        <v>39</v>
      </c>
      <c r="K34" s="5">
        <v>475324</v>
      </c>
      <c r="L34" s="5" t="s">
        <v>31</v>
      </c>
      <c r="M34" t="s">
        <v>74</v>
      </c>
      <c r="N34" t="s">
        <v>196</v>
      </c>
      <c r="O34" t="s">
        <v>197</v>
      </c>
      <c r="P34" t="s">
        <v>75</v>
      </c>
      <c r="Q34" t="s">
        <v>36</v>
      </c>
      <c r="R34" t="s">
        <v>249</v>
      </c>
      <c r="S34" t="s">
        <v>514</v>
      </c>
      <c r="U34" s="2">
        <v>46188</v>
      </c>
      <c r="V34" t="s">
        <v>642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23</v>
      </c>
    </row>
    <row r="35" spans="1:27" hidden="1">
      <c r="A35" t="s">
        <v>205</v>
      </c>
      <c r="B35" t="s">
        <v>206</v>
      </c>
      <c r="C35" t="s">
        <v>716</v>
      </c>
      <c r="E35">
        <v>21</v>
      </c>
      <c r="F35" t="s">
        <v>207</v>
      </c>
      <c r="G35" t="s">
        <v>195</v>
      </c>
      <c r="H35" t="s">
        <v>195</v>
      </c>
      <c r="K35" s="5"/>
      <c r="L35" s="5" t="s">
        <v>31</v>
      </c>
      <c r="N35" t="s">
        <v>167</v>
      </c>
      <c r="O35" t="s">
        <v>86</v>
      </c>
      <c r="P35" t="s">
        <v>35</v>
      </c>
      <c r="Q35" t="s">
        <v>36</v>
      </c>
      <c r="S35" t="s">
        <v>641</v>
      </c>
      <c r="V35" t="s">
        <v>641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35" s="9">
        <f>+DATE(YEAR(Control[[#This Row],[Fecha Requisición]]),MONTH(Control[[#This Row],[Fecha Requisición]]),1)</f>
        <v>46174</v>
      </c>
      <c r="Y35" s="14" t="str">
        <f>+IF(Control[[#This Row],[Fecha de entrega]]="","",NETWORKDAYS(Control[[#This Row],[Fecha Requisición]],Control[[#This Row],[Fecha de entrega]]))</f>
        <v/>
      </c>
      <c r="AA35" s="13">
        <f>+_xlfn.ISOWEEKNUM(Control[[#This Row],[Fecha Requisición]])</f>
        <v>23</v>
      </c>
    </row>
    <row r="36" spans="1:27" hidden="1">
      <c r="A36" t="s">
        <v>250</v>
      </c>
      <c r="B36" t="s">
        <v>251</v>
      </c>
      <c r="C36" t="s">
        <v>252</v>
      </c>
      <c r="D36" t="s">
        <v>253</v>
      </c>
      <c r="E36">
        <v>22</v>
      </c>
      <c r="F36" t="s">
        <v>254</v>
      </c>
      <c r="G36" t="s">
        <v>255</v>
      </c>
      <c r="H36" t="s">
        <v>255</v>
      </c>
      <c r="I36" t="s">
        <v>255</v>
      </c>
      <c r="J36" t="s">
        <v>39</v>
      </c>
      <c r="K36" s="5">
        <v>305487</v>
      </c>
      <c r="L36" s="5" t="s">
        <v>31</v>
      </c>
      <c r="M36" t="s">
        <v>74</v>
      </c>
      <c r="N36" t="s">
        <v>256</v>
      </c>
      <c r="O36" t="s">
        <v>34</v>
      </c>
      <c r="P36" t="s">
        <v>75</v>
      </c>
      <c r="Q36" t="s">
        <v>36</v>
      </c>
      <c r="R36" t="s">
        <v>257</v>
      </c>
      <c r="S36" s="15" t="s">
        <v>514</v>
      </c>
      <c r="U36" s="2">
        <v>46190</v>
      </c>
      <c r="V36" s="15" t="s">
        <v>719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8</v>
      </c>
      <c r="AA36">
        <f>+_xlfn.ISOWEEKNUM(Control[[#This Row],[Fecha Requisición]])</f>
        <v>24</v>
      </c>
    </row>
    <row r="37" spans="1:27" hidden="1">
      <c r="A37" t="s">
        <v>258</v>
      </c>
      <c r="B37" t="s">
        <v>259</v>
      </c>
      <c r="C37" t="s">
        <v>260</v>
      </c>
      <c r="D37" t="s">
        <v>261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39</v>
      </c>
      <c r="K37" s="5">
        <v>320443</v>
      </c>
      <c r="L37" s="5" t="s">
        <v>31</v>
      </c>
      <c r="M37" t="s">
        <v>40</v>
      </c>
      <c r="N37" t="s">
        <v>167</v>
      </c>
      <c r="O37" t="s">
        <v>86</v>
      </c>
      <c r="P37" t="s">
        <v>58</v>
      </c>
      <c r="Q37" t="s">
        <v>59</v>
      </c>
      <c r="R37" t="s">
        <v>263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>
      <c r="A38" t="s">
        <v>258</v>
      </c>
      <c r="B38" t="s">
        <v>259</v>
      </c>
      <c r="C38" t="s">
        <v>260</v>
      </c>
      <c r="D38" t="s">
        <v>264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30</v>
      </c>
      <c r="K38" s="5">
        <v>929330</v>
      </c>
      <c r="L38" s="5" t="s">
        <v>31</v>
      </c>
      <c r="M38" t="s">
        <v>243</v>
      </c>
      <c r="N38" t="s">
        <v>167</v>
      </c>
      <c r="O38" t="s">
        <v>86</v>
      </c>
      <c r="P38" t="s">
        <v>58</v>
      </c>
      <c r="Q38" t="s">
        <v>59</v>
      </c>
      <c r="R38" t="s">
        <v>265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>
      <c r="A39" t="s">
        <v>258</v>
      </c>
      <c r="B39" t="s">
        <v>259</v>
      </c>
      <c r="C39" t="s">
        <v>260</v>
      </c>
      <c r="D39" t="s">
        <v>522</v>
      </c>
      <c r="E39">
        <v>23</v>
      </c>
      <c r="F39" t="s">
        <v>262</v>
      </c>
      <c r="G39" t="s">
        <v>195</v>
      </c>
      <c r="H39" t="s">
        <v>195</v>
      </c>
      <c r="I39" t="s">
        <v>195</v>
      </c>
      <c r="J39" t="s">
        <v>30</v>
      </c>
      <c r="K39" s="5">
        <v>929330</v>
      </c>
      <c r="L39" s="5" t="s">
        <v>31</v>
      </c>
      <c r="M39" t="s">
        <v>243</v>
      </c>
      <c r="N39" t="s">
        <v>167</v>
      </c>
      <c r="O39" t="s">
        <v>86</v>
      </c>
      <c r="P39" t="s">
        <v>58</v>
      </c>
      <c r="Q39" t="s">
        <v>59</v>
      </c>
      <c r="R39" t="s">
        <v>523</v>
      </c>
      <c r="S39" t="s">
        <v>514</v>
      </c>
      <c r="T39" s="2">
        <v>46198</v>
      </c>
      <c r="U39" s="2">
        <v>46204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21</v>
      </c>
      <c r="AA39">
        <f>+_xlfn.ISOWEEKNUM(Control[[#This Row],[Fecha Requisición]])</f>
        <v>23</v>
      </c>
    </row>
    <row r="40" spans="1:27" hidden="1">
      <c r="A40" t="s">
        <v>258</v>
      </c>
      <c r="B40" t="s">
        <v>259</v>
      </c>
      <c r="C40" t="s">
        <v>260</v>
      </c>
      <c r="D40" t="s">
        <v>266</v>
      </c>
      <c r="E40">
        <v>23</v>
      </c>
      <c r="F40" t="s">
        <v>262</v>
      </c>
      <c r="G40" t="s">
        <v>195</v>
      </c>
      <c r="H40" t="s">
        <v>195</v>
      </c>
      <c r="I40" t="s">
        <v>195</v>
      </c>
      <c r="J40" t="s">
        <v>39</v>
      </c>
      <c r="K40" s="5">
        <v>320443</v>
      </c>
      <c r="L40" s="5" t="s">
        <v>31</v>
      </c>
      <c r="M40" t="s">
        <v>40</v>
      </c>
      <c r="N40" t="s">
        <v>167</v>
      </c>
      <c r="O40" t="s">
        <v>86</v>
      </c>
      <c r="P40" t="s">
        <v>58</v>
      </c>
      <c r="Q40" t="s">
        <v>59</v>
      </c>
      <c r="R40" t="s">
        <v>267</v>
      </c>
      <c r="S40" t="s">
        <v>514</v>
      </c>
      <c r="T40" s="2">
        <v>46198</v>
      </c>
      <c r="U40" s="2">
        <v>46204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21</v>
      </c>
      <c r="AA40">
        <f>+_xlfn.ISOWEEKNUM(Control[[#This Row],[Fecha Requisición]])</f>
        <v>23</v>
      </c>
    </row>
    <row r="41" spans="1:27" hidden="1">
      <c r="A41" t="s">
        <v>268</v>
      </c>
      <c r="B41" t="s">
        <v>269</v>
      </c>
      <c r="C41" t="s">
        <v>270</v>
      </c>
      <c r="D41" t="s">
        <v>271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30</v>
      </c>
      <c r="K41" s="5">
        <v>490839</v>
      </c>
      <c r="L41" s="5" t="s">
        <v>31</v>
      </c>
      <c r="M41" t="s">
        <v>32</v>
      </c>
      <c r="N41" t="s">
        <v>33</v>
      </c>
      <c r="O41" t="s">
        <v>34</v>
      </c>
      <c r="P41" t="s">
        <v>273</v>
      </c>
      <c r="Q41" t="s">
        <v>59</v>
      </c>
      <c r="R41" t="s">
        <v>274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 hidden="1">
      <c r="A42" t="s">
        <v>268</v>
      </c>
      <c r="B42" t="s">
        <v>269</v>
      </c>
      <c r="C42" t="s">
        <v>270</v>
      </c>
      <c r="D42" t="s">
        <v>275</v>
      </c>
      <c r="E42">
        <v>24</v>
      </c>
      <c r="F42" t="s">
        <v>272</v>
      </c>
      <c r="G42" t="s">
        <v>255</v>
      </c>
      <c r="H42" t="s">
        <v>255</v>
      </c>
      <c r="I42" t="s">
        <v>255</v>
      </c>
      <c r="J42" t="s">
        <v>39</v>
      </c>
      <c r="K42" s="5">
        <v>15257</v>
      </c>
      <c r="L42" s="5" t="s">
        <v>31</v>
      </c>
      <c r="M42" t="s">
        <v>74</v>
      </c>
      <c r="N42" t="s">
        <v>33</v>
      </c>
      <c r="O42" t="s">
        <v>34</v>
      </c>
      <c r="P42" t="s">
        <v>273</v>
      </c>
      <c r="Q42" t="s">
        <v>59</v>
      </c>
      <c r="R42" t="s">
        <v>276</v>
      </c>
      <c r="S42" t="s">
        <v>514</v>
      </c>
      <c r="U42" s="2">
        <v>46207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20</v>
      </c>
      <c r="AA42">
        <f>+_xlfn.ISOWEEKNUM(Control[[#This Row],[Fecha Requisición]])</f>
        <v>24</v>
      </c>
    </row>
    <row r="43" spans="1:27" hidden="1">
      <c r="A43" t="s">
        <v>268</v>
      </c>
      <c r="B43" t="s">
        <v>269</v>
      </c>
      <c r="C43" t="s">
        <v>270</v>
      </c>
      <c r="D43" t="s">
        <v>277</v>
      </c>
      <c r="E43">
        <v>24</v>
      </c>
      <c r="F43" t="s">
        <v>272</v>
      </c>
      <c r="G43" t="s">
        <v>255</v>
      </c>
      <c r="H43" t="s">
        <v>255</v>
      </c>
      <c r="I43" t="s">
        <v>255</v>
      </c>
      <c r="J43" t="s">
        <v>39</v>
      </c>
      <c r="K43" s="5">
        <v>68900</v>
      </c>
      <c r="L43" s="5" t="s">
        <v>31</v>
      </c>
      <c r="M43" t="s">
        <v>278</v>
      </c>
      <c r="N43" t="s">
        <v>33</v>
      </c>
      <c r="O43" t="s">
        <v>34</v>
      </c>
      <c r="P43" t="s">
        <v>273</v>
      </c>
      <c r="Q43" t="s">
        <v>59</v>
      </c>
      <c r="R43" t="s">
        <v>279</v>
      </c>
      <c r="S43" t="s">
        <v>514</v>
      </c>
      <c r="U43" s="2">
        <v>46207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20</v>
      </c>
      <c r="AA43">
        <f>+_xlfn.ISOWEEKNUM(Control[[#This Row],[Fecha Requisición]])</f>
        <v>24</v>
      </c>
    </row>
    <row r="44" spans="1:27" hidden="1">
      <c r="A44" t="s">
        <v>280</v>
      </c>
      <c r="B44" t="s">
        <v>281</v>
      </c>
      <c r="C44" t="s">
        <v>282</v>
      </c>
      <c r="D44" t="s">
        <v>283</v>
      </c>
      <c r="E44">
        <v>25</v>
      </c>
      <c r="F44" t="s">
        <v>284</v>
      </c>
      <c r="G44" t="s">
        <v>285</v>
      </c>
      <c r="H44" t="s">
        <v>285</v>
      </c>
      <c r="I44" t="s">
        <v>285</v>
      </c>
      <c r="J44" t="s">
        <v>30</v>
      </c>
      <c r="K44" s="5">
        <v>232348</v>
      </c>
      <c r="L44" s="5" t="s">
        <v>31</v>
      </c>
      <c r="M44" t="s">
        <v>32</v>
      </c>
      <c r="N44" t="s">
        <v>256</v>
      </c>
      <c r="O44" t="s">
        <v>34</v>
      </c>
      <c r="P44" t="s">
        <v>75</v>
      </c>
      <c r="Q44" t="s">
        <v>36</v>
      </c>
      <c r="R44" t="s">
        <v>286</v>
      </c>
      <c r="S44" t="s">
        <v>514</v>
      </c>
      <c r="U44" s="2">
        <v>46199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24</v>
      </c>
    </row>
    <row r="45" spans="1:27" hidden="1">
      <c r="A45" t="s">
        <v>208</v>
      </c>
      <c r="B45" t="s">
        <v>209</v>
      </c>
      <c r="C45" t="s">
        <v>210</v>
      </c>
      <c r="E45">
        <v>26</v>
      </c>
      <c r="F45" t="s">
        <v>211</v>
      </c>
      <c r="G45" t="s">
        <v>212</v>
      </c>
      <c r="H45" t="s">
        <v>212</v>
      </c>
      <c r="K45" s="5"/>
      <c r="L45" s="5" t="s">
        <v>31</v>
      </c>
      <c r="N45" t="s">
        <v>213</v>
      </c>
      <c r="O45" t="s">
        <v>101</v>
      </c>
      <c r="P45" t="s">
        <v>124</v>
      </c>
      <c r="Q45" t="s">
        <v>36</v>
      </c>
      <c r="S45" t="s">
        <v>641</v>
      </c>
      <c r="V45" t="s">
        <v>641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45" s="9">
        <f>+DATE(YEAR(Control[[#This Row],[Fecha Requisición]]),MONTH(Control[[#This Row],[Fecha Requisición]]),1)</f>
        <v>46174</v>
      </c>
      <c r="Y45" s="14" t="str">
        <f>+IF(Control[[#This Row],[Fecha de entrega]]="","",NETWORKDAYS(Control[[#This Row],[Fecha Requisición]],Control[[#This Row],[Fecha de entrega]]))</f>
        <v/>
      </c>
      <c r="AA45" s="13">
        <f>+_xlfn.ISOWEEKNUM(Control[[#This Row],[Fecha Requisición]])</f>
        <v>25</v>
      </c>
    </row>
    <row r="46" spans="1:27" hidden="1">
      <c r="A46" t="s">
        <v>214</v>
      </c>
      <c r="B46" t="s">
        <v>215</v>
      </c>
      <c r="C46" t="s">
        <v>216</v>
      </c>
      <c r="E46">
        <v>27</v>
      </c>
      <c r="F46" t="s">
        <v>217</v>
      </c>
      <c r="G46" t="s">
        <v>218</v>
      </c>
      <c r="H46" t="s">
        <v>218</v>
      </c>
      <c r="K46" s="5"/>
      <c r="L46" s="5" t="s">
        <v>31</v>
      </c>
      <c r="N46" t="s">
        <v>219</v>
      </c>
      <c r="O46" t="s">
        <v>101</v>
      </c>
      <c r="P46" t="s">
        <v>124</v>
      </c>
      <c r="Q46" t="s">
        <v>36</v>
      </c>
      <c r="S46" t="s">
        <v>641</v>
      </c>
      <c r="V46" t="s">
        <v>641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46" s="9">
        <f>+DATE(YEAR(Control[[#This Row],[Fecha Requisición]]),MONTH(Control[[#This Row],[Fecha Requisición]]),1)</f>
        <v>46174</v>
      </c>
      <c r="Y46" s="14" t="str">
        <f>+IF(Control[[#This Row],[Fecha de entrega]]="","",NETWORKDAYS(Control[[#This Row],[Fecha Requisición]],Control[[#This Row],[Fecha de entrega]]))</f>
        <v/>
      </c>
      <c r="AA46" s="13">
        <f>+_xlfn.ISOWEEKNUM(Control[[#This Row],[Fecha Requisición]])</f>
        <v>24</v>
      </c>
    </row>
    <row r="47" spans="1:27" hidden="1">
      <c r="A47" t="s">
        <v>220</v>
      </c>
      <c r="B47" t="s">
        <v>221</v>
      </c>
      <c r="C47" t="s">
        <v>222</v>
      </c>
      <c r="E47">
        <v>28</v>
      </c>
      <c r="F47" t="s">
        <v>223</v>
      </c>
      <c r="G47" t="s">
        <v>218</v>
      </c>
      <c r="H47" t="s">
        <v>218</v>
      </c>
      <c r="K47" s="5"/>
      <c r="L47" s="5" t="s">
        <v>31</v>
      </c>
      <c r="N47" t="s">
        <v>158</v>
      </c>
      <c r="O47" t="s">
        <v>57</v>
      </c>
      <c r="P47" t="s">
        <v>124</v>
      </c>
      <c r="Q47" t="s">
        <v>36</v>
      </c>
      <c r="S47" t="s">
        <v>641</v>
      </c>
      <c r="V47" t="s">
        <v>641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47" s="9">
        <f>+DATE(YEAR(Control[[#This Row],[Fecha Requisición]]),MONTH(Control[[#This Row],[Fecha Requisición]]),1)</f>
        <v>46174</v>
      </c>
      <c r="Y47" s="14" t="str">
        <f>+IF(Control[[#This Row],[Fecha de entrega]]="","",NETWORKDAYS(Control[[#This Row],[Fecha Requisición]],Control[[#This Row],[Fecha de entrega]]))</f>
        <v/>
      </c>
      <c r="AA47" s="13">
        <f>+_xlfn.ISOWEEKNUM(Control[[#This Row],[Fecha Requisición]])</f>
        <v>24</v>
      </c>
    </row>
    <row r="48" spans="1:27" hidden="1">
      <c r="A48" t="s">
        <v>224</v>
      </c>
      <c r="B48" t="s">
        <v>225</v>
      </c>
      <c r="C48" t="s">
        <v>226</v>
      </c>
      <c r="E48">
        <v>29</v>
      </c>
      <c r="F48" t="s">
        <v>227</v>
      </c>
      <c r="G48" t="s">
        <v>212</v>
      </c>
      <c r="H48" t="s">
        <v>212</v>
      </c>
      <c r="K48" s="5"/>
      <c r="L48" s="5" t="s">
        <v>31</v>
      </c>
      <c r="N48" t="s">
        <v>219</v>
      </c>
      <c r="O48" t="s">
        <v>101</v>
      </c>
      <c r="P48" t="s">
        <v>124</v>
      </c>
      <c r="Q48" t="s">
        <v>36</v>
      </c>
      <c r="S48" t="s">
        <v>641</v>
      </c>
      <c r="V48" t="s">
        <v>641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48" s="9">
        <f>+DATE(YEAR(Control[[#This Row],[Fecha Requisición]]),MONTH(Control[[#This Row],[Fecha Requisición]]),1)</f>
        <v>46174</v>
      </c>
      <c r="Y48" s="14" t="str">
        <f>+IF(Control[[#This Row],[Fecha de entrega]]="","",NETWORKDAYS(Control[[#This Row],[Fecha Requisición]],Control[[#This Row],[Fecha de entrega]]))</f>
        <v/>
      </c>
      <c r="AA48" s="13">
        <f>+_xlfn.ISOWEEKNUM(Control[[#This Row],[Fecha Requisición]])</f>
        <v>25</v>
      </c>
    </row>
    <row r="49" spans="1:27" hidden="1">
      <c r="A49" t="s">
        <v>228</v>
      </c>
      <c r="B49" t="s">
        <v>229</v>
      </c>
      <c r="C49" t="s">
        <v>732</v>
      </c>
      <c r="D49" t="s">
        <v>524</v>
      </c>
      <c r="E49">
        <v>30</v>
      </c>
      <c r="F49" t="s">
        <v>230</v>
      </c>
      <c r="G49" t="s">
        <v>212</v>
      </c>
      <c r="H49" t="s">
        <v>212</v>
      </c>
      <c r="I49" t="s">
        <v>212</v>
      </c>
      <c r="J49" t="s">
        <v>39</v>
      </c>
      <c r="K49" s="5">
        <v>89250</v>
      </c>
      <c r="L49" s="5" t="s">
        <v>55</v>
      </c>
      <c r="M49" t="s">
        <v>121</v>
      </c>
      <c r="N49" t="s">
        <v>204</v>
      </c>
      <c r="P49" t="s">
        <v>58</v>
      </c>
      <c r="Q49" t="s">
        <v>59</v>
      </c>
      <c r="R49" t="s">
        <v>525</v>
      </c>
      <c r="S49" t="s">
        <v>514</v>
      </c>
      <c r="U49" s="2">
        <v>46203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>
      <c r="A50" t="s">
        <v>228</v>
      </c>
      <c r="B50" t="s">
        <v>229</v>
      </c>
      <c r="C50" t="s">
        <v>732</v>
      </c>
      <c r="D50" t="s">
        <v>526</v>
      </c>
      <c r="E50">
        <v>30</v>
      </c>
      <c r="F50" t="s">
        <v>230</v>
      </c>
      <c r="G50" t="s">
        <v>212</v>
      </c>
      <c r="H50" t="s">
        <v>212</v>
      </c>
      <c r="I50" t="s">
        <v>212</v>
      </c>
      <c r="J50" t="s">
        <v>30</v>
      </c>
      <c r="K50" s="5">
        <v>65870</v>
      </c>
      <c r="L50" s="5" t="s">
        <v>55</v>
      </c>
      <c r="M50" t="s">
        <v>246</v>
      </c>
      <c r="N50" t="s">
        <v>204</v>
      </c>
      <c r="P50" t="s">
        <v>58</v>
      </c>
      <c r="Q50" t="s">
        <v>59</v>
      </c>
      <c r="R50" t="s">
        <v>527</v>
      </c>
      <c r="S50" t="s">
        <v>514</v>
      </c>
      <c r="U50" s="2">
        <v>46203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>
      <c r="A51" t="s">
        <v>287</v>
      </c>
      <c r="B51" t="s">
        <v>288</v>
      </c>
      <c r="C51" t="s">
        <v>733</v>
      </c>
      <c r="D51" t="s">
        <v>289</v>
      </c>
      <c r="E51">
        <v>31</v>
      </c>
      <c r="F51" t="s">
        <v>290</v>
      </c>
      <c r="G51" t="s">
        <v>291</v>
      </c>
      <c r="H51" t="s">
        <v>291</v>
      </c>
      <c r="I51" t="s">
        <v>291</v>
      </c>
      <c r="J51" t="s">
        <v>30</v>
      </c>
      <c r="K51" s="5">
        <v>336502</v>
      </c>
      <c r="L51" s="5" t="s">
        <v>55</v>
      </c>
      <c r="M51" t="s">
        <v>528</v>
      </c>
      <c r="N51" t="s">
        <v>204</v>
      </c>
      <c r="P51" t="s">
        <v>58</v>
      </c>
      <c r="Q51" t="s">
        <v>36</v>
      </c>
      <c r="R51" t="s">
        <v>292</v>
      </c>
      <c r="S51" t="s">
        <v>514</v>
      </c>
      <c r="U51" s="2">
        <v>46206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14</v>
      </c>
      <c r="AA51">
        <f>+_xlfn.ISOWEEKNUM(Control[[#This Row],[Fecha Requisición]])</f>
        <v>25</v>
      </c>
    </row>
    <row r="52" spans="1:27" hidden="1">
      <c r="A52" t="s">
        <v>293</v>
      </c>
      <c r="B52" t="s">
        <v>294</v>
      </c>
      <c r="C52" t="s">
        <v>295</v>
      </c>
      <c r="D52" t="s">
        <v>296</v>
      </c>
      <c r="E52">
        <v>32</v>
      </c>
      <c r="F52" t="s">
        <v>297</v>
      </c>
      <c r="G52" t="s">
        <v>298</v>
      </c>
      <c r="H52" t="s">
        <v>298</v>
      </c>
      <c r="I52" t="s">
        <v>298</v>
      </c>
      <c r="J52" t="s">
        <v>30</v>
      </c>
      <c r="K52" s="5">
        <v>48552</v>
      </c>
      <c r="L52" s="5" t="s">
        <v>55</v>
      </c>
      <c r="M52" t="s">
        <v>32</v>
      </c>
      <c r="N52" t="s">
        <v>299</v>
      </c>
      <c r="O52" t="s">
        <v>86</v>
      </c>
      <c r="P52" t="s">
        <v>58</v>
      </c>
      <c r="Q52" t="s">
        <v>59</v>
      </c>
      <c r="R52" t="s">
        <v>300</v>
      </c>
      <c r="S52" s="15" t="s">
        <v>514</v>
      </c>
      <c r="U52" s="2">
        <v>46191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</v>
      </c>
      <c r="AA52">
        <f>+_xlfn.ISOWEEKNUM(Control[[#This Row],[Fecha Requisición]])</f>
        <v>25</v>
      </c>
    </row>
    <row r="53" spans="1:27" hidden="1">
      <c r="A53" t="s">
        <v>301</v>
      </c>
      <c r="B53" t="s">
        <v>302</v>
      </c>
      <c r="C53" t="s">
        <v>303</v>
      </c>
      <c r="D53" t="s">
        <v>304</v>
      </c>
      <c r="E53">
        <v>33</v>
      </c>
      <c r="F53" t="s">
        <v>305</v>
      </c>
      <c r="G53" t="s">
        <v>306</v>
      </c>
      <c r="H53" t="s">
        <v>306</v>
      </c>
      <c r="I53" t="s">
        <v>306</v>
      </c>
      <c r="J53" t="s">
        <v>30</v>
      </c>
      <c r="K53" s="5">
        <v>243450</v>
      </c>
      <c r="L53" s="5" t="s">
        <v>31</v>
      </c>
      <c r="M53" t="s">
        <v>166</v>
      </c>
      <c r="N53" t="s">
        <v>307</v>
      </c>
      <c r="O53" t="s">
        <v>34</v>
      </c>
      <c r="P53" t="s">
        <v>273</v>
      </c>
      <c r="Q53" t="s">
        <v>36</v>
      </c>
      <c r="R53" t="s">
        <v>308</v>
      </c>
      <c r="S53" t="s">
        <v>514</v>
      </c>
      <c r="U53" s="2">
        <v>46198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7</v>
      </c>
      <c r="AA53">
        <f>+_xlfn.ISOWEEKNUM(Control[[#This Row],[Fecha Requisición]])</f>
        <v>25</v>
      </c>
    </row>
    <row r="54" spans="1:27" hidden="1">
      <c r="A54" t="s">
        <v>309</v>
      </c>
      <c r="B54" t="s">
        <v>310</v>
      </c>
      <c r="C54" t="s">
        <v>311</v>
      </c>
      <c r="D54" t="s">
        <v>312</v>
      </c>
      <c r="E54">
        <v>34</v>
      </c>
      <c r="F54" t="s">
        <v>313</v>
      </c>
      <c r="G54" t="s">
        <v>314</v>
      </c>
      <c r="H54" t="s">
        <v>314</v>
      </c>
      <c r="I54" t="s">
        <v>314</v>
      </c>
      <c r="J54" t="s">
        <v>39</v>
      </c>
      <c r="K54" s="5">
        <v>335894</v>
      </c>
      <c r="L54" s="5" t="s">
        <v>31</v>
      </c>
      <c r="M54" t="s">
        <v>121</v>
      </c>
      <c r="N54" t="s">
        <v>219</v>
      </c>
      <c r="O54" t="s">
        <v>101</v>
      </c>
      <c r="P54" t="s">
        <v>124</v>
      </c>
      <c r="Q54" t="s">
        <v>36</v>
      </c>
      <c r="R54" t="s">
        <v>315</v>
      </c>
      <c r="S54" t="s">
        <v>514</v>
      </c>
      <c r="U54" s="2">
        <v>46209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12</v>
      </c>
      <c r="AA54">
        <f>+_xlfn.ISOWEEKNUM(Control[[#This Row],[Fecha Requisición]])</f>
        <v>25</v>
      </c>
    </row>
    <row r="55" spans="1:27" hidden="1">
      <c r="A55" t="s">
        <v>309</v>
      </c>
      <c r="B55" t="s">
        <v>310</v>
      </c>
      <c r="C55" t="s">
        <v>311</v>
      </c>
      <c r="D55" t="s">
        <v>316</v>
      </c>
      <c r="E55">
        <v>34</v>
      </c>
      <c r="F55" t="s">
        <v>313</v>
      </c>
      <c r="G55" t="s">
        <v>314</v>
      </c>
      <c r="H55" t="s">
        <v>314</v>
      </c>
      <c r="I55" t="s">
        <v>314</v>
      </c>
      <c r="J55" t="s">
        <v>30</v>
      </c>
      <c r="K55" s="5">
        <v>3287381</v>
      </c>
      <c r="L55" s="5" t="s">
        <v>31</v>
      </c>
      <c r="M55" t="s">
        <v>243</v>
      </c>
      <c r="N55" t="s">
        <v>219</v>
      </c>
      <c r="O55" t="s">
        <v>101</v>
      </c>
      <c r="P55" t="s">
        <v>124</v>
      </c>
      <c r="Q55" t="s">
        <v>36</v>
      </c>
      <c r="R55" t="s">
        <v>317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12</v>
      </c>
      <c r="AA55">
        <f>+_xlfn.ISOWEEKNUM(Control[[#This Row],[Fecha Requisición]])</f>
        <v>25</v>
      </c>
    </row>
    <row r="56" spans="1:27" hidden="1">
      <c r="A56" t="s">
        <v>309</v>
      </c>
      <c r="B56" t="s">
        <v>310</v>
      </c>
      <c r="C56" t="s">
        <v>311</v>
      </c>
      <c r="D56" t="s">
        <v>318</v>
      </c>
      <c r="E56">
        <v>34</v>
      </c>
      <c r="F56" t="s">
        <v>313</v>
      </c>
      <c r="G56" t="s">
        <v>314</v>
      </c>
      <c r="H56" t="s">
        <v>314</v>
      </c>
      <c r="I56" t="s">
        <v>314</v>
      </c>
      <c r="J56" t="s">
        <v>39</v>
      </c>
      <c r="K56" s="5">
        <v>238455</v>
      </c>
      <c r="L56" s="5" t="s">
        <v>31</v>
      </c>
      <c r="M56" t="s">
        <v>148</v>
      </c>
      <c r="N56" t="s">
        <v>219</v>
      </c>
      <c r="O56" t="s">
        <v>101</v>
      </c>
      <c r="P56" t="s">
        <v>124</v>
      </c>
      <c r="Q56" t="s">
        <v>36</v>
      </c>
      <c r="R56" t="s">
        <v>319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12</v>
      </c>
      <c r="AA56">
        <f>+_xlfn.ISOWEEKNUM(Control[[#This Row],[Fecha Requisición]])</f>
        <v>25</v>
      </c>
    </row>
    <row r="57" spans="1:27" hidden="1">
      <c r="A57" t="s">
        <v>309</v>
      </c>
      <c r="B57" t="s">
        <v>310</v>
      </c>
      <c r="C57" t="s">
        <v>311</v>
      </c>
      <c r="D57" t="s">
        <v>320</v>
      </c>
      <c r="E57">
        <v>34</v>
      </c>
      <c r="F57" t="s">
        <v>313</v>
      </c>
      <c r="G57" t="s">
        <v>314</v>
      </c>
      <c r="H57" t="s">
        <v>314</v>
      </c>
      <c r="I57" t="s">
        <v>314</v>
      </c>
      <c r="J57" t="s">
        <v>39</v>
      </c>
      <c r="K57" s="5">
        <v>127330</v>
      </c>
      <c r="L57" s="5" t="s">
        <v>31</v>
      </c>
      <c r="M57" t="s">
        <v>40</v>
      </c>
      <c r="N57" t="s">
        <v>219</v>
      </c>
      <c r="O57" t="s">
        <v>101</v>
      </c>
      <c r="P57" t="s">
        <v>124</v>
      </c>
      <c r="Q57" t="s">
        <v>36</v>
      </c>
      <c r="R57" t="s">
        <v>321</v>
      </c>
      <c r="S57" t="s">
        <v>514</v>
      </c>
      <c r="U57" s="2">
        <v>46209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12</v>
      </c>
      <c r="AA57">
        <f>+_xlfn.ISOWEEKNUM(Control[[#This Row],[Fecha Requisición]])</f>
        <v>25</v>
      </c>
    </row>
    <row r="58" spans="1:27" hidden="1">
      <c r="A58" t="s">
        <v>309</v>
      </c>
      <c r="B58" t="s">
        <v>310</v>
      </c>
      <c r="C58" t="s">
        <v>311</v>
      </c>
      <c r="D58" t="s">
        <v>322</v>
      </c>
      <c r="E58">
        <v>34</v>
      </c>
      <c r="F58" t="s">
        <v>313</v>
      </c>
      <c r="G58" t="s">
        <v>314</v>
      </c>
      <c r="H58" t="s">
        <v>314</v>
      </c>
      <c r="I58" t="s">
        <v>314</v>
      </c>
      <c r="J58" t="s">
        <v>39</v>
      </c>
      <c r="K58" s="5">
        <v>186807</v>
      </c>
      <c r="L58" s="5" t="s">
        <v>31</v>
      </c>
      <c r="M58" t="s">
        <v>278</v>
      </c>
      <c r="N58" t="s">
        <v>219</v>
      </c>
      <c r="O58" t="s">
        <v>101</v>
      </c>
      <c r="P58" t="s">
        <v>124</v>
      </c>
      <c r="Q58" t="s">
        <v>36</v>
      </c>
      <c r="R58" t="s">
        <v>323</v>
      </c>
      <c r="S58" s="16" t="s">
        <v>514</v>
      </c>
      <c r="U58" s="2">
        <v>46209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12</v>
      </c>
      <c r="AA58">
        <f>+_xlfn.ISOWEEKNUM(Control[[#This Row],[Fecha Requisición]])</f>
        <v>25</v>
      </c>
    </row>
    <row r="59" spans="1:27" hidden="1">
      <c r="A59" t="s">
        <v>379</v>
      </c>
      <c r="B59" t="s">
        <v>380</v>
      </c>
      <c r="C59" t="s">
        <v>602</v>
      </c>
      <c r="E59">
        <v>47</v>
      </c>
      <c r="F59" t="s">
        <v>381</v>
      </c>
      <c r="G59" t="s">
        <v>382</v>
      </c>
      <c r="H59" t="s">
        <v>382</v>
      </c>
      <c r="K59" s="5"/>
      <c r="L59" s="5" t="s">
        <v>55</v>
      </c>
      <c r="N59" t="s">
        <v>383</v>
      </c>
      <c r="O59" t="s">
        <v>384</v>
      </c>
      <c r="P59" t="s">
        <v>58</v>
      </c>
      <c r="Q59" t="s">
        <v>36</v>
      </c>
      <c r="S59" t="s">
        <v>641</v>
      </c>
      <c r="V59" t="s">
        <v>641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59" s="9">
        <f>+DATE(YEAR(Control[[#This Row],[Fecha Requisición]]),MONTH(Control[[#This Row],[Fecha Requisición]]),1)</f>
        <v>46204</v>
      </c>
      <c r="Y59" s="11" t="str">
        <f>+IF(Control[[#This Row],[Fecha de entrega]]="","",NETWORKDAYS(Control[[#This Row],[Fecha Requisición]],Control[[#This Row],[Fecha de entrega]]))</f>
        <v/>
      </c>
      <c r="AA59">
        <f>+_xlfn.ISOWEEKNUM(Control[[#This Row],[Fecha Requisición]])</f>
        <v>28</v>
      </c>
    </row>
    <row r="60" spans="1:27" hidden="1">
      <c r="A60" t="s">
        <v>324</v>
      </c>
      <c r="B60" t="s">
        <v>325</v>
      </c>
      <c r="C60" t="s">
        <v>731</v>
      </c>
      <c r="D60" t="s">
        <v>326</v>
      </c>
      <c r="E60">
        <v>35</v>
      </c>
      <c r="F60" t="s">
        <v>327</v>
      </c>
      <c r="G60" t="s">
        <v>328</v>
      </c>
      <c r="H60" t="s">
        <v>328</v>
      </c>
      <c r="I60" t="s">
        <v>328</v>
      </c>
      <c r="J60" t="s">
        <v>30</v>
      </c>
      <c r="K60" s="5">
        <v>102295</v>
      </c>
      <c r="L60" s="5" t="s">
        <v>55</v>
      </c>
      <c r="M60" t="s">
        <v>174</v>
      </c>
      <c r="N60" t="s">
        <v>93</v>
      </c>
      <c r="O60" t="s">
        <v>101</v>
      </c>
      <c r="P60" t="s">
        <v>58</v>
      </c>
      <c r="Q60" t="s">
        <v>94</v>
      </c>
      <c r="R60" t="s">
        <v>329</v>
      </c>
      <c r="S60" t="s">
        <v>514</v>
      </c>
      <c r="U60" s="2">
        <v>46211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13</v>
      </c>
      <c r="AA60">
        <f>+_xlfn.ISOWEEKNUM(Control[[#This Row],[Fecha Requisición]])</f>
        <v>26</v>
      </c>
    </row>
    <row r="61" spans="1:27" hidden="1">
      <c r="A61" t="s">
        <v>385</v>
      </c>
      <c r="B61" t="s">
        <v>386</v>
      </c>
      <c r="C61" t="s">
        <v>603</v>
      </c>
      <c r="E61">
        <v>48</v>
      </c>
      <c r="F61" t="s">
        <v>387</v>
      </c>
      <c r="G61" t="s">
        <v>382</v>
      </c>
      <c r="H61" t="s">
        <v>382</v>
      </c>
      <c r="K61" s="5"/>
      <c r="L61" s="5"/>
      <c r="N61" t="s">
        <v>388</v>
      </c>
      <c r="O61" t="s">
        <v>176</v>
      </c>
      <c r="P61" t="s">
        <v>58</v>
      </c>
      <c r="Q61" t="s">
        <v>94</v>
      </c>
      <c r="S61" t="s">
        <v>641</v>
      </c>
      <c r="V61" t="s">
        <v>641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28</v>
      </c>
    </row>
    <row r="62" spans="1:27" hidden="1">
      <c r="A62" t="s">
        <v>330</v>
      </c>
      <c r="B62" t="s">
        <v>331</v>
      </c>
      <c r="C62" t="s">
        <v>332</v>
      </c>
      <c r="D62" t="s">
        <v>529</v>
      </c>
      <c r="E62">
        <v>36</v>
      </c>
      <c r="F62" t="s">
        <v>333</v>
      </c>
      <c r="G62" t="s">
        <v>328</v>
      </c>
      <c r="H62" t="s">
        <v>328</v>
      </c>
      <c r="I62" t="s">
        <v>328</v>
      </c>
      <c r="J62" t="s">
        <v>30</v>
      </c>
      <c r="K62" s="5">
        <v>98442</v>
      </c>
      <c r="L62" s="5" t="s">
        <v>55</v>
      </c>
      <c r="M62" t="s">
        <v>174</v>
      </c>
      <c r="N62" t="s">
        <v>93</v>
      </c>
      <c r="O62" t="s">
        <v>57</v>
      </c>
      <c r="P62" t="s">
        <v>58</v>
      </c>
      <c r="Q62" t="s">
        <v>94</v>
      </c>
      <c r="R62" t="s">
        <v>530</v>
      </c>
      <c r="S62" t="s">
        <v>514</v>
      </c>
      <c r="U62" s="2">
        <v>46211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46174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26</v>
      </c>
    </row>
    <row r="63" spans="1:27" hidden="1">
      <c r="A63" t="s">
        <v>634</v>
      </c>
      <c r="B63" t="s">
        <v>635</v>
      </c>
      <c r="C63" t="s">
        <v>673</v>
      </c>
      <c r="E63">
        <v>71</v>
      </c>
      <c r="F63" t="s">
        <v>636</v>
      </c>
      <c r="G63" t="s">
        <v>637</v>
      </c>
      <c r="H63" t="s">
        <v>637</v>
      </c>
      <c r="K63" s="5"/>
      <c r="L63" s="5" t="s">
        <v>31</v>
      </c>
      <c r="N63" t="s">
        <v>307</v>
      </c>
      <c r="O63" t="s">
        <v>86</v>
      </c>
      <c r="P63" t="s">
        <v>124</v>
      </c>
      <c r="Q63" t="s">
        <v>36</v>
      </c>
      <c r="S63" t="s">
        <v>723</v>
      </c>
      <c r="V63" t="s">
        <v>641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63" s="9">
        <f>+DATE(YEAR(Control[[#This Row],[Fecha Requisición]]),MONTH(Control[[#This Row],[Fecha Requisición]]),1)</f>
        <v>46204</v>
      </c>
      <c r="Y63" s="11" t="str">
        <f>+IF(Control[[#This Row],[Fecha de entrega]]="","",NETWORKDAYS(Control[[#This Row],[Fecha Requisición]],Control[[#This Row],[Fecha de entrega]]))</f>
        <v/>
      </c>
      <c r="AA63">
        <f>+_xlfn.ISOWEEKNUM(Control[[#This Row],[Fecha Requisición]])</f>
        <v>30</v>
      </c>
    </row>
    <row r="64" spans="1:27" hidden="1">
      <c r="A64" t="s">
        <v>334</v>
      </c>
      <c r="B64" t="s">
        <v>335</v>
      </c>
      <c r="C64" t="s">
        <v>336</v>
      </c>
      <c r="D64" t="s">
        <v>531</v>
      </c>
      <c r="E64">
        <v>37</v>
      </c>
      <c r="F64" t="s">
        <v>337</v>
      </c>
      <c r="G64" t="s">
        <v>338</v>
      </c>
      <c r="H64" t="s">
        <v>338</v>
      </c>
      <c r="I64" t="s">
        <v>338</v>
      </c>
      <c r="J64" t="s">
        <v>39</v>
      </c>
      <c r="K64" s="5">
        <v>35195</v>
      </c>
      <c r="L64" s="5" t="s">
        <v>55</v>
      </c>
      <c r="M64" t="s">
        <v>74</v>
      </c>
      <c r="N64" t="s">
        <v>93</v>
      </c>
      <c r="O64" t="s">
        <v>57</v>
      </c>
      <c r="P64" t="s">
        <v>58</v>
      </c>
      <c r="Q64" t="s">
        <v>94</v>
      </c>
      <c r="R64" t="s">
        <v>532</v>
      </c>
      <c r="S64" s="15" t="s">
        <v>514</v>
      </c>
      <c r="U64" s="2">
        <v>46209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46174</v>
      </c>
      <c r="Y64" s="11">
        <f>+IF(Control[[#This Row],[Fecha de entrega]]="","",NETWORKDAYS(Control[[#This Row],[Fecha Requisición]],Control[[#This Row],[Fecha de entrega]]))</f>
        <v>5</v>
      </c>
      <c r="AA64">
        <f>+_xlfn.ISOWEEKNUM(Control[[#This Row],[Fecha Requisición]])</f>
        <v>27</v>
      </c>
    </row>
    <row r="65" spans="1:27" hidden="1">
      <c r="A65" t="s">
        <v>638</v>
      </c>
      <c r="B65" t="s">
        <v>639</v>
      </c>
      <c r="C65" t="s">
        <v>674</v>
      </c>
      <c r="E65">
        <v>72</v>
      </c>
      <c r="F65" t="s">
        <v>640</v>
      </c>
      <c r="G65" t="s">
        <v>637</v>
      </c>
      <c r="H65" t="s">
        <v>637</v>
      </c>
      <c r="K65" s="5"/>
      <c r="L65" s="5" t="s">
        <v>31</v>
      </c>
      <c r="N65" t="s">
        <v>307</v>
      </c>
      <c r="O65" t="s">
        <v>86</v>
      </c>
      <c r="P65" t="s">
        <v>124</v>
      </c>
      <c r="Q65" t="s">
        <v>36</v>
      </c>
      <c r="S65" s="15" t="s">
        <v>641</v>
      </c>
      <c r="V65" s="15" t="s">
        <v>641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65" s="9">
        <f>+DATE(YEAR(Control[[#This Row],[Fecha Requisición]]),MONTH(Control[[#This Row],[Fecha Requisición]]),1)</f>
        <v>46204</v>
      </c>
      <c r="Y65" s="11" t="str">
        <f>+IF(Control[[#This Row],[Fecha de entrega]]="","",NETWORKDAYS(Control[[#This Row],[Fecha Requisición]],Control[[#This Row],[Fecha de entrega]]))</f>
        <v/>
      </c>
      <c r="AA65">
        <f>+_xlfn.ISOWEEKNUM(Control[[#This Row],[Fecha Requisición]])</f>
        <v>30</v>
      </c>
    </row>
    <row r="66" spans="1:27" hidden="1">
      <c r="A66" t="s">
        <v>339</v>
      </c>
      <c r="B66" t="s">
        <v>340</v>
      </c>
      <c r="C66" t="s">
        <v>341</v>
      </c>
      <c r="D66" t="s">
        <v>533</v>
      </c>
      <c r="E66">
        <v>38</v>
      </c>
      <c r="F66" t="s">
        <v>342</v>
      </c>
      <c r="G66" t="s">
        <v>338</v>
      </c>
      <c r="H66" t="s">
        <v>338</v>
      </c>
      <c r="I66" t="s">
        <v>338</v>
      </c>
      <c r="J66" t="s">
        <v>39</v>
      </c>
      <c r="K66" s="5">
        <v>35195</v>
      </c>
      <c r="L66" s="5" t="s">
        <v>55</v>
      </c>
      <c r="M66" t="s">
        <v>74</v>
      </c>
      <c r="N66" t="s">
        <v>93</v>
      </c>
      <c r="O66" t="s">
        <v>101</v>
      </c>
      <c r="P66" t="s">
        <v>58</v>
      </c>
      <c r="Q66" t="s">
        <v>94</v>
      </c>
      <c r="R66" t="s">
        <v>534</v>
      </c>
      <c r="S66" s="15" t="s">
        <v>514</v>
      </c>
      <c r="U66" s="2">
        <v>46209</v>
      </c>
      <c r="V66" s="15" t="s">
        <v>642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46174</v>
      </c>
      <c r="Y66" s="11">
        <f>+IF(Control[[#This Row],[Fecha de entrega]]="","",NETWORKDAYS(Control[[#This Row],[Fecha Requisición]],Control[[#This Row],[Fecha de entrega]]))</f>
        <v>5</v>
      </c>
      <c r="AA66">
        <f>+_xlfn.ISOWEEKNUM(Control[[#This Row],[Fecha Requisición]])</f>
        <v>27</v>
      </c>
    </row>
    <row r="67" spans="1:27">
      <c r="A67" t="s">
        <v>754</v>
      </c>
      <c r="B67" t="s">
        <v>755</v>
      </c>
      <c r="C67" t="s">
        <v>756</v>
      </c>
      <c r="E67">
        <v>79</v>
      </c>
      <c r="F67" t="s">
        <v>757</v>
      </c>
      <c r="G67" t="s">
        <v>747</v>
      </c>
      <c r="H67" t="s">
        <v>747</v>
      </c>
      <c r="K67" s="5"/>
      <c r="L67" s="5" t="s">
        <v>55</v>
      </c>
      <c r="N67" t="s">
        <v>705</v>
      </c>
      <c r="O67" t="s">
        <v>101</v>
      </c>
      <c r="P67" t="s">
        <v>58</v>
      </c>
      <c r="Q67" t="s">
        <v>36</v>
      </c>
      <c r="S67" s="15" t="s">
        <v>514</v>
      </c>
      <c r="U67" s="2">
        <v>46239</v>
      </c>
      <c r="V67" s="15" t="s">
        <v>817</v>
      </c>
      <c r="W67" t="s">
        <v>440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5</v>
      </c>
      <c r="AA67">
        <f>+_xlfn.ISOWEEKNUM(Control[[#This Row],[Fecha Requisición]])</f>
        <v>31</v>
      </c>
    </row>
    <row r="68" spans="1:27" hidden="1">
      <c r="A68" t="s">
        <v>343</v>
      </c>
      <c r="B68" t="s">
        <v>344</v>
      </c>
      <c r="C68" t="s">
        <v>345</v>
      </c>
      <c r="D68" t="s">
        <v>346</v>
      </c>
      <c r="E68">
        <v>39</v>
      </c>
      <c r="F68" t="s">
        <v>347</v>
      </c>
      <c r="G68" t="s">
        <v>348</v>
      </c>
      <c r="H68" t="s">
        <v>348</v>
      </c>
      <c r="I68" t="s">
        <v>348</v>
      </c>
      <c r="J68" t="s">
        <v>30</v>
      </c>
      <c r="K68" s="5">
        <v>398948</v>
      </c>
      <c r="L68" s="5" t="s">
        <v>31</v>
      </c>
      <c r="M68" t="s">
        <v>243</v>
      </c>
      <c r="N68" t="s">
        <v>219</v>
      </c>
      <c r="O68" t="s">
        <v>101</v>
      </c>
      <c r="P68" t="s">
        <v>124</v>
      </c>
      <c r="Q68" t="s">
        <v>36</v>
      </c>
      <c r="R68" t="s">
        <v>349</v>
      </c>
      <c r="S68" s="15" t="s">
        <v>514</v>
      </c>
      <c r="U68" s="2">
        <v>46211</v>
      </c>
      <c r="V68" s="15" t="s">
        <v>642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46174</v>
      </c>
      <c r="Y68" s="11">
        <f>+IF(Control[[#This Row],[Fecha de entrega]]="","",NETWORKDAYS(Control[[#This Row],[Fecha Requisición]],Control[[#This Row],[Fecha de entrega]]))</f>
        <v>9</v>
      </c>
      <c r="AA68">
        <f>+_xlfn.ISOWEEKNUM(Control[[#This Row],[Fecha Requisición]])</f>
        <v>26</v>
      </c>
    </row>
    <row r="69" spans="1:27">
      <c r="A69" t="s">
        <v>777</v>
      </c>
      <c r="B69" t="s">
        <v>778</v>
      </c>
      <c r="C69" t="s">
        <v>833</v>
      </c>
      <c r="E69">
        <v>82</v>
      </c>
      <c r="F69" t="s">
        <v>779</v>
      </c>
      <c r="G69" t="s">
        <v>780</v>
      </c>
      <c r="H69" t="s">
        <v>780</v>
      </c>
      <c r="K69" s="5"/>
      <c r="L69" s="5"/>
      <c r="O69" t="s">
        <v>57</v>
      </c>
      <c r="P69" t="s">
        <v>35</v>
      </c>
      <c r="Q69" t="s">
        <v>94</v>
      </c>
      <c r="S69" s="15" t="s">
        <v>514</v>
      </c>
      <c r="U69" s="2">
        <v>46239</v>
      </c>
      <c r="V69" s="15" t="s">
        <v>642</v>
      </c>
      <c r="W69" t="s">
        <v>440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6</v>
      </c>
      <c r="AA69">
        <f>+_xlfn.ISOWEEKNUM(Control[[#This Row],[Fecha Requisición]])</f>
        <v>31</v>
      </c>
    </row>
    <row r="70" spans="1:27" hidden="1">
      <c r="A70" t="s">
        <v>350</v>
      </c>
      <c r="B70" t="s">
        <v>351</v>
      </c>
      <c r="C70" t="s">
        <v>644</v>
      </c>
      <c r="D70" t="s">
        <v>535</v>
      </c>
      <c r="E70">
        <v>40</v>
      </c>
      <c r="F70" t="s">
        <v>352</v>
      </c>
      <c r="G70" t="s">
        <v>338</v>
      </c>
      <c r="H70" t="s">
        <v>338</v>
      </c>
      <c r="I70" t="s">
        <v>338</v>
      </c>
      <c r="J70" t="s">
        <v>30</v>
      </c>
      <c r="K70" s="5">
        <v>825384</v>
      </c>
      <c r="L70" s="5" t="s">
        <v>31</v>
      </c>
      <c r="M70" t="s">
        <v>166</v>
      </c>
      <c r="N70" t="s">
        <v>256</v>
      </c>
      <c r="O70" t="s">
        <v>34</v>
      </c>
      <c r="P70" t="s">
        <v>75</v>
      </c>
      <c r="Q70" t="s">
        <v>94</v>
      </c>
      <c r="R70" t="s">
        <v>536</v>
      </c>
      <c r="S70" s="12" t="s">
        <v>514</v>
      </c>
      <c r="U70" s="2">
        <v>46211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46174</v>
      </c>
      <c r="Y70" s="11">
        <f>+IF(Control[[#This Row],[Fecha de entrega]]="","",NETWORKDAYS(Control[[#This Row],[Fecha Requisición]],Control[[#This Row],[Fecha de entrega]]))</f>
        <v>7</v>
      </c>
      <c r="AA70">
        <f>+_xlfn.ISOWEEKNUM(Control[[#This Row],[Fecha Requisición]])</f>
        <v>27</v>
      </c>
    </row>
    <row r="71" spans="1:27" hidden="1">
      <c r="A71" t="s">
        <v>804</v>
      </c>
      <c r="B71" t="s">
        <v>805</v>
      </c>
      <c r="E71">
        <v>90</v>
      </c>
      <c r="F71" t="s">
        <v>806</v>
      </c>
      <c r="G71" t="s">
        <v>807</v>
      </c>
      <c r="K71" s="5"/>
      <c r="L71" s="5" t="s">
        <v>31</v>
      </c>
      <c r="N71" t="s">
        <v>307</v>
      </c>
      <c r="O71" t="s">
        <v>57</v>
      </c>
      <c r="P71" t="s">
        <v>124</v>
      </c>
      <c r="Q71" t="s">
        <v>36</v>
      </c>
      <c r="S71" s="12" t="s">
        <v>514</v>
      </c>
      <c r="U71" s="2">
        <v>46237</v>
      </c>
      <c r="V71" s="12" t="s">
        <v>819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22</v>
      </c>
      <c r="AA71">
        <f>+_xlfn.ISOWEEKNUM(Control[[#This Row],[Fecha Requisición]])</f>
        <v>27</v>
      </c>
    </row>
    <row r="72" spans="1:27" hidden="1">
      <c r="A72" t="s">
        <v>359</v>
      </c>
      <c r="B72" t="s">
        <v>360</v>
      </c>
      <c r="C72" t="s">
        <v>645</v>
      </c>
      <c r="D72" t="s">
        <v>539</v>
      </c>
      <c r="E72">
        <v>41</v>
      </c>
      <c r="F72" t="s">
        <v>361</v>
      </c>
      <c r="G72" t="s">
        <v>338</v>
      </c>
      <c r="H72" t="s">
        <v>338</v>
      </c>
      <c r="I72" t="s">
        <v>338</v>
      </c>
      <c r="J72" t="s">
        <v>39</v>
      </c>
      <c r="K72" s="5">
        <v>522648</v>
      </c>
      <c r="L72" s="5" t="s">
        <v>31</v>
      </c>
      <c r="M72" t="s">
        <v>243</v>
      </c>
      <c r="N72" t="s">
        <v>362</v>
      </c>
      <c r="O72" t="s">
        <v>123</v>
      </c>
      <c r="P72" t="s">
        <v>124</v>
      </c>
      <c r="Q72" t="s">
        <v>36</v>
      </c>
      <c r="R72" t="s">
        <v>540</v>
      </c>
      <c r="S72" s="12" t="s">
        <v>514</v>
      </c>
      <c r="U72" s="2">
        <v>46217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46174</v>
      </c>
      <c r="Y72" s="11">
        <f>+IF(Control[[#This Row],[Fecha de entrega]]="","",NETWORKDAYS(Control[[#This Row],[Fecha Requisición]],Control[[#This Row],[Fecha de entrega]]))</f>
        <v>11</v>
      </c>
      <c r="AA72">
        <f>+_xlfn.ISOWEEKNUM(Control[[#This Row],[Fecha Requisición]])</f>
        <v>27</v>
      </c>
    </row>
    <row r="73" spans="1:27" hidden="1">
      <c r="A73" t="s">
        <v>359</v>
      </c>
      <c r="B73" t="s">
        <v>360</v>
      </c>
      <c r="C73" t="s">
        <v>645</v>
      </c>
      <c r="D73" t="s">
        <v>537</v>
      </c>
      <c r="E73">
        <v>41</v>
      </c>
      <c r="F73" t="s">
        <v>361</v>
      </c>
      <c r="G73" t="s">
        <v>338</v>
      </c>
      <c r="H73" t="s">
        <v>338</v>
      </c>
      <c r="I73" t="s">
        <v>338</v>
      </c>
      <c r="K73" s="5"/>
      <c r="L73" s="5" t="s">
        <v>31</v>
      </c>
      <c r="N73" t="s">
        <v>362</v>
      </c>
      <c r="O73" t="s">
        <v>123</v>
      </c>
      <c r="P73" t="s">
        <v>124</v>
      </c>
      <c r="Q73" t="s">
        <v>36</v>
      </c>
      <c r="R73" t="s">
        <v>538</v>
      </c>
      <c r="S73" s="16" t="s">
        <v>514</v>
      </c>
      <c r="U73" s="2">
        <v>46217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46174</v>
      </c>
      <c r="Y73" s="11">
        <f>+IF(Control[[#This Row],[Fecha de entrega]]="","",NETWORKDAYS(Control[[#This Row],[Fecha Requisición]],Control[[#This Row],[Fecha de entrega]]))</f>
        <v>11</v>
      </c>
      <c r="AA73">
        <f>+_xlfn.ISOWEEKNUM(Control[[#This Row],[Fecha Requisición]])</f>
        <v>27</v>
      </c>
    </row>
    <row r="74" spans="1:27" hidden="1">
      <c r="A74" t="s">
        <v>808</v>
      </c>
      <c r="B74" t="s">
        <v>809</v>
      </c>
      <c r="E74">
        <v>91</v>
      </c>
      <c r="F74" t="s">
        <v>810</v>
      </c>
      <c r="G74" t="s">
        <v>807</v>
      </c>
      <c r="K74" s="5"/>
      <c r="L74" s="5" t="s">
        <v>31</v>
      </c>
      <c r="N74" t="s">
        <v>307</v>
      </c>
      <c r="O74" t="s">
        <v>57</v>
      </c>
      <c r="P74" t="s">
        <v>124</v>
      </c>
      <c r="Q74" t="s">
        <v>36</v>
      </c>
      <c r="S74" s="12" t="s">
        <v>514</v>
      </c>
      <c r="U74" s="2">
        <v>46237</v>
      </c>
      <c r="V74" s="12" t="s">
        <v>819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22</v>
      </c>
      <c r="AA74">
        <f>+_xlfn.ISOWEEKNUM(Control[[#This Row],[Fecha Requisición]])</f>
        <v>27</v>
      </c>
    </row>
    <row r="75" spans="1:27" hidden="1">
      <c r="A75" t="s">
        <v>353</v>
      </c>
      <c r="B75" t="s">
        <v>354</v>
      </c>
      <c r="C75" t="s">
        <v>355</v>
      </c>
      <c r="D75" t="s">
        <v>678</v>
      </c>
      <c r="E75">
        <v>42</v>
      </c>
      <c r="F75" t="s">
        <v>356</v>
      </c>
      <c r="G75" t="s">
        <v>357</v>
      </c>
      <c r="H75" t="s">
        <v>357</v>
      </c>
      <c r="I75" t="s">
        <v>357</v>
      </c>
      <c r="J75" t="s">
        <v>30</v>
      </c>
      <c r="K75" s="5">
        <v>1056863</v>
      </c>
      <c r="L75" s="5" t="s">
        <v>55</v>
      </c>
      <c r="M75" t="s">
        <v>243</v>
      </c>
      <c r="N75" t="s">
        <v>358</v>
      </c>
      <c r="O75" t="s">
        <v>101</v>
      </c>
      <c r="P75" t="s">
        <v>58</v>
      </c>
      <c r="Q75" t="s">
        <v>36</v>
      </c>
      <c r="R75" t="s">
        <v>679</v>
      </c>
      <c r="S75" t="s">
        <v>514</v>
      </c>
      <c r="U75" s="2">
        <v>46240</v>
      </c>
      <c r="V75" t="s">
        <v>720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27</v>
      </c>
      <c r="AA75" s="13">
        <f>+_xlfn.ISOWEEKNUM(Control[[#This Row],[Fecha Requisición]])</f>
        <v>27</v>
      </c>
    </row>
    <row r="76" spans="1:27" hidden="1">
      <c r="A76" t="s">
        <v>814</v>
      </c>
      <c r="B76" t="s">
        <v>815</v>
      </c>
      <c r="C76" t="s">
        <v>841</v>
      </c>
      <c r="E76">
        <v>93</v>
      </c>
      <c r="F76" t="s">
        <v>816</v>
      </c>
      <c r="G76" t="s">
        <v>771</v>
      </c>
      <c r="H76" t="s">
        <v>771</v>
      </c>
      <c r="K76" s="5"/>
      <c r="L76" s="5" t="s">
        <v>55</v>
      </c>
      <c r="N76" t="s">
        <v>213</v>
      </c>
      <c r="O76" t="s">
        <v>197</v>
      </c>
      <c r="P76" t="s">
        <v>58</v>
      </c>
      <c r="Q76" t="s">
        <v>36</v>
      </c>
      <c r="S76" t="s">
        <v>641</v>
      </c>
      <c r="V76" t="s">
        <v>641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76" s="9">
        <f>+DATE(YEAR(Control[[#This Row],[Fecha Requisición]]),MONTH(Control[[#This Row],[Fecha Requisición]]),1)</f>
        <v>46204</v>
      </c>
      <c r="Y76" s="14" t="str">
        <f>+IF(Control[[#This Row],[Fecha de entrega]]="","",NETWORKDAYS(Control[[#This Row],[Fecha Requisición]],Control[[#This Row],[Fecha de entrega]]))</f>
        <v/>
      </c>
      <c r="AA76" s="13">
        <f>+_xlfn.ISOWEEKNUM(Control[[#This Row],[Fecha Requisición]])</f>
        <v>31</v>
      </c>
    </row>
    <row r="77" spans="1:27" hidden="1">
      <c r="A77" t="s">
        <v>363</v>
      </c>
      <c r="B77" t="s">
        <v>364</v>
      </c>
      <c r="C77" t="s">
        <v>365</v>
      </c>
      <c r="D77" t="s">
        <v>541</v>
      </c>
      <c r="E77">
        <v>43</v>
      </c>
      <c r="F77" t="s">
        <v>366</v>
      </c>
      <c r="G77" t="s">
        <v>367</v>
      </c>
      <c r="H77" t="s">
        <v>367</v>
      </c>
      <c r="I77" t="s">
        <v>367</v>
      </c>
      <c r="J77" t="s">
        <v>30</v>
      </c>
      <c r="K77" s="5">
        <v>356393</v>
      </c>
      <c r="L77" s="5" t="s">
        <v>31</v>
      </c>
      <c r="M77" t="s">
        <v>166</v>
      </c>
      <c r="N77" t="s">
        <v>307</v>
      </c>
      <c r="O77" t="s">
        <v>34</v>
      </c>
      <c r="P77" t="s">
        <v>273</v>
      </c>
      <c r="Q77" t="s">
        <v>36</v>
      </c>
      <c r="R77" t="s">
        <v>542</v>
      </c>
      <c r="S77" s="12" t="s">
        <v>514</v>
      </c>
      <c r="T77" s="2">
        <v>46216</v>
      </c>
      <c r="U77" s="2">
        <v>46223</v>
      </c>
      <c r="V77" s="12" t="s">
        <v>642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13</v>
      </c>
      <c r="AA77">
        <f>+_xlfn.ISOWEEKNUM(Control[[#This Row],[Fecha Requisición]])</f>
        <v>27</v>
      </c>
    </row>
    <row r="78" spans="1:27" hidden="1">
      <c r="A78" t="s">
        <v>363</v>
      </c>
      <c r="B78" t="s">
        <v>364</v>
      </c>
      <c r="C78" t="s">
        <v>365</v>
      </c>
      <c r="D78" t="s">
        <v>543</v>
      </c>
      <c r="E78">
        <v>43</v>
      </c>
      <c r="F78" t="s">
        <v>366</v>
      </c>
      <c r="G78" t="s">
        <v>367</v>
      </c>
      <c r="H78" t="s">
        <v>367</v>
      </c>
      <c r="I78" t="s">
        <v>367</v>
      </c>
      <c r="J78" t="s">
        <v>30</v>
      </c>
      <c r="K78" s="5"/>
      <c r="L78" s="5" t="s">
        <v>31</v>
      </c>
      <c r="M78" t="s">
        <v>243</v>
      </c>
      <c r="N78" t="s">
        <v>307</v>
      </c>
      <c r="O78" t="s">
        <v>34</v>
      </c>
      <c r="P78" t="s">
        <v>273</v>
      </c>
      <c r="Q78" t="s">
        <v>36</v>
      </c>
      <c r="R78" t="s">
        <v>544</v>
      </c>
      <c r="S78" s="12" t="s">
        <v>514</v>
      </c>
      <c r="T78" s="2">
        <v>46216</v>
      </c>
      <c r="U78" s="2">
        <v>46223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13</v>
      </c>
      <c r="AA78">
        <f>+_xlfn.ISOWEEKNUM(Control[[#This Row],[Fecha Requisición]])</f>
        <v>27</v>
      </c>
    </row>
    <row r="79" spans="1:27" hidden="1">
      <c r="A79" t="s">
        <v>363</v>
      </c>
      <c r="B79" t="s">
        <v>364</v>
      </c>
      <c r="C79" t="s">
        <v>365</v>
      </c>
      <c r="D79" t="s">
        <v>545</v>
      </c>
      <c r="E79">
        <v>43</v>
      </c>
      <c r="F79" t="s">
        <v>366</v>
      </c>
      <c r="G79" t="s">
        <v>367</v>
      </c>
      <c r="H79" t="s">
        <v>367</v>
      </c>
      <c r="I79" t="s">
        <v>367</v>
      </c>
      <c r="J79" t="s">
        <v>30</v>
      </c>
      <c r="K79" s="5"/>
      <c r="L79" s="5" t="s">
        <v>31</v>
      </c>
      <c r="M79" t="s">
        <v>148</v>
      </c>
      <c r="N79" t="s">
        <v>307</v>
      </c>
      <c r="O79" t="s">
        <v>34</v>
      </c>
      <c r="P79" t="s">
        <v>273</v>
      </c>
      <c r="Q79" t="s">
        <v>36</v>
      </c>
      <c r="R79" t="s">
        <v>546</v>
      </c>
      <c r="S79" s="12" t="s">
        <v>514</v>
      </c>
      <c r="T79" s="2">
        <v>46216</v>
      </c>
      <c r="U79" s="2">
        <v>46223</v>
      </c>
      <c r="V79" s="12" t="s">
        <v>642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13</v>
      </c>
      <c r="AA79">
        <f>+_xlfn.ISOWEEKNUM(Control[[#This Row],[Fecha Requisición]])</f>
        <v>27</v>
      </c>
    </row>
    <row r="80" spans="1:27" hidden="1">
      <c r="A80" t="s">
        <v>363</v>
      </c>
      <c r="B80" t="s">
        <v>364</v>
      </c>
      <c r="C80" t="s">
        <v>365</v>
      </c>
      <c r="D80" t="s">
        <v>547</v>
      </c>
      <c r="E80">
        <v>43</v>
      </c>
      <c r="F80" t="s">
        <v>366</v>
      </c>
      <c r="G80" t="s">
        <v>367</v>
      </c>
      <c r="H80" t="s">
        <v>367</v>
      </c>
      <c r="I80" t="s">
        <v>367</v>
      </c>
      <c r="J80" t="s">
        <v>39</v>
      </c>
      <c r="K80" s="5"/>
      <c r="L80" s="5" t="s">
        <v>31</v>
      </c>
      <c r="M80" t="s">
        <v>74</v>
      </c>
      <c r="N80" t="s">
        <v>307</v>
      </c>
      <c r="O80" t="s">
        <v>34</v>
      </c>
      <c r="P80" t="s">
        <v>273</v>
      </c>
      <c r="Q80" t="s">
        <v>36</v>
      </c>
      <c r="R80" t="s">
        <v>548</v>
      </c>
      <c r="S80" s="12" t="s">
        <v>514</v>
      </c>
      <c r="T80" s="2">
        <v>46216</v>
      </c>
      <c r="U80" s="2">
        <v>46223</v>
      </c>
      <c r="V80" s="12" t="s">
        <v>642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13</v>
      </c>
      <c r="AA80">
        <f>+_xlfn.ISOWEEKNUM(Control[[#This Row],[Fecha Requisición]])</f>
        <v>27</v>
      </c>
    </row>
    <row r="81" spans="1:27" hidden="1">
      <c r="A81" t="s">
        <v>368</v>
      </c>
      <c r="B81" t="s">
        <v>369</v>
      </c>
      <c r="C81" t="s">
        <v>671</v>
      </c>
      <c r="D81" t="s">
        <v>711</v>
      </c>
      <c r="E81">
        <v>44</v>
      </c>
      <c r="F81" t="s">
        <v>370</v>
      </c>
      <c r="G81" t="s">
        <v>367</v>
      </c>
      <c r="H81" t="s">
        <v>367</v>
      </c>
      <c r="I81" t="s">
        <v>367</v>
      </c>
      <c r="J81" t="s">
        <v>39</v>
      </c>
      <c r="K81" s="5">
        <v>154984</v>
      </c>
      <c r="L81" s="5" t="s">
        <v>31</v>
      </c>
      <c r="M81" t="s">
        <v>174</v>
      </c>
      <c r="N81" t="s">
        <v>371</v>
      </c>
      <c r="O81" t="s">
        <v>176</v>
      </c>
      <c r="P81" t="s">
        <v>124</v>
      </c>
      <c r="Q81" t="s">
        <v>36</v>
      </c>
      <c r="R81" t="s">
        <v>712</v>
      </c>
      <c r="S81" t="s">
        <v>514</v>
      </c>
      <c r="U81" s="2">
        <v>46218</v>
      </c>
      <c r="V81" t="s">
        <v>721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10</v>
      </c>
      <c r="AA81">
        <f>+_xlfn.ISOWEEKNUM(Control[[#This Row],[Fecha Requisición]])</f>
        <v>27</v>
      </c>
    </row>
    <row r="82" spans="1:27" hidden="1">
      <c r="A82" t="s">
        <v>372</v>
      </c>
      <c r="B82" t="s">
        <v>373</v>
      </c>
      <c r="C82" t="s">
        <v>549</v>
      </c>
      <c r="D82" t="s">
        <v>550</v>
      </c>
      <c r="E82">
        <v>45</v>
      </c>
      <c r="F82" t="s">
        <v>374</v>
      </c>
      <c r="G82" t="s">
        <v>375</v>
      </c>
      <c r="H82" t="s">
        <v>375</v>
      </c>
      <c r="I82" t="s">
        <v>375</v>
      </c>
      <c r="J82" t="s">
        <v>30</v>
      </c>
      <c r="K82" s="5">
        <v>803095</v>
      </c>
      <c r="L82" s="5" t="s">
        <v>55</v>
      </c>
      <c r="M82" t="s">
        <v>32</v>
      </c>
      <c r="N82" t="s">
        <v>204</v>
      </c>
      <c r="P82" t="s">
        <v>58</v>
      </c>
      <c r="Q82" t="s">
        <v>59</v>
      </c>
      <c r="R82" t="s">
        <v>551</v>
      </c>
      <c r="S82" t="s">
        <v>514</v>
      </c>
      <c r="U82" s="2">
        <v>46211</v>
      </c>
      <c r="V82" t="s">
        <v>642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3</v>
      </c>
      <c r="AA82">
        <f>+_xlfn.ISOWEEKNUM(Control[[#This Row],[Fecha Requisición]])</f>
        <v>27</v>
      </c>
    </row>
    <row r="83" spans="1:27" hidden="1">
      <c r="A83" t="s">
        <v>376</v>
      </c>
      <c r="B83" t="s">
        <v>377</v>
      </c>
      <c r="C83" t="s">
        <v>552</v>
      </c>
      <c r="D83" t="s">
        <v>553</v>
      </c>
      <c r="E83">
        <v>46</v>
      </c>
      <c r="F83" t="s">
        <v>378</v>
      </c>
      <c r="G83" t="s">
        <v>375</v>
      </c>
      <c r="H83" t="s">
        <v>375</v>
      </c>
      <c r="I83" t="s">
        <v>375</v>
      </c>
      <c r="J83" t="s">
        <v>30</v>
      </c>
      <c r="K83" s="5">
        <v>734087</v>
      </c>
      <c r="L83" s="5" t="s">
        <v>55</v>
      </c>
      <c r="M83" t="s">
        <v>32</v>
      </c>
      <c r="N83" t="s">
        <v>204</v>
      </c>
      <c r="P83" t="s">
        <v>58</v>
      </c>
      <c r="Q83" t="s">
        <v>59</v>
      </c>
      <c r="R83" t="s">
        <v>554</v>
      </c>
      <c r="S83" t="s">
        <v>517</v>
      </c>
      <c r="U83" s="2">
        <v>46211</v>
      </c>
      <c r="V83" t="s">
        <v>722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3</v>
      </c>
      <c r="AA83">
        <f>+_xlfn.ISOWEEKNUM(Control[[#This Row],[Fecha Requisición]])</f>
        <v>27</v>
      </c>
    </row>
    <row r="84" spans="1:27" hidden="1">
      <c r="A84" t="s">
        <v>389</v>
      </c>
      <c r="B84" t="s">
        <v>390</v>
      </c>
      <c r="C84" t="s">
        <v>555</v>
      </c>
      <c r="D84" t="s">
        <v>556</v>
      </c>
      <c r="E84">
        <v>49</v>
      </c>
      <c r="F84" t="s">
        <v>391</v>
      </c>
      <c r="G84" t="s">
        <v>382</v>
      </c>
      <c r="H84" t="s">
        <v>382</v>
      </c>
      <c r="I84" t="s">
        <v>382</v>
      </c>
      <c r="J84" t="s">
        <v>30</v>
      </c>
      <c r="K84" s="5">
        <v>44804</v>
      </c>
      <c r="L84" s="5" t="s">
        <v>31</v>
      </c>
      <c r="M84" t="s">
        <v>243</v>
      </c>
      <c r="N84" t="s">
        <v>307</v>
      </c>
      <c r="O84" t="s">
        <v>101</v>
      </c>
      <c r="P84" t="s">
        <v>392</v>
      </c>
      <c r="Q84" t="s">
        <v>36</v>
      </c>
      <c r="R84" t="s">
        <v>557</v>
      </c>
      <c r="S84" t="s">
        <v>514</v>
      </c>
      <c r="U84" s="2">
        <v>46218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8</v>
      </c>
      <c r="AA84">
        <f>+_xlfn.ISOWEEKNUM(Control[[#This Row],[Fecha Requisición]])</f>
        <v>28</v>
      </c>
    </row>
    <row r="85" spans="1:27" hidden="1">
      <c r="A85" t="s">
        <v>393</v>
      </c>
      <c r="B85" t="s">
        <v>394</v>
      </c>
      <c r="C85" t="s">
        <v>558</v>
      </c>
      <c r="D85" t="s">
        <v>559</v>
      </c>
      <c r="E85">
        <v>50</v>
      </c>
      <c r="F85" t="s">
        <v>395</v>
      </c>
      <c r="G85" t="s">
        <v>396</v>
      </c>
      <c r="H85" t="s">
        <v>396</v>
      </c>
      <c r="I85" t="s">
        <v>396</v>
      </c>
      <c r="J85" t="s">
        <v>30</v>
      </c>
      <c r="K85" s="5">
        <v>85661</v>
      </c>
      <c r="L85" s="5" t="s">
        <v>55</v>
      </c>
      <c r="M85" t="s">
        <v>74</v>
      </c>
      <c r="N85" t="s">
        <v>383</v>
      </c>
      <c r="O85" t="s">
        <v>384</v>
      </c>
      <c r="P85" t="s">
        <v>58</v>
      </c>
      <c r="Q85" t="s">
        <v>36</v>
      </c>
      <c r="R85" t="s">
        <v>560</v>
      </c>
      <c r="S85" t="s">
        <v>514</v>
      </c>
      <c r="T85" s="2">
        <v>46213</v>
      </c>
      <c r="U85" s="2">
        <v>46217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6</v>
      </c>
      <c r="AA85">
        <f>+_xlfn.ISOWEEKNUM(Control[[#This Row],[Fecha Requisición]])</f>
        <v>28</v>
      </c>
    </row>
    <row r="86" spans="1:27" hidden="1">
      <c r="A86" t="s">
        <v>397</v>
      </c>
      <c r="B86" t="s">
        <v>398</v>
      </c>
      <c r="C86" t="s">
        <v>561</v>
      </c>
      <c r="D86" t="s">
        <v>562</v>
      </c>
      <c r="E86">
        <v>51</v>
      </c>
      <c r="F86" t="s">
        <v>399</v>
      </c>
      <c r="G86" t="s">
        <v>382</v>
      </c>
      <c r="H86" t="s">
        <v>382</v>
      </c>
      <c r="I86" t="s">
        <v>382</v>
      </c>
      <c r="J86" t="s">
        <v>30</v>
      </c>
      <c r="K86" s="5">
        <v>283291</v>
      </c>
      <c r="L86" s="5" t="s">
        <v>31</v>
      </c>
      <c r="M86" t="s">
        <v>166</v>
      </c>
      <c r="N86" t="s">
        <v>400</v>
      </c>
      <c r="O86" t="s">
        <v>86</v>
      </c>
      <c r="P86" t="s">
        <v>35</v>
      </c>
      <c r="Q86" t="s">
        <v>59</v>
      </c>
      <c r="R86" t="s">
        <v>563</v>
      </c>
      <c r="S86" t="s">
        <v>514</v>
      </c>
      <c r="U86" s="2">
        <v>46213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5</v>
      </c>
      <c r="AA86">
        <f>+_xlfn.ISOWEEKNUM(Control[[#This Row],[Fecha Requisición]])</f>
        <v>28</v>
      </c>
    </row>
    <row r="87" spans="1:27" hidden="1">
      <c r="A87" t="s">
        <v>401</v>
      </c>
      <c r="B87" t="s">
        <v>402</v>
      </c>
      <c r="C87" t="s">
        <v>564</v>
      </c>
      <c r="D87" t="s">
        <v>565</v>
      </c>
      <c r="E87">
        <v>52</v>
      </c>
      <c r="F87" t="s">
        <v>403</v>
      </c>
      <c r="G87" t="s">
        <v>396</v>
      </c>
      <c r="H87" t="s">
        <v>396</v>
      </c>
      <c r="I87" t="s">
        <v>396</v>
      </c>
      <c r="J87" t="s">
        <v>39</v>
      </c>
      <c r="K87" s="5">
        <v>46686</v>
      </c>
      <c r="L87" s="5"/>
      <c r="M87" t="s">
        <v>148</v>
      </c>
      <c r="R87" t="s">
        <v>566</v>
      </c>
      <c r="S87" t="s">
        <v>514</v>
      </c>
      <c r="U87" s="2">
        <v>46218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7</v>
      </c>
      <c r="AA87">
        <f>+_xlfn.ISOWEEKNUM(Control[[#This Row],[Fecha Requisición]])</f>
        <v>28</v>
      </c>
    </row>
    <row r="88" spans="1:27" hidden="1">
      <c r="A88" t="s">
        <v>401</v>
      </c>
      <c r="B88" t="s">
        <v>402</v>
      </c>
      <c r="C88" t="s">
        <v>564</v>
      </c>
      <c r="D88" t="s">
        <v>567</v>
      </c>
      <c r="E88">
        <v>52</v>
      </c>
      <c r="F88" t="s">
        <v>403</v>
      </c>
      <c r="G88" t="s">
        <v>396</v>
      </c>
      <c r="H88" t="s">
        <v>396</v>
      </c>
      <c r="I88" t="s">
        <v>396</v>
      </c>
      <c r="J88" t="s">
        <v>30</v>
      </c>
      <c r="K88" s="5">
        <v>108089</v>
      </c>
      <c r="L88" s="5"/>
      <c r="M88" t="s">
        <v>32</v>
      </c>
      <c r="R88" t="s">
        <v>568</v>
      </c>
      <c r="S88" t="s">
        <v>514</v>
      </c>
      <c r="U88" s="2">
        <v>46218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7</v>
      </c>
      <c r="AA88">
        <f>+_xlfn.ISOWEEKNUM(Control[[#This Row],[Fecha Requisición]])</f>
        <v>28</v>
      </c>
    </row>
    <row r="89" spans="1:27" hidden="1">
      <c r="A89" t="s">
        <v>404</v>
      </c>
      <c r="B89" t="s">
        <v>405</v>
      </c>
      <c r="C89" t="s">
        <v>569</v>
      </c>
      <c r="D89" t="s">
        <v>570</v>
      </c>
      <c r="E89">
        <v>53</v>
      </c>
      <c r="F89" t="s">
        <v>406</v>
      </c>
      <c r="G89" t="s">
        <v>407</v>
      </c>
      <c r="H89" t="s">
        <v>407</v>
      </c>
      <c r="I89" t="s">
        <v>407</v>
      </c>
      <c r="J89" t="s">
        <v>39</v>
      </c>
      <c r="K89" s="5">
        <v>99990</v>
      </c>
      <c r="L89" s="5" t="s">
        <v>31</v>
      </c>
      <c r="M89" t="s">
        <v>571</v>
      </c>
      <c r="N89" t="s">
        <v>196</v>
      </c>
      <c r="O89" t="s">
        <v>197</v>
      </c>
      <c r="P89" t="s">
        <v>75</v>
      </c>
      <c r="Q89" t="s">
        <v>36</v>
      </c>
      <c r="R89" t="s">
        <v>572</v>
      </c>
      <c r="S89" t="s">
        <v>514</v>
      </c>
      <c r="T89" s="2">
        <v>46213</v>
      </c>
      <c r="U89" s="2">
        <v>46218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6</v>
      </c>
      <c r="AA89">
        <f>+_xlfn.ISOWEEKNUM(Control[[#This Row],[Fecha Requisición]])</f>
        <v>28</v>
      </c>
    </row>
    <row r="90" spans="1:27" hidden="1">
      <c r="A90" t="s">
        <v>408</v>
      </c>
      <c r="B90" t="s">
        <v>409</v>
      </c>
      <c r="C90" t="s">
        <v>604</v>
      </c>
      <c r="D90" t="s">
        <v>646</v>
      </c>
      <c r="E90">
        <v>54</v>
      </c>
      <c r="F90" t="s">
        <v>410</v>
      </c>
      <c r="G90" t="s">
        <v>407</v>
      </c>
      <c r="H90" t="s">
        <v>407</v>
      </c>
      <c r="I90" t="s">
        <v>407</v>
      </c>
      <c r="J90" t="s">
        <v>30</v>
      </c>
      <c r="K90" s="5"/>
      <c r="L90" s="5" t="s">
        <v>31</v>
      </c>
      <c r="M90" t="s">
        <v>243</v>
      </c>
      <c r="N90" t="s">
        <v>307</v>
      </c>
      <c r="O90" t="s">
        <v>197</v>
      </c>
      <c r="P90" t="s">
        <v>124</v>
      </c>
      <c r="Q90" t="s">
        <v>36</v>
      </c>
      <c r="R90" t="s">
        <v>647</v>
      </c>
      <c r="S90" t="s">
        <v>514</v>
      </c>
      <c r="U90" s="2">
        <v>46224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10</v>
      </c>
      <c r="AA90">
        <f>+_xlfn.ISOWEEKNUM(Control[[#This Row],[Fecha Requisición]])</f>
        <v>28</v>
      </c>
    </row>
    <row r="91" spans="1:27" hidden="1">
      <c r="A91" t="s">
        <v>411</v>
      </c>
      <c r="B91" t="s">
        <v>412</v>
      </c>
      <c r="C91" t="s">
        <v>605</v>
      </c>
      <c r="D91" t="s">
        <v>734</v>
      </c>
      <c r="E91">
        <v>55</v>
      </c>
      <c r="F91" t="s">
        <v>413</v>
      </c>
      <c r="G91" t="s">
        <v>407</v>
      </c>
      <c r="H91" t="s">
        <v>407</v>
      </c>
      <c r="I91" t="s">
        <v>407</v>
      </c>
      <c r="J91" t="s">
        <v>39</v>
      </c>
      <c r="K91" s="5">
        <v>135184</v>
      </c>
      <c r="L91" s="5" t="s">
        <v>31</v>
      </c>
      <c r="M91" t="s">
        <v>121</v>
      </c>
      <c r="N91" t="s">
        <v>307</v>
      </c>
      <c r="O91" t="s">
        <v>57</v>
      </c>
      <c r="P91" t="s">
        <v>124</v>
      </c>
      <c r="Q91" t="s">
        <v>36</v>
      </c>
      <c r="R91" t="s">
        <v>735</v>
      </c>
      <c r="S91" t="s">
        <v>514</v>
      </c>
      <c r="T91" s="2">
        <v>46231</v>
      </c>
      <c r="U91" s="2">
        <v>46207</v>
      </c>
      <c r="V91" t="s">
        <v>724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-3</v>
      </c>
      <c r="AA91">
        <f>+_xlfn.ISOWEEKNUM(Control[[#This Row],[Fecha Requisición]])</f>
        <v>28</v>
      </c>
    </row>
    <row r="92" spans="1:27" hidden="1">
      <c r="A92" t="s">
        <v>411</v>
      </c>
      <c r="B92" t="s">
        <v>412</v>
      </c>
      <c r="C92" t="s">
        <v>605</v>
      </c>
      <c r="D92" t="s">
        <v>736</v>
      </c>
      <c r="E92">
        <v>55</v>
      </c>
      <c r="F92" t="s">
        <v>413</v>
      </c>
      <c r="G92" t="s">
        <v>407</v>
      </c>
      <c r="H92" t="s">
        <v>407</v>
      </c>
      <c r="I92" t="s">
        <v>407</v>
      </c>
      <c r="J92" t="s">
        <v>39</v>
      </c>
      <c r="K92" s="5"/>
      <c r="L92" s="5" t="s">
        <v>31</v>
      </c>
      <c r="M92" t="s">
        <v>74</v>
      </c>
      <c r="N92" t="s">
        <v>307</v>
      </c>
      <c r="O92" t="s">
        <v>57</v>
      </c>
      <c r="P92" t="s">
        <v>124</v>
      </c>
      <c r="Q92" t="s">
        <v>36</v>
      </c>
      <c r="R92" t="s">
        <v>737</v>
      </c>
      <c r="S92" t="s">
        <v>514</v>
      </c>
      <c r="T92" s="2">
        <v>46231</v>
      </c>
      <c r="U92" s="2">
        <v>46207</v>
      </c>
      <c r="V92" t="s">
        <v>724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-3</v>
      </c>
      <c r="AA92">
        <f>+_xlfn.ISOWEEKNUM(Control[[#This Row],[Fecha Requisición]])</f>
        <v>28</v>
      </c>
    </row>
    <row r="93" spans="1:27" hidden="1">
      <c r="A93" t="s">
        <v>414</v>
      </c>
      <c r="B93" t="s">
        <v>415</v>
      </c>
      <c r="C93" t="s">
        <v>573</v>
      </c>
      <c r="D93" t="s">
        <v>574</v>
      </c>
      <c r="E93">
        <v>56</v>
      </c>
      <c r="F93" t="s">
        <v>416</v>
      </c>
      <c r="G93" t="s">
        <v>417</v>
      </c>
      <c r="H93" t="s">
        <v>417</v>
      </c>
      <c r="I93" t="s">
        <v>417</v>
      </c>
      <c r="J93" t="s">
        <v>30</v>
      </c>
      <c r="K93" s="5">
        <v>170170</v>
      </c>
      <c r="L93" s="5" t="s">
        <v>55</v>
      </c>
      <c r="M93" t="s">
        <v>32</v>
      </c>
      <c r="N93" t="s">
        <v>204</v>
      </c>
      <c r="P93" t="s">
        <v>58</v>
      </c>
      <c r="Q93" t="s">
        <v>36</v>
      </c>
      <c r="R93" t="s">
        <v>575</v>
      </c>
      <c r="S93" t="s">
        <v>514</v>
      </c>
      <c r="U93" s="2">
        <v>46217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4</v>
      </c>
      <c r="AA93">
        <f>+_xlfn.ISOWEEKNUM(Control[[#This Row],[Fecha Requisición]])</f>
        <v>28</v>
      </c>
    </row>
    <row r="94" spans="1:27" hidden="1">
      <c r="A94" t="s">
        <v>418</v>
      </c>
      <c r="B94" t="s">
        <v>419</v>
      </c>
      <c r="C94" t="s">
        <v>606</v>
      </c>
      <c r="D94" t="s">
        <v>648</v>
      </c>
      <c r="E94">
        <v>57</v>
      </c>
      <c r="F94" t="s">
        <v>420</v>
      </c>
      <c r="G94" t="s">
        <v>407</v>
      </c>
      <c r="H94" t="s">
        <v>407</v>
      </c>
      <c r="I94" t="s">
        <v>407</v>
      </c>
      <c r="J94" t="s">
        <v>39</v>
      </c>
      <c r="K94" s="5"/>
      <c r="L94" s="5" t="s">
        <v>31</v>
      </c>
      <c r="M94" t="s">
        <v>243</v>
      </c>
      <c r="N94" t="s">
        <v>421</v>
      </c>
      <c r="O94" t="s">
        <v>101</v>
      </c>
      <c r="P94" t="s">
        <v>124</v>
      </c>
      <c r="Q94" t="s">
        <v>36</v>
      </c>
      <c r="R94" t="s">
        <v>649</v>
      </c>
      <c r="S94" t="s">
        <v>514</v>
      </c>
      <c r="T94" s="2">
        <v>46225</v>
      </c>
      <c r="U94" s="2">
        <v>46244</v>
      </c>
      <c r="V94" t="s">
        <v>725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24</v>
      </c>
      <c r="AA94">
        <f>+_xlfn.ISOWEEKNUM(Control[[#This Row],[Fecha Requisición]])</f>
        <v>28</v>
      </c>
    </row>
    <row r="95" spans="1:27" hidden="1">
      <c r="A95" t="s">
        <v>418</v>
      </c>
      <c r="B95" t="s">
        <v>419</v>
      </c>
      <c r="C95" t="s">
        <v>606</v>
      </c>
      <c r="D95" t="s">
        <v>650</v>
      </c>
      <c r="E95">
        <v>57</v>
      </c>
      <c r="F95" t="s">
        <v>420</v>
      </c>
      <c r="G95" t="s">
        <v>407</v>
      </c>
      <c r="H95" t="s">
        <v>407</v>
      </c>
      <c r="I95" t="s">
        <v>407</v>
      </c>
      <c r="J95" t="s">
        <v>30</v>
      </c>
      <c r="K95" s="5"/>
      <c r="L95" s="5" t="s">
        <v>31</v>
      </c>
      <c r="M95" t="s">
        <v>243</v>
      </c>
      <c r="N95" t="s">
        <v>421</v>
      </c>
      <c r="O95" t="s">
        <v>101</v>
      </c>
      <c r="P95" t="s">
        <v>124</v>
      </c>
      <c r="Q95" t="s">
        <v>36</v>
      </c>
      <c r="R95" t="s">
        <v>651</v>
      </c>
      <c r="S95" t="s">
        <v>514</v>
      </c>
      <c r="T95" s="2">
        <v>46225</v>
      </c>
      <c r="U95" s="2">
        <v>46244</v>
      </c>
      <c r="V95" t="s">
        <v>725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24</v>
      </c>
      <c r="AA95">
        <f>+_xlfn.ISOWEEKNUM(Control[[#This Row],[Fecha Requisición]])</f>
        <v>28</v>
      </c>
    </row>
    <row r="96" spans="1:27" hidden="1">
      <c r="A96" t="s">
        <v>418</v>
      </c>
      <c r="B96" t="s">
        <v>419</v>
      </c>
      <c r="C96" t="s">
        <v>606</v>
      </c>
      <c r="D96" t="s">
        <v>652</v>
      </c>
      <c r="E96">
        <v>57</v>
      </c>
      <c r="F96" t="s">
        <v>420</v>
      </c>
      <c r="G96" t="s">
        <v>407</v>
      </c>
      <c r="H96" t="s">
        <v>407</v>
      </c>
      <c r="I96" t="s">
        <v>407</v>
      </c>
      <c r="J96" t="s">
        <v>39</v>
      </c>
      <c r="K96" s="5"/>
      <c r="L96" s="5" t="s">
        <v>31</v>
      </c>
      <c r="M96" t="s">
        <v>658</v>
      </c>
      <c r="N96" t="s">
        <v>421</v>
      </c>
      <c r="O96" t="s">
        <v>101</v>
      </c>
      <c r="P96" t="s">
        <v>124</v>
      </c>
      <c r="Q96" t="s">
        <v>36</v>
      </c>
      <c r="R96" t="s">
        <v>653</v>
      </c>
      <c r="S96" t="s">
        <v>514</v>
      </c>
      <c r="T96" s="2">
        <v>46225</v>
      </c>
      <c r="U96" s="2">
        <v>46244</v>
      </c>
      <c r="V96" t="s">
        <v>725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24</v>
      </c>
      <c r="AA96">
        <f>+_xlfn.ISOWEEKNUM(Control[[#This Row],[Fecha Requisición]])</f>
        <v>28</v>
      </c>
    </row>
    <row r="97" spans="1:27" hidden="1">
      <c r="A97" t="s">
        <v>418</v>
      </c>
      <c r="B97" t="s">
        <v>419</v>
      </c>
      <c r="C97" t="s">
        <v>606</v>
      </c>
      <c r="D97" t="s">
        <v>654</v>
      </c>
      <c r="E97">
        <v>57</v>
      </c>
      <c r="F97" t="s">
        <v>420</v>
      </c>
      <c r="G97" t="s">
        <v>407</v>
      </c>
      <c r="H97" t="s">
        <v>407</v>
      </c>
      <c r="I97" t="s">
        <v>407</v>
      </c>
      <c r="J97" t="s">
        <v>39</v>
      </c>
      <c r="K97" s="5"/>
      <c r="L97" s="5" t="s">
        <v>31</v>
      </c>
      <c r="M97" t="s">
        <v>655</v>
      </c>
      <c r="N97" t="s">
        <v>421</v>
      </c>
      <c r="O97" t="s">
        <v>101</v>
      </c>
      <c r="P97" t="s">
        <v>124</v>
      </c>
      <c r="Q97" t="s">
        <v>36</v>
      </c>
      <c r="R97" t="s">
        <v>656</v>
      </c>
      <c r="S97" t="s">
        <v>514</v>
      </c>
      <c r="T97" s="2">
        <v>46225</v>
      </c>
      <c r="U97" s="2">
        <v>46244</v>
      </c>
      <c r="V97" t="s">
        <v>725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24</v>
      </c>
      <c r="AA97">
        <f>+_xlfn.ISOWEEKNUM(Control[[#This Row],[Fecha Requisición]])</f>
        <v>28</v>
      </c>
    </row>
    <row r="98" spans="1:27" hidden="1">
      <c r="A98" t="s">
        <v>422</v>
      </c>
      <c r="B98" t="s">
        <v>423</v>
      </c>
      <c r="C98" t="s">
        <v>576</v>
      </c>
      <c r="D98" t="s">
        <v>577</v>
      </c>
      <c r="E98">
        <v>58</v>
      </c>
      <c r="F98" t="s">
        <v>424</v>
      </c>
      <c r="G98" t="s">
        <v>417</v>
      </c>
      <c r="H98" t="s">
        <v>417</v>
      </c>
      <c r="I98" t="s">
        <v>417</v>
      </c>
      <c r="J98" t="s">
        <v>39</v>
      </c>
      <c r="K98" s="5">
        <v>146581</v>
      </c>
      <c r="L98" s="5" t="s">
        <v>31</v>
      </c>
      <c r="M98" t="s">
        <v>174</v>
      </c>
      <c r="N98" t="s">
        <v>371</v>
      </c>
      <c r="O98" t="s">
        <v>176</v>
      </c>
      <c r="P98" t="s">
        <v>124</v>
      </c>
      <c r="Q98" t="s">
        <v>36</v>
      </c>
      <c r="R98" t="s">
        <v>578</v>
      </c>
      <c r="S98" t="s">
        <v>514</v>
      </c>
      <c r="T98" s="2">
        <v>46213</v>
      </c>
      <c r="U98" s="2">
        <v>46226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11</v>
      </c>
      <c r="AA98">
        <f>+_xlfn.ISOWEEKNUM(Control[[#This Row],[Fecha Requisición]])</f>
        <v>28</v>
      </c>
    </row>
    <row r="99" spans="1:27" hidden="1">
      <c r="A99" t="s">
        <v>425</v>
      </c>
      <c r="B99" t="s">
        <v>426</v>
      </c>
      <c r="C99" t="s">
        <v>579</v>
      </c>
      <c r="D99" t="s">
        <v>580</v>
      </c>
      <c r="E99">
        <v>59</v>
      </c>
      <c r="F99" t="s">
        <v>427</v>
      </c>
      <c r="G99" t="s">
        <v>428</v>
      </c>
      <c r="H99" t="s">
        <v>428</v>
      </c>
      <c r="I99" t="s">
        <v>428</v>
      </c>
      <c r="J99" t="s">
        <v>39</v>
      </c>
      <c r="K99" s="5">
        <v>203395</v>
      </c>
      <c r="L99" s="5" t="s">
        <v>55</v>
      </c>
      <c r="M99" t="s">
        <v>581</v>
      </c>
      <c r="N99" t="s">
        <v>383</v>
      </c>
      <c r="O99" t="s">
        <v>384</v>
      </c>
      <c r="P99" t="s">
        <v>58</v>
      </c>
      <c r="Q99" t="s">
        <v>36</v>
      </c>
      <c r="R99" t="s">
        <v>582</v>
      </c>
      <c r="S99" t="s">
        <v>514</v>
      </c>
      <c r="T99" s="2">
        <v>46220</v>
      </c>
      <c r="U99" s="2">
        <v>46225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9</v>
      </c>
      <c r="AA99" s="15">
        <f>+_xlfn.ISOWEEKNUM(Control[[#This Row],[Fecha Requisición]])</f>
        <v>28</v>
      </c>
    </row>
    <row r="100" spans="1:27" hidden="1">
      <c r="A100" t="s">
        <v>690</v>
      </c>
      <c r="B100" t="s">
        <v>691</v>
      </c>
      <c r="C100" t="s">
        <v>607</v>
      </c>
      <c r="D100" t="s">
        <v>680</v>
      </c>
      <c r="E100">
        <v>60</v>
      </c>
      <c r="F100" t="s">
        <v>429</v>
      </c>
      <c r="G100" t="s">
        <v>428</v>
      </c>
      <c r="H100" t="s">
        <v>430</v>
      </c>
      <c r="I100" t="s">
        <v>430</v>
      </c>
      <c r="J100" t="s">
        <v>39</v>
      </c>
      <c r="K100" s="5">
        <v>36990</v>
      </c>
      <c r="L100" s="5"/>
      <c r="M100" t="s">
        <v>74</v>
      </c>
      <c r="R100" t="s">
        <v>681</v>
      </c>
      <c r="S100" t="s">
        <v>514</v>
      </c>
      <c r="T100" s="2">
        <v>46227</v>
      </c>
      <c r="U100" s="2">
        <v>46231</v>
      </c>
      <c r="V100" t="s">
        <v>642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13</v>
      </c>
      <c r="AA100" s="15">
        <f>+_xlfn.ISOWEEKNUM(Control[[#This Row],[Fecha Requisición]])</f>
        <v>28</v>
      </c>
    </row>
    <row r="101" spans="1:27" hidden="1">
      <c r="A101" t="s">
        <v>431</v>
      </c>
      <c r="B101" t="s">
        <v>432</v>
      </c>
      <c r="C101" t="s">
        <v>583</v>
      </c>
      <c r="D101" t="s">
        <v>584</v>
      </c>
      <c r="E101">
        <v>61</v>
      </c>
      <c r="F101" t="s">
        <v>433</v>
      </c>
      <c r="G101" t="s">
        <v>434</v>
      </c>
      <c r="H101" t="s">
        <v>434</v>
      </c>
      <c r="I101" t="s">
        <v>434</v>
      </c>
      <c r="J101" t="s">
        <v>39</v>
      </c>
      <c r="K101" s="5"/>
      <c r="L101" s="5" t="s">
        <v>31</v>
      </c>
      <c r="M101" t="s">
        <v>585</v>
      </c>
      <c r="N101" t="s">
        <v>435</v>
      </c>
      <c r="P101" t="s">
        <v>57</v>
      </c>
      <c r="Q101">
        <v>46216</v>
      </c>
      <c r="R101" t="s">
        <v>586</v>
      </c>
      <c r="S101" t="s">
        <v>514</v>
      </c>
      <c r="T101" s="2">
        <v>46224</v>
      </c>
      <c r="U101" s="2">
        <v>46230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11</v>
      </c>
      <c r="AA101" s="15">
        <f>+_xlfn.ISOWEEKNUM(Control[[#This Row],[Fecha Requisición]])</f>
        <v>29</v>
      </c>
    </row>
    <row r="102" spans="1:27" hidden="1">
      <c r="A102" t="s">
        <v>431</v>
      </c>
      <c r="B102" t="s">
        <v>432</v>
      </c>
      <c r="C102" t="s">
        <v>583</v>
      </c>
      <c r="D102" t="s">
        <v>584</v>
      </c>
      <c r="E102">
        <v>61</v>
      </c>
      <c r="F102" t="s">
        <v>433</v>
      </c>
      <c r="G102" t="s">
        <v>434</v>
      </c>
      <c r="H102" t="s">
        <v>434</v>
      </c>
      <c r="I102" t="s">
        <v>434</v>
      </c>
      <c r="J102" t="s">
        <v>39</v>
      </c>
      <c r="K102" s="5"/>
      <c r="L102" s="5" t="s">
        <v>31</v>
      </c>
      <c r="M102" t="s">
        <v>585</v>
      </c>
      <c r="N102" t="s">
        <v>435</v>
      </c>
      <c r="P102" t="s">
        <v>35</v>
      </c>
      <c r="Q102" t="s">
        <v>59</v>
      </c>
      <c r="R102" t="s">
        <v>586</v>
      </c>
      <c r="S102" t="s">
        <v>514</v>
      </c>
      <c r="T102" s="2">
        <v>46224</v>
      </c>
      <c r="U102" s="2">
        <v>46230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11</v>
      </c>
      <c r="AA102" s="15">
        <f>+_xlfn.ISOWEEKNUM(Control[[#This Row],[Fecha Requisición]])</f>
        <v>29</v>
      </c>
    </row>
    <row r="103" spans="1:27" hidden="1">
      <c r="A103" t="s">
        <v>431</v>
      </c>
      <c r="B103" t="s">
        <v>432</v>
      </c>
      <c r="C103" t="s">
        <v>583</v>
      </c>
      <c r="D103" t="s">
        <v>587</v>
      </c>
      <c r="E103">
        <v>61</v>
      </c>
      <c r="F103" t="s">
        <v>433</v>
      </c>
      <c r="G103" t="s">
        <v>434</v>
      </c>
      <c r="H103" t="s">
        <v>434</v>
      </c>
      <c r="I103" t="s">
        <v>434</v>
      </c>
      <c r="J103" t="s">
        <v>39</v>
      </c>
      <c r="K103" s="5"/>
      <c r="L103" s="5" t="s">
        <v>31</v>
      </c>
      <c r="M103" t="s">
        <v>174</v>
      </c>
      <c r="N103" t="s">
        <v>435</v>
      </c>
      <c r="P103" t="s">
        <v>57</v>
      </c>
      <c r="Q103">
        <v>46216</v>
      </c>
      <c r="R103" t="s">
        <v>588</v>
      </c>
      <c r="S103" t="s">
        <v>514</v>
      </c>
      <c r="T103" s="2">
        <v>46224</v>
      </c>
      <c r="U103" s="2">
        <v>46230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11</v>
      </c>
      <c r="AA103" s="15">
        <f>+_xlfn.ISOWEEKNUM(Control[[#This Row],[Fecha Requisición]])</f>
        <v>29</v>
      </c>
    </row>
    <row r="104" spans="1:27" hidden="1">
      <c r="A104" t="s">
        <v>431</v>
      </c>
      <c r="B104" t="s">
        <v>432</v>
      </c>
      <c r="C104" t="s">
        <v>583</v>
      </c>
      <c r="D104" t="s">
        <v>587</v>
      </c>
      <c r="E104">
        <v>61</v>
      </c>
      <c r="F104" t="s">
        <v>433</v>
      </c>
      <c r="G104" t="s">
        <v>434</v>
      </c>
      <c r="H104" t="s">
        <v>434</v>
      </c>
      <c r="I104" t="s">
        <v>434</v>
      </c>
      <c r="J104" t="s">
        <v>39</v>
      </c>
      <c r="K104" s="5"/>
      <c r="L104" s="5" t="s">
        <v>31</v>
      </c>
      <c r="M104" t="s">
        <v>174</v>
      </c>
      <c r="N104" t="s">
        <v>435</v>
      </c>
      <c r="P104" t="s">
        <v>35</v>
      </c>
      <c r="Q104" t="s">
        <v>59</v>
      </c>
      <c r="R104" t="s">
        <v>588</v>
      </c>
      <c r="S104" t="s">
        <v>514</v>
      </c>
      <c r="T104" s="2">
        <v>46224</v>
      </c>
      <c r="U104" s="2">
        <v>46230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11</v>
      </c>
      <c r="AA104" s="15">
        <f>+_xlfn.ISOWEEKNUM(Control[[#This Row],[Fecha Requisición]])</f>
        <v>29</v>
      </c>
    </row>
    <row r="105" spans="1:27" hidden="1">
      <c r="A105" t="s">
        <v>436</v>
      </c>
      <c r="B105" t="s">
        <v>437</v>
      </c>
      <c r="C105" t="s">
        <v>608</v>
      </c>
      <c r="D105" t="s">
        <v>682</v>
      </c>
      <c r="E105">
        <v>62</v>
      </c>
      <c r="F105" t="s">
        <v>438</v>
      </c>
      <c r="G105" t="s">
        <v>439</v>
      </c>
      <c r="H105" t="s">
        <v>439</v>
      </c>
      <c r="I105" t="s">
        <v>439</v>
      </c>
      <c r="J105" t="s">
        <v>30</v>
      </c>
      <c r="K105" s="5">
        <v>251578</v>
      </c>
      <c r="L105" s="5" t="s">
        <v>55</v>
      </c>
      <c r="M105" t="s">
        <v>243</v>
      </c>
      <c r="N105" t="s">
        <v>204</v>
      </c>
      <c r="O105" t="s">
        <v>101</v>
      </c>
      <c r="P105" t="s">
        <v>58</v>
      </c>
      <c r="Q105" t="s">
        <v>36</v>
      </c>
      <c r="R105" t="s">
        <v>683</v>
      </c>
      <c r="S105" t="s">
        <v>514</v>
      </c>
      <c r="U105" s="2">
        <v>46220</v>
      </c>
      <c r="V105" t="s">
        <v>642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4</v>
      </c>
      <c r="AA105" s="15">
        <f>+_xlfn.ISOWEEKNUM(Control[[#This Row],[Fecha Requisición]])</f>
        <v>29</v>
      </c>
    </row>
    <row r="106" spans="1:27" hidden="1">
      <c r="A106" t="s">
        <v>589</v>
      </c>
      <c r="B106" t="s">
        <v>590</v>
      </c>
      <c r="C106" t="s">
        <v>591</v>
      </c>
      <c r="D106" t="s">
        <v>684</v>
      </c>
      <c r="E106">
        <v>63</v>
      </c>
      <c r="F106" t="s">
        <v>519</v>
      </c>
      <c r="G106" t="s">
        <v>593</v>
      </c>
      <c r="H106" t="s">
        <v>593</v>
      </c>
      <c r="I106" t="s">
        <v>593</v>
      </c>
      <c r="J106" t="s">
        <v>30</v>
      </c>
      <c r="K106" s="5">
        <v>100275</v>
      </c>
      <c r="L106" s="5" t="s">
        <v>55</v>
      </c>
      <c r="M106" t="s">
        <v>243</v>
      </c>
      <c r="N106" t="s">
        <v>358</v>
      </c>
      <c r="O106" t="s">
        <v>101</v>
      </c>
      <c r="P106" t="s">
        <v>58</v>
      </c>
      <c r="Q106" t="s">
        <v>36</v>
      </c>
      <c r="R106" t="s">
        <v>685</v>
      </c>
      <c r="S106" t="s">
        <v>514</v>
      </c>
      <c r="T106" s="2">
        <v>46227</v>
      </c>
      <c r="U106" s="2">
        <v>46232</v>
      </c>
      <c r="V106" t="s">
        <v>642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11</v>
      </c>
      <c r="AA106" s="15">
        <f>+_xlfn.ISOWEEKNUM(Control[[#This Row],[Fecha Requisición]])</f>
        <v>29</v>
      </c>
    </row>
    <row r="107" spans="1:27" hidden="1">
      <c r="A107" t="s">
        <v>589</v>
      </c>
      <c r="B107" t="s">
        <v>590</v>
      </c>
      <c r="C107" t="s">
        <v>591</v>
      </c>
      <c r="D107" t="s">
        <v>686</v>
      </c>
      <c r="E107">
        <v>63</v>
      </c>
      <c r="F107" t="s">
        <v>519</v>
      </c>
      <c r="G107" t="s">
        <v>593</v>
      </c>
      <c r="H107" t="s">
        <v>593</v>
      </c>
      <c r="I107" t="s">
        <v>593</v>
      </c>
      <c r="J107" t="s">
        <v>39</v>
      </c>
      <c r="K107" s="5">
        <v>46686</v>
      </c>
      <c r="L107" s="5" t="s">
        <v>55</v>
      </c>
      <c r="M107" t="s">
        <v>148</v>
      </c>
      <c r="N107" t="s">
        <v>358</v>
      </c>
      <c r="O107" t="s">
        <v>101</v>
      </c>
      <c r="P107" t="s">
        <v>58</v>
      </c>
      <c r="Q107" t="s">
        <v>36</v>
      </c>
      <c r="R107" t="s">
        <v>687</v>
      </c>
      <c r="S107" t="s">
        <v>514</v>
      </c>
      <c r="T107" s="2">
        <v>46227</v>
      </c>
      <c r="U107" s="2">
        <v>46232</v>
      </c>
      <c r="V107" t="s">
        <v>642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11</v>
      </c>
      <c r="AA107" s="13">
        <f>+_xlfn.ISOWEEKNUM(Control[[#This Row],[Fecha Requisición]])</f>
        <v>29</v>
      </c>
    </row>
    <row r="108" spans="1:27" hidden="1">
      <c r="A108" t="s">
        <v>589</v>
      </c>
      <c r="B108" t="s">
        <v>590</v>
      </c>
      <c r="C108" t="s">
        <v>591</v>
      </c>
      <c r="D108" t="s">
        <v>592</v>
      </c>
      <c r="E108">
        <v>63</v>
      </c>
      <c r="F108" t="s">
        <v>519</v>
      </c>
      <c r="G108" t="s">
        <v>593</v>
      </c>
      <c r="H108" t="s">
        <v>593</v>
      </c>
      <c r="I108" t="s">
        <v>593</v>
      </c>
      <c r="J108" t="s">
        <v>30</v>
      </c>
      <c r="K108" s="5">
        <v>293249</v>
      </c>
      <c r="L108" s="5" t="s">
        <v>55</v>
      </c>
      <c r="M108" t="s">
        <v>32</v>
      </c>
      <c r="N108" t="s">
        <v>358</v>
      </c>
      <c r="O108" t="s">
        <v>101</v>
      </c>
      <c r="P108" t="s">
        <v>58</v>
      </c>
      <c r="Q108" t="s">
        <v>36</v>
      </c>
      <c r="R108" t="s">
        <v>594</v>
      </c>
      <c r="S108" t="s">
        <v>514</v>
      </c>
      <c r="T108" s="2">
        <v>46227</v>
      </c>
      <c r="U108" s="2">
        <v>46232</v>
      </c>
      <c r="V108" t="s">
        <v>642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11</v>
      </c>
      <c r="AA108" s="13">
        <f>+_xlfn.ISOWEEKNUM(Control[[#This Row],[Fecha Requisición]])</f>
        <v>29</v>
      </c>
    </row>
    <row r="109" spans="1:27" hidden="1">
      <c r="A109" t="s">
        <v>595</v>
      </c>
      <c r="B109" t="s">
        <v>596</v>
      </c>
      <c r="C109" t="s">
        <v>597</v>
      </c>
      <c r="D109" t="s">
        <v>598</v>
      </c>
      <c r="E109">
        <v>64</v>
      </c>
      <c r="F109" t="s">
        <v>520</v>
      </c>
      <c r="G109" t="s">
        <v>593</v>
      </c>
      <c r="H109" t="s">
        <v>593</v>
      </c>
      <c r="I109" t="s">
        <v>593</v>
      </c>
      <c r="J109" t="s">
        <v>39</v>
      </c>
      <c r="K109" s="5">
        <v>345495</v>
      </c>
      <c r="L109" s="5"/>
      <c r="M109" t="s">
        <v>741</v>
      </c>
      <c r="R109" t="s">
        <v>599</v>
      </c>
      <c r="S109" t="s">
        <v>514</v>
      </c>
      <c r="T109" s="2">
        <v>46225</v>
      </c>
      <c r="U109" s="2">
        <v>46231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10</v>
      </c>
      <c r="AA109" s="13">
        <f>+_xlfn.ISOWEEKNUM(Control[[#This Row],[Fecha Requisición]])</f>
        <v>29</v>
      </c>
    </row>
    <row r="110" spans="1:27" hidden="1">
      <c r="A110" t="s">
        <v>595</v>
      </c>
      <c r="B110" t="s">
        <v>596</v>
      </c>
      <c r="C110" t="s">
        <v>597</v>
      </c>
      <c r="D110" t="s">
        <v>600</v>
      </c>
      <c r="E110">
        <v>64</v>
      </c>
      <c r="F110" t="s">
        <v>520</v>
      </c>
      <c r="G110" t="s">
        <v>593</v>
      </c>
      <c r="H110" t="s">
        <v>593</v>
      </c>
      <c r="I110" t="s">
        <v>593</v>
      </c>
      <c r="J110" t="s">
        <v>30</v>
      </c>
      <c r="K110" s="5">
        <v>38270</v>
      </c>
      <c r="L110" s="5"/>
      <c r="M110" t="s">
        <v>243</v>
      </c>
      <c r="R110" t="s">
        <v>601</v>
      </c>
      <c r="S110" t="s">
        <v>514</v>
      </c>
      <c r="T110" s="2">
        <v>46225</v>
      </c>
      <c r="U110" s="2">
        <v>46231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10</v>
      </c>
      <c r="AA110" s="13">
        <f>+_xlfn.ISOWEEKNUM(Control[[#This Row],[Fecha Requisición]])</f>
        <v>29</v>
      </c>
    </row>
    <row r="111" spans="1:27" hidden="1">
      <c r="A111" t="s">
        <v>609</v>
      </c>
      <c r="B111" t="s">
        <v>610</v>
      </c>
      <c r="C111" t="s">
        <v>611</v>
      </c>
      <c r="D111" t="s">
        <v>657</v>
      </c>
      <c r="E111">
        <v>65</v>
      </c>
      <c r="F111" t="s">
        <v>521</v>
      </c>
      <c r="G111" t="s">
        <v>612</v>
      </c>
      <c r="H111" t="s">
        <v>612</v>
      </c>
      <c r="I111" t="s">
        <v>612</v>
      </c>
      <c r="J111" t="s">
        <v>39</v>
      </c>
      <c r="K111" s="5"/>
      <c r="L111" s="5" t="s">
        <v>31</v>
      </c>
      <c r="M111" t="s">
        <v>658</v>
      </c>
      <c r="N111" t="s">
        <v>613</v>
      </c>
      <c r="O111" t="s">
        <v>57</v>
      </c>
      <c r="P111" t="s">
        <v>124</v>
      </c>
      <c r="Q111" t="s">
        <v>36</v>
      </c>
      <c r="R111" t="s">
        <v>659</v>
      </c>
      <c r="S111" t="s">
        <v>514</v>
      </c>
      <c r="T111" s="2">
        <v>46224</v>
      </c>
      <c r="U111" s="2">
        <v>46230</v>
      </c>
      <c r="V111" t="s">
        <v>710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6</v>
      </c>
      <c r="AA111" s="13">
        <f>+_xlfn.ISOWEEKNUM(Control[[#This Row],[Fecha Requisición]])</f>
        <v>30</v>
      </c>
    </row>
    <row r="112" spans="1:27" hidden="1">
      <c r="A112" t="s">
        <v>616</v>
      </c>
      <c r="B112" t="s">
        <v>617</v>
      </c>
      <c r="C112" t="s">
        <v>713</v>
      </c>
      <c r="D112" t="s">
        <v>660</v>
      </c>
      <c r="E112">
        <v>66</v>
      </c>
      <c r="F112" t="s">
        <v>618</v>
      </c>
      <c r="G112" t="s">
        <v>619</v>
      </c>
      <c r="H112" t="s">
        <v>619</v>
      </c>
      <c r="I112" t="s">
        <v>619</v>
      </c>
      <c r="J112" t="s">
        <v>30</v>
      </c>
      <c r="K112" s="5"/>
      <c r="L112" s="5" t="s">
        <v>31</v>
      </c>
      <c r="M112" t="s">
        <v>243</v>
      </c>
      <c r="N112" t="s">
        <v>620</v>
      </c>
      <c r="O112" t="s">
        <v>197</v>
      </c>
      <c r="P112" t="s">
        <v>124</v>
      </c>
      <c r="Q112" t="s">
        <v>36</v>
      </c>
      <c r="R112" t="s">
        <v>661</v>
      </c>
      <c r="S112" t="s">
        <v>514</v>
      </c>
      <c r="U112" s="2">
        <v>46224</v>
      </c>
      <c r="V112" t="s">
        <v>642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46204</v>
      </c>
      <c r="Y112" s="14">
        <f>+IF(Control[[#This Row],[Fecha de entrega]]="","",NETWORKDAYS(Control[[#This Row],[Fecha Requisición]],Control[[#This Row],[Fecha de entrega]]))</f>
        <v>1</v>
      </c>
      <c r="AA112" s="13">
        <f>+_xlfn.ISOWEEKNUM(Control[[#This Row],[Fecha Requisición]])</f>
        <v>30</v>
      </c>
    </row>
    <row r="113" spans="1:27" hidden="1">
      <c r="A113" t="s">
        <v>621</v>
      </c>
      <c r="B113" t="s">
        <v>622</v>
      </c>
      <c r="C113" t="s">
        <v>662</v>
      </c>
      <c r="D113" t="s">
        <v>663</v>
      </c>
      <c r="E113">
        <v>67</v>
      </c>
      <c r="F113" t="s">
        <v>623</v>
      </c>
      <c r="G113" t="s">
        <v>619</v>
      </c>
      <c r="H113" t="s">
        <v>619</v>
      </c>
      <c r="I113" t="s">
        <v>619</v>
      </c>
      <c r="J113" t="s">
        <v>30</v>
      </c>
      <c r="K113" s="5"/>
      <c r="L113" s="5" t="s">
        <v>31</v>
      </c>
      <c r="M113" t="s">
        <v>243</v>
      </c>
      <c r="N113" t="s">
        <v>620</v>
      </c>
      <c r="O113" t="s">
        <v>57</v>
      </c>
      <c r="P113" t="s">
        <v>124</v>
      </c>
      <c r="Q113" t="s">
        <v>36</v>
      </c>
      <c r="R113" t="s">
        <v>664</v>
      </c>
      <c r="S113" t="s">
        <v>514</v>
      </c>
      <c r="U113" s="2">
        <v>46224</v>
      </c>
      <c r="V113" t="s">
        <v>642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46204</v>
      </c>
      <c r="Y113" s="14">
        <f>+IF(Control[[#This Row],[Fecha de entrega]]="","",NETWORKDAYS(Control[[#This Row],[Fecha Requisición]],Control[[#This Row],[Fecha de entrega]]))</f>
        <v>1</v>
      </c>
      <c r="AA113" s="13">
        <f>+_xlfn.ISOWEEKNUM(Control[[#This Row],[Fecha Requisición]])</f>
        <v>30</v>
      </c>
    </row>
    <row r="114" spans="1:27" hidden="1">
      <c r="A114" t="s">
        <v>624</v>
      </c>
      <c r="B114" t="s">
        <v>625</v>
      </c>
      <c r="C114" t="s">
        <v>665</v>
      </c>
      <c r="D114" t="s">
        <v>666</v>
      </c>
      <c r="E114">
        <v>68</v>
      </c>
      <c r="F114" t="s">
        <v>626</v>
      </c>
      <c r="G114" t="s">
        <v>627</v>
      </c>
      <c r="H114" t="s">
        <v>627</v>
      </c>
      <c r="I114" t="s">
        <v>627</v>
      </c>
      <c r="J114" t="s">
        <v>30</v>
      </c>
      <c r="K114" s="5"/>
      <c r="L114" s="5" t="s">
        <v>31</v>
      </c>
      <c r="M114" t="s">
        <v>243</v>
      </c>
      <c r="N114" t="s">
        <v>213</v>
      </c>
      <c r="O114" t="s">
        <v>197</v>
      </c>
      <c r="P114" t="s">
        <v>124</v>
      </c>
      <c r="Q114" t="s">
        <v>36</v>
      </c>
      <c r="R114" t="s">
        <v>667</v>
      </c>
      <c r="S114" t="s">
        <v>514</v>
      </c>
      <c r="U114" s="2">
        <v>46224</v>
      </c>
      <c r="V114" t="s">
        <v>642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46204</v>
      </c>
      <c r="Y114" s="14">
        <f>+IF(Control[[#This Row],[Fecha de entrega]]="","",NETWORKDAYS(Control[[#This Row],[Fecha Requisición]],Control[[#This Row],[Fecha de entrega]]))</f>
        <v>-2</v>
      </c>
      <c r="AA114" s="13">
        <f>+_xlfn.ISOWEEKNUM(Control[[#This Row],[Fecha Requisición]])</f>
        <v>30</v>
      </c>
    </row>
    <row r="115" spans="1:27" hidden="1">
      <c r="A115" t="s">
        <v>628</v>
      </c>
      <c r="B115" t="s">
        <v>629</v>
      </c>
      <c r="C115" t="s">
        <v>668</v>
      </c>
      <c r="D115" t="s">
        <v>669</v>
      </c>
      <c r="E115">
        <v>69</v>
      </c>
      <c r="F115" t="s">
        <v>630</v>
      </c>
      <c r="G115" t="s">
        <v>619</v>
      </c>
      <c r="H115" t="s">
        <v>619</v>
      </c>
      <c r="I115" t="s">
        <v>619</v>
      </c>
      <c r="J115" t="s">
        <v>30</v>
      </c>
      <c r="K115" s="5"/>
      <c r="L115" s="5" t="s">
        <v>31</v>
      </c>
      <c r="M115" t="s">
        <v>243</v>
      </c>
      <c r="N115" t="s">
        <v>362</v>
      </c>
      <c r="O115" t="s">
        <v>123</v>
      </c>
      <c r="P115" t="s">
        <v>124</v>
      </c>
      <c r="Q115" t="s">
        <v>36</v>
      </c>
      <c r="R115" t="s">
        <v>670</v>
      </c>
      <c r="S115" t="s">
        <v>514</v>
      </c>
      <c r="U115" s="2">
        <v>46231</v>
      </c>
      <c r="V115" t="s">
        <v>643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46204</v>
      </c>
      <c r="Y115" s="14">
        <f>+IF(Control[[#This Row],[Fecha de entrega]]="","",NETWORKDAYS(Control[[#This Row],[Fecha Requisición]],Control[[#This Row],[Fecha de entrega]]))</f>
        <v>6</v>
      </c>
      <c r="AA115" s="13">
        <f>+_xlfn.ISOWEEKNUM(Control[[#This Row],[Fecha Requisición]])</f>
        <v>30</v>
      </c>
    </row>
    <row r="116" spans="1:27" hidden="1">
      <c r="A116" s="15" t="s">
        <v>631</v>
      </c>
      <c r="B116" s="15" t="s">
        <v>632</v>
      </c>
      <c r="C116" s="15" t="s">
        <v>672</v>
      </c>
      <c r="D116" s="15" t="s">
        <v>688</v>
      </c>
      <c r="E116" s="15">
        <v>70</v>
      </c>
      <c r="F116" s="15" t="s">
        <v>633</v>
      </c>
      <c r="G116" s="15" t="s">
        <v>627</v>
      </c>
      <c r="H116" s="15" t="s">
        <v>627</v>
      </c>
      <c r="I116" s="15" t="s">
        <v>627</v>
      </c>
      <c r="J116" s="15" t="s">
        <v>39</v>
      </c>
      <c r="K116" s="5">
        <v>203972</v>
      </c>
      <c r="L116" s="5" t="s">
        <v>55</v>
      </c>
      <c r="M116" s="15" t="s">
        <v>74</v>
      </c>
      <c r="N116" s="15" t="s">
        <v>383</v>
      </c>
      <c r="O116" s="15" t="s">
        <v>384</v>
      </c>
      <c r="P116" s="15" t="s">
        <v>58</v>
      </c>
      <c r="Q116" s="15" t="s">
        <v>36</v>
      </c>
      <c r="R116" s="15" t="s">
        <v>689</v>
      </c>
      <c r="S116" s="15" t="s">
        <v>514</v>
      </c>
      <c r="T116" s="2">
        <v>46232</v>
      </c>
      <c r="U116" s="2">
        <v>46233</v>
      </c>
      <c r="V116" s="15" t="s">
        <v>642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46204</v>
      </c>
      <c r="Y116" s="14">
        <f>+IF(Control[[#This Row],[Fecha de entrega]]="","",NETWORKDAYS(Control[[#This Row],[Fecha Requisición]],Control[[#This Row],[Fecha de entrega]]))</f>
        <v>7</v>
      </c>
      <c r="Z116" s="15"/>
      <c r="AA116" s="13">
        <f>+_xlfn.ISOWEEKNUM(Control[[#This Row],[Fecha Requisición]])</f>
        <v>30</v>
      </c>
    </row>
    <row r="117" spans="1:27" hidden="1">
      <c r="A117" s="15" t="s">
        <v>675</v>
      </c>
      <c r="B117" s="15" t="s">
        <v>717</v>
      </c>
      <c r="C117" s="15" t="s">
        <v>676</v>
      </c>
      <c r="D117" s="15" t="s">
        <v>738</v>
      </c>
      <c r="E117" s="15">
        <v>73</v>
      </c>
      <c r="F117" s="15" t="s">
        <v>677</v>
      </c>
      <c r="G117" s="15" t="s">
        <v>627</v>
      </c>
      <c r="H117" s="15" t="s">
        <v>627</v>
      </c>
      <c r="I117" s="15" t="s">
        <v>627</v>
      </c>
      <c r="J117" s="15" t="s">
        <v>39</v>
      </c>
      <c r="K117" s="5">
        <v>160000</v>
      </c>
      <c r="L117" s="5" t="s">
        <v>55</v>
      </c>
      <c r="M117" s="15" t="s">
        <v>739</v>
      </c>
      <c r="N117" s="15" t="s">
        <v>67</v>
      </c>
      <c r="O117" s="15" t="s">
        <v>176</v>
      </c>
      <c r="P117" s="15" t="s">
        <v>58</v>
      </c>
      <c r="Q117" s="15" t="s">
        <v>59</v>
      </c>
      <c r="R117" s="15" t="s">
        <v>740</v>
      </c>
      <c r="S117" s="15" t="s">
        <v>514</v>
      </c>
      <c r="T117" s="2">
        <v>46232</v>
      </c>
      <c r="U117" s="2">
        <v>46232</v>
      </c>
      <c r="V117" s="15" t="s">
        <v>642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46204</v>
      </c>
      <c r="Y117" s="14">
        <f>+IF(Control[[#This Row],[Fecha de entrega]]="","",NETWORKDAYS(Control[[#This Row],[Fecha Requisición]],Control[[#This Row],[Fecha de entrega]]))</f>
        <v>6</v>
      </c>
      <c r="Z117" s="15"/>
      <c r="AA117" s="13">
        <f>+_xlfn.ISOWEEKNUM(Control[[#This Row],[Fecha Requisición]])</f>
        <v>30</v>
      </c>
    </row>
    <row r="118" spans="1:27" hidden="1">
      <c r="A118" s="15" t="s">
        <v>701</v>
      </c>
      <c r="B118" s="15" t="s">
        <v>702</v>
      </c>
      <c r="C118" s="15" t="s">
        <v>718</v>
      </c>
      <c r="D118" s="15" t="s">
        <v>1038</v>
      </c>
      <c r="E118" s="15">
        <v>74</v>
      </c>
      <c r="F118" s="15" t="s">
        <v>703</v>
      </c>
      <c r="G118" s="15" t="s">
        <v>704</v>
      </c>
      <c r="H118" s="15" t="s">
        <v>704</v>
      </c>
      <c r="I118" s="15" t="s">
        <v>704</v>
      </c>
      <c r="J118" s="15" t="s">
        <v>30</v>
      </c>
      <c r="K118" s="5">
        <v>1315627</v>
      </c>
      <c r="L118" s="5" t="s">
        <v>55</v>
      </c>
      <c r="M118" s="15" t="s">
        <v>243</v>
      </c>
      <c r="N118" s="15" t="s">
        <v>705</v>
      </c>
      <c r="O118" s="15" t="s">
        <v>101</v>
      </c>
      <c r="P118" s="15" t="s">
        <v>58</v>
      </c>
      <c r="Q118" s="15"/>
      <c r="R118" s="15" t="s">
        <v>1039</v>
      </c>
      <c r="S118" s="15" t="s">
        <v>514</v>
      </c>
      <c r="U118" s="2">
        <v>46237</v>
      </c>
      <c r="V118" s="15" t="s">
        <v>642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46204</v>
      </c>
      <c r="Y118" s="14">
        <f>+IF(Control[[#This Row],[Fecha de entrega]]="","",NETWORKDAYS(Control[[#This Row],[Fecha Requisición]],Control[[#This Row],[Fecha de entrega]]))</f>
        <v>6</v>
      </c>
      <c r="Z118" s="15"/>
      <c r="AA118" s="13">
        <f>+_xlfn.ISOWEEKNUM(Control[[#This Row],[Fecha Requisición]])</f>
        <v>31</v>
      </c>
    </row>
    <row r="119" spans="1:27" hidden="1">
      <c r="A119" s="15" t="s">
        <v>701</v>
      </c>
      <c r="B119" s="15" t="s">
        <v>702</v>
      </c>
      <c r="C119" s="15" t="s">
        <v>718</v>
      </c>
      <c r="D119" s="15" t="s">
        <v>728</v>
      </c>
      <c r="E119" s="15">
        <v>74</v>
      </c>
      <c r="F119" s="15" t="s">
        <v>703</v>
      </c>
      <c r="G119" s="15" t="s">
        <v>704</v>
      </c>
      <c r="H119" s="15" t="s">
        <v>704</v>
      </c>
      <c r="I119" s="15" t="s">
        <v>704</v>
      </c>
      <c r="J119" s="15" t="s">
        <v>30</v>
      </c>
      <c r="K119" s="5">
        <v>64736</v>
      </c>
      <c r="L119" s="5" t="s">
        <v>55</v>
      </c>
      <c r="M119" s="15" t="s">
        <v>32</v>
      </c>
      <c r="N119" s="15" t="s">
        <v>705</v>
      </c>
      <c r="O119" s="15" t="s">
        <v>101</v>
      </c>
      <c r="P119" s="15" t="s">
        <v>58</v>
      </c>
      <c r="Q119" s="15"/>
      <c r="R119" s="15" t="s">
        <v>729</v>
      </c>
      <c r="S119" s="15" t="s">
        <v>514</v>
      </c>
      <c r="U119" s="2">
        <v>46237</v>
      </c>
      <c r="V119" s="15" t="s">
        <v>642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46204</v>
      </c>
      <c r="Y119" s="14">
        <f>+IF(Control[[#This Row],[Fecha de entrega]]="","",NETWORKDAYS(Control[[#This Row],[Fecha Requisición]],Control[[#This Row],[Fecha de entrega]]))</f>
        <v>6</v>
      </c>
      <c r="Z119" s="15"/>
      <c r="AA119" s="13">
        <f>+_xlfn.ISOWEEKNUM(Control[[#This Row],[Fecha Requisición]])</f>
        <v>31</v>
      </c>
    </row>
    <row r="120" spans="1:27" hidden="1">
      <c r="A120" s="15" t="s">
        <v>692</v>
      </c>
      <c r="B120" s="15" t="s">
        <v>693</v>
      </c>
      <c r="C120" s="15" t="s">
        <v>694</v>
      </c>
      <c r="D120" s="15" t="s">
        <v>695</v>
      </c>
      <c r="E120" s="15">
        <v>75</v>
      </c>
      <c r="F120" s="15" t="s">
        <v>696</v>
      </c>
      <c r="G120" s="15" t="s">
        <v>697</v>
      </c>
      <c r="H120" s="15" t="s">
        <v>697</v>
      </c>
      <c r="I120" s="15" t="s">
        <v>697</v>
      </c>
      <c r="J120" s="15" t="s">
        <v>39</v>
      </c>
      <c r="K120" s="5">
        <v>112990</v>
      </c>
      <c r="L120" s="5" t="s">
        <v>55</v>
      </c>
      <c r="M120" s="15" t="s">
        <v>698</v>
      </c>
      <c r="N120" s="15" t="s">
        <v>699</v>
      </c>
      <c r="O120" s="15" t="s">
        <v>57</v>
      </c>
      <c r="P120" s="15" t="s">
        <v>58</v>
      </c>
      <c r="Q120" s="15" t="s">
        <v>94</v>
      </c>
      <c r="R120" s="15" t="s">
        <v>700</v>
      </c>
      <c r="S120" s="15" t="s">
        <v>514</v>
      </c>
      <c r="U120" s="2">
        <v>46232</v>
      </c>
      <c r="V120" s="15" t="s">
        <v>726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46204</v>
      </c>
      <c r="Y120" s="14">
        <f>+IF(Control[[#This Row],[Fecha de entrega]]="","",NETWORKDAYS(Control[[#This Row],[Fecha Requisición]],Control[[#This Row],[Fecha de entrega]]))</f>
        <v>2</v>
      </c>
      <c r="Z120" s="15"/>
      <c r="AA120" s="13">
        <f>+_xlfn.ISOWEEKNUM(Control[[#This Row],[Fecha Requisición]])</f>
        <v>31</v>
      </c>
    </row>
    <row r="121" spans="1:27" hidden="1">
      <c r="A121" s="15" t="s">
        <v>706</v>
      </c>
      <c r="B121" s="15" t="s">
        <v>707</v>
      </c>
      <c r="C121" s="15" t="s">
        <v>708</v>
      </c>
      <c r="D121" s="15" t="s">
        <v>714</v>
      </c>
      <c r="E121" s="15">
        <v>76</v>
      </c>
      <c r="F121" s="15" t="s">
        <v>709</v>
      </c>
      <c r="G121" s="15" t="s">
        <v>697</v>
      </c>
      <c r="H121" s="15" t="s">
        <v>697</v>
      </c>
      <c r="I121" s="15" t="s">
        <v>697</v>
      </c>
      <c r="J121" s="15" t="s">
        <v>30</v>
      </c>
      <c r="K121" s="5">
        <v>117668</v>
      </c>
      <c r="L121" s="5" t="s">
        <v>55</v>
      </c>
      <c r="M121" s="15" t="s">
        <v>174</v>
      </c>
      <c r="N121" s="15" t="s">
        <v>93</v>
      </c>
      <c r="O121" s="15" t="s">
        <v>57</v>
      </c>
      <c r="P121" s="15" t="s">
        <v>58</v>
      </c>
      <c r="Q121" s="15" t="s">
        <v>94</v>
      </c>
      <c r="R121" s="15" t="s">
        <v>715</v>
      </c>
      <c r="S121" s="15" t="s">
        <v>514</v>
      </c>
      <c r="U121" s="2">
        <v>46239</v>
      </c>
      <c r="V121" s="15" t="s">
        <v>727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46204</v>
      </c>
      <c r="Y121" s="14">
        <f>+IF(Control[[#This Row],[Fecha de entrega]]="","",NETWORKDAYS(Control[[#This Row],[Fecha Requisición]],Control[[#This Row],[Fecha de entrega]]))</f>
        <v>7</v>
      </c>
      <c r="Z121" s="15"/>
      <c r="AA121" s="13">
        <f>+_xlfn.ISOWEEKNUM(Control[[#This Row],[Fecha Requisición]])</f>
        <v>31</v>
      </c>
    </row>
    <row r="122" spans="1:27" hidden="1">
      <c r="A122" s="15" t="s">
        <v>742</v>
      </c>
      <c r="B122" s="15" t="s">
        <v>743</v>
      </c>
      <c r="C122" s="15" t="s">
        <v>744</v>
      </c>
      <c r="D122" s="15" t="s">
        <v>745</v>
      </c>
      <c r="E122" s="15">
        <v>77</v>
      </c>
      <c r="F122" s="15" t="s">
        <v>746</v>
      </c>
      <c r="G122" s="15" t="s">
        <v>747</v>
      </c>
      <c r="H122" s="15" t="s">
        <v>747</v>
      </c>
      <c r="I122" s="15" t="s">
        <v>747</v>
      </c>
      <c r="J122" s="15" t="s">
        <v>30</v>
      </c>
      <c r="K122" s="5">
        <v>48995</v>
      </c>
      <c r="L122" s="5" t="s">
        <v>55</v>
      </c>
      <c r="M122" s="15" t="s">
        <v>748</v>
      </c>
      <c r="N122" s="15" t="s">
        <v>705</v>
      </c>
      <c r="O122" s="15" t="s">
        <v>57</v>
      </c>
      <c r="P122" s="15" t="s">
        <v>58</v>
      </c>
      <c r="Q122" s="15" t="s">
        <v>59</v>
      </c>
      <c r="R122" s="15" t="s">
        <v>749</v>
      </c>
      <c r="S122" s="15" t="s">
        <v>514</v>
      </c>
      <c r="U122" s="2">
        <v>46233</v>
      </c>
      <c r="V122" s="15" t="s">
        <v>758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46204</v>
      </c>
      <c r="Y122" s="14">
        <f>+IF(Control[[#This Row],[Fecha de entrega]]="","",NETWORKDAYS(Control[[#This Row],[Fecha Requisición]],Control[[#This Row],[Fecha de entrega]]))</f>
        <v>1</v>
      </c>
      <c r="Z122" s="15"/>
      <c r="AA122" s="13">
        <f>+_xlfn.ISOWEEKNUM(Control[[#This Row],[Fecha Requisición]])</f>
        <v>31</v>
      </c>
    </row>
    <row r="123" spans="1:27" hidden="1">
      <c r="A123" s="15" t="s">
        <v>750</v>
      </c>
      <c r="B123" s="15" t="s">
        <v>751</v>
      </c>
      <c r="C123" s="15" t="s">
        <v>752</v>
      </c>
      <c r="D123" s="15" t="s">
        <v>775</v>
      </c>
      <c r="E123" s="15">
        <v>78</v>
      </c>
      <c r="F123" s="15" t="s">
        <v>753</v>
      </c>
      <c r="G123" s="15" t="s">
        <v>747</v>
      </c>
      <c r="H123" s="15" t="s">
        <v>747</v>
      </c>
      <c r="I123" s="15" t="s">
        <v>747</v>
      </c>
      <c r="J123" s="15" t="s">
        <v>30</v>
      </c>
      <c r="K123" s="5"/>
      <c r="L123" s="5" t="s">
        <v>55</v>
      </c>
      <c r="M123" s="15" t="s">
        <v>748</v>
      </c>
      <c r="N123" s="15" t="s">
        <v>705</v>
      </c>
      <c r="O123" s="15" t="s">
        <v>57</v>
      </c>
      <c r="P123" s="15" t="s">
        <v>58</v>
      </c>
      <c r="Q123" s="15" t="s">
        <v>59</v>
      </c>
      <c r="R123" s="15" t="s">
        <v>776</v>
      </c>
      <c r="S123" s="15" t="s">
        <v>514</v>
      </c>
      <c r="U123" s="2">
        <v>46233</v>
      </c>
      <c r="V123" s="15" t="s">
        <v>759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46204</v>
      </c>
      <c r="Y123" s="14">
        <f>+IF(Control[[#This Row],[Fecha de entrega]]="","",NETWORKDAYS(Control[[#This Row],[Fecha Requisición]],Control[[#This Row],[Fecha de entrega]]))</f>
        <v>1</v>
      </c>
      <c r="Z123" s="15"/>
      <c r="AA123" s="13">
        <f>+_xlfn.ISOWEEKNUM(Control[[#This Row],[Fecha Requisición]])</f>
        <v>31</v>
      </c>
    </row>
    <row r="124" spans="1:27" hidden="1">
      <c r="A124" s="15" t="s">
        <v>760</v>
      </c>
      <c r="B124" s="15" t="s">
        <v>761</v>
      </c>
      <c r="C124" s="15" t="s">
        <v>762</v>
      </c>
      <c r="D124" s="15" t="s">
        <v>763</v>
      </c>
      <c r="E124" s="15">
        <v>80</v>
      </c>
      <c r="F124" s="15" t="s">
        <v>764</v>
      </c>
      <c r="G124" s="15" t="s">
        <v>747</v>
      </c>
      <c r="H124" s="15" t="s">
        <v>747</v>
      </c>
      <c r="I124" s="15" t="s">
        <v>747</v>
      </c>
      <c r="J124" s="15" t="s">
        <v>39</v>
      </c>
      <c r="K124" s="5"/>
      <c r="L124" s="5" t="s">
        <v>31</v>
      </c>
      <c r="M124" s="15" t="s">
        <v>74</v>
      </c>
      <c r="N124" s="15" t="s">
        <v>765</v>
      </c>
      <c r="O124" s="15" t="s">
        <v>57</v>
      </c>
      <c r="P124" s="15" t="s">
        <v>35</v>
      </c>
      <c r="Q124" s="15" t="s">
        <v>36</v>
      </c>
      <c r="R124" s="15" t="s">
        <v>766</v>
      </c>
      <c r="S124" s="15" t="s">
        <v>514</v>
      </c>
      <c r="T124" s="2">
        <v>46236</v>
      </c>
      <c r="U124" s="2">
        <v>46235</v>
      </c>
      <c r="V124" s="15" t="s">
        <v>642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46204</v>
      </c>
      <c r="Y124" s="14">
        <f>+IF(Control[[#This Row],[Fecha de entrega]]="","",NETWORKDAYS(Control[[#This Row],[Fecha Requisición]],Control[[#This Row],[Fecha de entrega]]))</f>
        <v>2</v>
      </c>
      <c r="Z124" s="15"/>
      <c r="AA124" s="13">
        <f>+_xlfn.ISOWEEKNUM(Control[[#This Row],[Fecha Requisición]])</f>
        <v>31</v>
      </c>
    </row>
    <row r="125" spans="1:27" hidden="1">
      <c r="A125" s="15" t="s">
        <v>767</v>
      </c>
      <c r="B125" s="15" t="s">
        <v>768</v>
      </c>
      <c r="C125" s="15" t="s">
        <v>769</v>
      </c>
      <c r="D125" s="15" t="s">
        <v>873</v>
      </c>
      <c r="E125" s="15">
        <v>81</v>
      </c>
      <c r="F125" s="15" t="s">
        <v>770</v>
      </c>
      <c r="G125" s="15" t="s">
        <v>771</v>
      </c>
      <c r="H125" s="15" t="s">
        <v>771</v>
      </c>
      <c r="I125" s="15" t="s">
        <v>771</v>
      </c>
      <c r="J125" s="15" t="s">
        <v>39</v>
      </c>
      <c r="K125" s="5"/>
      <c r="L125" s="5" t="s">
        <v>31</v>
      </c>
      <c r="M125" s="15" t="s">
        <v>74</v>
      </c>
      <c r="N125" s="15" t="s">
        <v>435</v>
      </c>
      <c r="O125" s="15"/>
      <c r="P125" s="15" t="s">
        <v>57</v>
      </c>
      <c r="Q125" s="15"/>
      <c r="R125" s="15" t="s">
        <v>874</v>
      </c>
      <c r="S125" s="15" t="s">
        <v>514</v>
      </c>
      <c r="U125" s="2">
        <v>46248</v>
      </c>
      <c r="V125" s="15" t="s">
        <v>642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46204</v>
      </c>
      <c r="Y125" s="14">
        <f>+IF(Control[[#This Row],[Fecha de entrega]]="","",NETWORKDAYS(Control[[#This Row],[Fecha Requisición]],Control[[#This Row],[Fecha de entrega]]))</f>
        <v>11</v>
      </c>
      <c r="Z125" s="15"/>
      <c r="AA125" s="13">
        <f>+_xlfn.ISOWEEKNUM(Control[[#This Row],[Fecha Requisición]])</f>
        <v>31</v>
      </c>
    </row>
    <row r="126" spans="1:27" hidden="1">
      <c r="A126" s="15" t="s">
        <v>767</v>
      </c>
      <c r="B126" s="15" t="s">
        <v>768</v>
      </c>
      <c r="C126" s="15" t="s">
        <v>769</v>
      </c>
      <c r="D126" s="15" t="s">
        <v>873</v>
      </c>
      <c r="E126" s="15">
        <v>81</v>
      </c>
      <c r="F126" s="15" t="s">
        <v>770</v>
      </c>
      <c r="G126" s="15" t="s">
        <v>771</v>
      </c>
      <c r="H126" s="15" t="s">
        <v>771</v>
      </c>
      <c r="I126" s="15" t="s">
        <v>771</v>
      </c>
      <c r="J126" s="15" t="s">
        <v>39</v>
      </c>
      <c r="K126" s="5"/>
      <c r="L126" s="5" t="s">
        <v>31</v>
      </c>
      <c r="M126" s="15" t="s">
        <v>74</v>
      </c>
      <c r="N126" s="15" t="s">
        <v>435</v>
      </c>
      <c r="O126" s="15"/>
      <c r="P126" s="15" t="s">
        <v>35</v>
      </c>
      <c r="Q126" s="15" t="s">
        <v>59</v>
      </c>
      <c r="R126" s="15" t="s">
        <v>874</v>
      </c>
      <c r="S126" s="15" t="s">
        <v>514</v>
      </c>
      <c r="U126" s="2">
        <v>46248</v>
      </c>
      <c r="V126" s="15" t="s">
        <v>642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46204</v>
      </c>
      <c r="Y126" s="14">
        <f>+IF(Control[[#This Row],[Fecha de entrega]]="","",NETWORKDAYS(Control[[#This Row],[Fecha Requisición]],Control[[#This Row],[Fecha de entrega]]))</f>
        <v>11</v>
      </c>
      <c r="Z126" s="15"/>
      <c r="AA126" s="13">
        <f>+_xlfn.ISOWEEKNUM(Control[[#This Row],[Fecha Requisición]])</f>
        <v>31</v>
      </c>
    </row>
    <row r="127" spans="1:27" hidden="1">
      <c r="A127" s="15" t="s">
        <v>781</v>
      </c>
      <c r="B127" s="15" t="s">
        <v>782</v>
      </c>
      <c r="C127" s="15" t="s">
        <v>834</v>
      </c>
      <c r="D127" s="15" t="s">
        <v>914</v>
      </c>
      <c r="E127" s="15">
        <v>83</v>
      </c>
      <c r="F127" s="15" t="s">
        <v>783</v>
      </c>
      <c r="G127" s="15" t="s">
        <v>784</v>
      </c>
      <c r="H127" s="15" t="s">
        <v>784</v>
      </c>
      <c r="I127" s="15" t="s">
        <v>784</v>
      </c>
      <c r="J127" s="15" t="s">
        <v>30</v>
      </c>
      <c r="K127" s="5"/>
      <c r="L127" s="5" t="s">
        <v>31</v>
      </c>
      <c r="M127" s="15" t="s">
        <v>915</v>
      </c>
      <c r="N127" s="15" t="s">
        <v>196</v>
      </c>
      <c r="O127" s="15" t="s">
        <v>197</v>
      </c>
      <c r="P127" s="15" t="s">
        <v>58</v>
      </c>
      <c r="Q127" s="15" t="s">
        <v>36</v>
      </c>
      <c r="R127" s="15" t="s">
        <v>916</v>
      </c>
      <c r="S127" s="15" t="s">
        <v>514</v>
      </c>
      <c r="U127" s="2">
        <v>46246</v>
      </c>
      <c r="V127" s="15" t="s">
        <v>952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8</v>
      </c>
      <c r="Z127" s="15"/>
      <c r="AA127" s="13">
        <f>+_xlfn.ISOWEEKNUM(Control[[#This Row],[Fecha Requisición]])</f>
        <v>32</v>
      </c>
    </row>
    <row r="128" spans="1:27" hidden="1">
      <c r="A128" s="15" t="s">
        <v>785</v>
      </c>
      <c r="B128" s="15" t="s">
        <v>786</v>
      </c>
      <c r="C128" s="15" t="s">
        <v>835</v>
      </c>
      <c r="D128" s="15" t="s">
        <v>917</v>
      </c>
      <c r="E128" s="15">
        <v>84</v>
      </c>
      <c r="F128" s="15" t="s">
        <v>787</v>
      </c>
      <c r="G128" s="15" t="s">
        <v>784</v>
      </c>
      <c r="H128" s="15" t="s">
        <v>784</v>
      </c>
      <c r="I128" s="15" t="s">
        <v>784</v>
      </c>
      <c r="J128" s="15" t="s">
        <v>30</v>
      </c>
      <c r="K128" s="5"/>
      <c r="L128" s="5" t="s">
        <v>31</v>
      </c>
      <c r="M128" s="15" t="s">
        <v>915</v>
      </c>
      <c r="N128" s="15" t="s">
        <v>196</v>
      </c>
      <c r="O128" s="15" t="s">
        <v>197</v>
      </c>
      <c r="P128" s="15" t="s">
        <v>124</v>
      </c>
      <c r="Q128" s="15" t="s">
        <v>36</v>
      </c>
      <c r="R128" s="15" t="s">
        <v>918</v>
      </c>
      <c r="S128" s="15" t="s">
        <v>514</v>
      </c>
      <c r="U128" s="2">
        <v>46246</v>
      </c>
      <c r="V128" s="15" t="s">
        <v>952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8</v>
      </c>
      <c r="Z128" s="15"/>
      <c r="AA128" s="13">
        <f>+_xlfn.ISOWEEKNUM(Control[[#This Row],[Fecha Requisición]])</f>
        <v>32</v>
      </c>
    </row>
    <row r="129" spans="1:27" hidden="1">
      <c r="A129" s="15" t="s">
        <v>788</v>
      </c>
      <c r="B129" s="15" t="s">
        <v>789</v>
      </c>
      <c r="C129" s="15" t="s">
        <v>836</v>
      </c>
      <c r="D129" s="15" t="s">
        <v>919</v>
      </c>
      <c r="E129" s="15">
        <v>85</v>
      </c>
      <c r="F129" s="15" t="s">
        <v>790</v>
      </c>
      <c r="G129" s="15" t="s">
        <v>784</v>
      </c>
      <c r="H129" s="15" t="s">
        <v>784</v>
      </c>
      <c r="I129" s="15" t="s">
        <v>784</v>
      </c>
      <c r="J129" s="15" t="s">
        <v>30</v>
      </c>
      <c r="K129" s="5"/>
      <c r="L129" s="5" t="s">
        <v>31</v>
      </c>
      <c r="M129" s="15" t="s">
        <v>915</v>
      </c>
      <c r="N129" s="15" t="s">
        <v>196</v>
      </c>
      <c r="O129" s="15" t="s">
        <v>197</v>
      </c>
      <c r="P129" s="15" t="s">
        <v>273</v>
      </c>
      <c r="Q129" s="15" t="s">
        <v>36</v>
      </c>
      <c r="R129" s="15" t="s">
        <v>920</v>
      </c>
      <c r="S129" s="15" t="s">
        <v>514</v>
      </c>
      <c r="U129" s="2">
        <v>46246</v>
      </c>
      <c r="V129" s="15" t="s">
        <v>952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8</v>
      </c>
      <c r="Z129" s="15"/>
      <c r="AA129" s="13">
        <f>+_xlfn.ISOWEEKNUM(Control[[#This Row],[Fecha Requisición]])</f>
        <v>32</v>
      </c>
    </row>
    <row r="130" spans="1:27" hidden="1">
      <c r="A130" s="15" t="s">
        <v>791</v>
      </c>
      <c r="B130" s="15" t="s">
        <v>792</v>
      </c>
      <c r="C130" s="15" t="s">
        <v>837</v>
      </c>
      <c r="D130" s="15" t="s">
        <v>921</v>
      </c>
      <c r="E130" s="15">
        <v>86</v>
      </c>
      <c r="F130" s="15" t="s">
        <v>793</v>
      </c>
      <c r="G130" s="15" t="s">
        <v>784</v>
      </c>
      <c r="H130" s="15" t="s">
        <v>784</v>
      </c>
      <c r="I130" s="15" t="s">
        <v>784</v>
      </c>
      <c r="J130" s="15" t="s">
        <v>30</v>
      </c>
      <c r="K130" s="5"/>
      <c r="L130" s="5" t="s">
        <v>31</v>
      </c>
      <c r="M130" s="15" t="s">
        <v>915</v>
      </c>
      <c r="N130" s="15" t="s">
        <v>196</v>
      </c>
      <c r="O130" s="15" t="s">
        <v>197</v>
      </c>
      <c r="P130" s="15" t="s">
        <v>75</v>
      </c>
      <c r="Q130" s="15" t="s">
        <v>36</v>
      </c>
      <c r="R130" s="15" t="s">
        <v>922</v>
      </c>
      <c r="S130" s="15" t="s">
        <v>514</v>
      </c>
      <c r="U130" s="2">
        <v>46246</v>
      </c>
      <c r="V130" s="15" t="s">
        <v>952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8</v>
      </c>
      <c r="Z130" s="15"/>
      <c r="AA130" s="13">
        <f>+_xlfn.ISOWEEKNUM(Control[[#This Row],[Fecha Requisición]])</f>
        <v>32</v>
      </c>
    </row>
    <row r="131" spans="1:27" hidden="1">
      <c r="A131" s="15" t="s">
        <v>794</v>
      </c>
      <c r="B131" s="15" t="s">
        <v>795</v>
      </c>
      <c r="C131" s="15" t="s">
        <v>838</v>
      </c>
      <c r="D131" s="15" t="s">
        <v>1089</v>
      </c>
      <c r="E131" s="15">
        <v>87</v>
      </c>
      <c r="F131" s="15" t="s">
        <v>796</v>
      </c>
      <c r="G131" s="15" t="s">
        <v>784</v>
      </c>
      <c r="H131" s="15" t="s">
        <v>784</v>
      </c>
      <c r="I131" s="15" t="s">
        <v>784</v>
      </c>
      <c r="J131" s="15" t="s">
        <v>30</v>
      </c>
      <c r="K131" s="5"/>
      <c r="L131" s="5" t="s">
        <v>31</v>
      </c>
      <c r="M131" s="15" t="s">
        <v>1090</v>
      </c>
      <c r="N131" s="15" t="s">
        <v>196</v>
      </c>
      <c r="O131" s="15" t="s">
        <v>34</v>
      </c>
      <c r="P131" s="15" t="s">
        <v>797</v>
      </c>
      <c r="Q131" s="15" t="s">
        <v>36</v>
      </c>
      <c r="R131" s="15" t="s">
        <v>1091</v>
      </c>
      <c r="S131" s="15" t="s">
        <v>514</v>
      </c>
      <c r="V131" s="15" t="s">
        <v>1183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1" s="9">
        <f>+DATE(YEAR(Control[[#This Row],[Fecha Requisición]]),MONTH(Control[[#This Row],[Fecha Requisición]]),1)</f>
        <v>46235</v>
      </c>
      <c r="Y131" s="14" t="str">
        <f>+IF(Control[[#This Row],[Fecha de entrega]]="","",NETWORKDAYS(Control[[#This Row],[Fecha Requisición]],Control[[#This Row],[Fecha de entrega]]))</f>
        <v/>
      </c>
      <c r="Z131" s="15"/>
      <c r="AA131" s="13">
        <f>+_xlfn.ISOWEEKNUM(Control[[#This Row],[Fecha Requisición]])</f>
        <v>32</v>
      </c>
    </row>
    <row r="132" spans="1:27" hidden="1">
      <c r="A132" s="15" t="s">
        <v>794</v>
      </c>
      <c r="B132" s="15" t="s">
        <v>795</v>
      </c>
      <c r="C132" s="15" t="s">
        <v>838</v>
      </c>
      <c r="D132" s="15" t="s">
        <v>1092</v>
      </c>
      <c r="E132" s="15">
        <v>87</v>
      </c>
      <c r="F132" s="15" t="s">
        <v>796</v>
      </c>
      <c r="G132" s="15" t="s">
        <v>784</v>
      </c>
      <c r="H132" s="15" t="s">
        <v>784</v>
      </c>
      <c r="I132" s="15" t="s">
        <v>784</v>
      </c>
      <c r="J132" s="15" t="s">
        <v>39</v>
      </c>
      <c r="K132" s="5"/>
      <c r="L132" s="5" t="s">
        <v>31</v>
      </c>
      <c r="M132" s="15" t="s">
        <v>933</v>
      </c>
      <c r="N132" s="15" t="s">
        <v>196</v>
      </c>
      <c r="O132" s="15" t="s">
        <v>34</v>
      </c>
      <c r="P132" s="15" t="s">
        <v>797</v>
      </c>
      <c r="Q132" s="15" t="s">
        <v>36</v>
      </c>
      <c r="R132" s="15" t="s">
        <v>1093</v>
      </c>
      <c r="S132" s="15" t="s">
        <v>514</v>
      </c>
      <c r="V132" s="15" t="s">
        <v>1183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2" s="9">
        <f>+DATE(YEAR(Control[[#This Row],[Fecha Requisición]]),MONTH(Control[[#This Row],[Fecha Requisición]]),1)</f>
        <v>46235</v>
      </c>
      <c r="Y132" s="14" t="str">
        <f>+IF(Control[[#This Row],[Fecha de entrega]]="","",NETWORKDAYS(Control[[#This Row],[Fecha Requisición]],Control[[#This Row],[Fecha de entrega]]))</f>
        <v/>
      </c>
      <c r="Z132" s="15"/>
      <c r="AA132" s="13">
        <f>+_xlfn.ISOWEEKNUM(Control[[#This Row],[Fecha Requisición]])</f>
        <v>32</v>
      </c>
    </row>
    <row r="133" spans="1:27" hidden="1">
      <c r="A133" s="15" t="s">
        <v>798</v>
      </c>
      <c r="B133" s="15" t="s">
        <v>799</v>
      </c>
      <c r="C133" s="15" t="s">
        <v>839</v>
      </c>
      <c r="D133" s="15" t="s">
        <v>1094</v>
      </c>
      <c r="E133" s="15">
        <v>88</v>
      </c>
      <c r="F133" s="15" t="s">
        <v>800</v>
      </c>
      <c r="G133" s="15" t="s">
        <v>784</v>
      </c>
      <c r="H133" s="15" t="s">
        <v>784</v>
      </c>
      <c r="I133" s="15" t="s">
        <v>784</v>
      </c>
      <c r="J133" s="15" t="s">
        <v>39</v>
      </c>
      <c r="K133" s="5"/>
      <c r="L133" s="5" t="s">
        <v>31</v>
      </c>
      <c r="M133" s="15" t="s">
        <v>930</v>
      </c>
      <c r="N133" s="15" t="s">
        <v>196</v>
      </c>
      <c r="O133" s="15" t="s">
        <v>197</v>
      </c>
      <c r="P133" s="15" t="s">
        <v>463</v>
      </c>
      <c r="Q133" s="15" t="s">
        <v>36</v>
      </c>
      <c r="R133" s="15" t="s">
        <v>1095</v>
      </c>
      <c r="S133" s="15" t="s">
        <v>514</v>
      </c>
      <c r="T133" s="2">
        <v>46260</v>
      </c>
      <c r="U133" s="2">
        <v>46270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25</v>
      </c>
      <c r="Z133" s="15"/>
      <c r="AA133" s="13">
        <f>+_xlfn.ISOWEEKNUM(Control[[#This Row],[Fecha Requisición]])</f>
        <v>32</v>
      </c>
    </row>
    <row r="134" spans="1:27" hidden="1">
      <c r="A134" s="15" t="s">
        <v>801</v>
      </c>
      <c r="B134" s="15" t="s">
        <v>802</v>
      </c>
      <c r="C134" s="15" t="s">
        <v>820</v>
      </c>
      <c r="D134" s="15" t="s">
        <v>821</v>
      </c>
      <c r="E134" s="15">
        <v>89</v>
      </c>
      <c r="F134" s="15" t="s">
        <v>803</v>
      </c>
      <c r="G134" s="15" t="s">
        <v>784</v>
      </c>
      <c r="H134" s="15" t="s">
        <v>784</v>
      </c>
      <c r="I134" s="15" t="s">
        <v>784</v>
      </c>
      <c r="J134" s="15" t="s">
        <v>39</v>
      </c>
      <c r="K134" s="5">
        <v>299800</v>
      </c>
      <c r="L134" s="5" t="s">
        <v>55</v>
      </c>
      <c r="M134" s="15" t="s">
        <v>822</v>
      </c>
      <c r="N134" s="15" t="s">
        <v>383</v>
      </c>
      <c r="O134" s="15" t="s">
        <v>384</v>
      </c>
      <c r="P134" s="15" t="s">
        <v>58</v>
      </c>
      <c r="Q134" s="15" t="s">
        <v>36</v>
      </c>
      <c r="R134" s="15" t="s">
        <v>823</v>
      </c>
      <c r="S134" s="15" t="s">
        <v>514</v>
      </c>
      <c r="T134" s="2">
        <v>46237</v>
      </c>
      <c r="U134" s="2">
        <v>46238</v>
      </c>
      <c r="V134" s="15" t="s">
        <v>774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2</v>
      </c>
      <c r="Z134" s="15"/>
      <c r="AA134" s="13">
        <f>+_xlfn.ISOWEEKNUM(Control[[#This Row],[Fecha Requisición]])</f>
        <v>32</v>
      </c>
    </row>
    <row r="135" spans="1:27" hidden="1">
      <c r="A135" s="15" t="s">
        <v>811</v>
      </c>
      <c r="B135" s="15" t="s">
        <v>812</v>
      </c>
      <c r="C135" s="15" t="s">
        <v>840</v>
      </c>
      <c r="D135" s="15" t="s">
        <v>845</v>
      </c>
      <c r="E135" s="15">
        <v>92</v>
      </c>
      <c r="F135" s="15" t="s">
        <v>813</v>
      </c>
      <c r="G135" s="15" t="s">
        <v>784</v>
      </c>
      <c r="H135" s="15" t="s">
        <v>784</v>
      </c>
      <c r="I135" s="15" t="s">
        <v>784</v>
      </c>
      <c r="J135" s="15" t="s">
        <v>39</v>
      </c>
      <c r="K135" s="5"/>
      <c r="L135" s="5" t="s">
        <v>31</v>
      </c>
      <c r="M135" s="15" t="s">
        <v>121</v>
      </c>
      <c r="N135" s="15" t="s">
        <v>765</v>
      </c>
      <c r="O135" s="15" t="s">
        <v>57</v>
      </c>
      <c r="P135" s="15" t="s">
        <v>35</v>
      </c>
      <c r="Q135" s="15" t="s">
        <v>94</v>
      </c>
      <c r="R135" s="15" t="s">
        <v>846</v>
      </c>
      <c r="S135" s="15" t="s">
        <v>514</v>
      </c>
      <c r="U135" s="2">
        <v>46246</v>
      </c>
      <c r="V135" s="15" t="s">
        <v>774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4">
        <f>+IF(Control[[#This Row],[Fecha de entrega]]="","",NETWORKDAYS(Control[[#This Row],[Fecha Requisición]],Control[[#This Row],[Fecha de entrega]]))</f>
        <v>8</v>
      </c>
      <c r="Z135" s="15"/>
      <c r="AA135" s="13">
        <f>+_xlfn.ISOWEEKNUM(Control[[#This Row],[Fecha Requisición]])</f>
        <v>32</v>
      </c>
    </row>
    <row r="136" spans="1:27" hidden="1">
      <c r="A136" s="15" t="s">
        <v>811</v>
      </c>
      <c r="B136" s="15" t="s">
        <v>812</v>
      </c>
      <c r="C136" s="15" t="s">
        <v>840</v>
      </c>
      <c r="D136" s="15" t="s">
        <v>847</v>
      </c>
      <c r="E136" s="15">
        <v>92</v>
      </c>
      <c r="F136" s="15" t="s">
        <v>813</v>
      </c>
      <c r="G136" s="15" t="s">
        <v>784</v>
      </c>
      <c r="H136" s="15" t="s">
        <v>784</v>
      </c>
      <c r="I136" s="15" t="s">
        <v>784</v>
      </c>
      <c r="J136" s="15" t="s">
        <v>30</v>
      </c>
      <c r="K136" s="5"/>
      <c r="L136" s="5" t="s">
        <v>31</v>
      </c>
      <c r="M136" s="15" t="s">
        <v>243</v>
      </c>
      <c r="N136" s="15" t="s">
        <v>765</v>
      </c>
      <c r="O136" s="15" t="s">
        <v>57</v>
      </c>
      <c r="P136" s="15" t="s">
        <v>35</v>
      </c>
      <c r="Q136" s="15" t="s">
        <v>94</v>
      </c>
      <c r="R136" s="15" t="s">
        <v>848</v>
      </c>
      <c r="S136" s="15" t="s">
        <v>514</v>
      </c>
      <c r="U136" s="2">
        <v>46246</v>
      </c>
      <c r="V136" s="15" t="s">
        <v>774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8</v>
      </c>
      <c r="Z136" s="15"/>
      <c r="AA136" s="13">
        <f>+_xlfn.ISOWEEKNUM(Control[[#This Row],[Fecha Requisición]])</f>
        <v>32</v>
      </c>
    </row>
    <row r="137" spans="1:27" hidden="1">
      <c r="A137" s="15" t="s">
        <v>824</v>
      </c>
      <c r="B137" s="15" t="s">
        <v>825</v>
      </c>
      <c r="C137" s="15" t="s">
        <v>826</v>
      </c>
      <c r="D137" s="15" t="s">
        <v>827</v>
      </c>
      <c r="E137" s="15">
        <v>94</v>
      </c>
      <c r="F137" s="15" t="s">
        <v>828</v>
      </c>
      <c r="G137" s="15" t="s">
        <v>829</v>
      </c>
      <c r="H137" s="15" t="s">
        <v>829</v>
      </c>
      <c r="I137" s="15" t="s">
        <v>829</v>
      </c>
      <c r="J137" s="15" t="s">
        <v>39</v>
      </c>
      <c r="K137" s="5"/>
      <c r="L137" s="5" t="s">
        <v>31</v>
      </c>
      <c r="M137" s="15" t="s">
        <v>830</v>
      </c>
      <c r="N137" s="15" t="s">
        <v>831</v>
      </c>
      <c r="O137" s="15" t="s">
        <v>57</v>
      </c>
      <c r="P137" s="15" t="s">
        <v>35</v>
      </c>
      <c r="Q137" s="15" t="s">
        <v>59</v>
      </c>
      <c r="R137" s="15" t="s">
        <v>832</v>
      </c>
      <c r="S137" s="15" t="s">
        <v>514</v>
      </c>
      <c r="U137" s="2">
        <v>46238</v>
      </c>
      <c r="V137" s="15" t="s">
        <v>773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46569</v>
      </c>
      <c r="Y137" s="14">
        <f>+IF(Control[[#This Row],[Fecha de entrega]]="","",NETWORKDAYS(Control[[#This Row],[Fecha Requisición]],Control[[#This Row],[Fecha de entrega]]))</f>
        <v>-259</v>
      </c>
      <c r="Z137" s="15"/>
      <c r="AA137" s="13">
        <f>+_xlfn.ISOWEEKNUM(Control[[#This Row],[Fecha Requisición]])</f>
        <v>30</v>
      </c>
    </row>
    <row r="138" spans="1:27" hidden="1">
      <c r="A138" s="15" t="s">
        <v>842</v>
      </c>
      <c r="B138" s="15" t="s">
        <v>843</v>
      </c>
      <c r="C138" s="15" t="s">
        <v>849</v>
      </c>
      <c r="D138" s="15" t="s">
        <v>875</v>
      </c>
      <c r="E138" s="15">
        <v>95</v>
      </c>
      <c r="F138" s="15" t="s">
        <v>844</v>
      </c>
      <c r="G138" s="15" t="s">
        <v>784</v>
      </c>
      <c r="H138" s="15" t="s">
        <v>784</v>
      </c>
      <c r="I138" s="15" t="s">
        <v>784</v>
      </c>
      <c r="J138" s="15" t="s">
        <v>39</v>
      </c>
      <c r="K138" s="5">
        <v>135898</v>
      </c>
      <c r="L138" s="5"/>
      <c r="M138" s="15" t="s">
        <v>121</v>
      </c>
      <c r="N138" s="15"/>
      <c r="O138" s="15"/>
      <c r="P138" s="15"/>
      <c r="Q138" s="15"/>
      <c r="R138" s="15" t="s">
        <v>876</v>
      </c>
      <c r="S138" s="15" t="s">
        <v>514</v>
      </c>
      <c r="T138" s="2">
        <v>46241</v>
      </c>
      <c r="U138" s="2">
        <v>46247</v>
      </c>
      <c r="V138" s="15" t="s">
        <v>953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9</v>
      </c>
      <c r="Z138" s="15"/>
      <c r="AA138" s="13">
        <f>+_xlfn.ISOWEEKNUM(Control[[#This Row],[Fecha Requisición]])</f>
        <v>32</v>
      </c>
    </row>
    <row r="139" spans="1:27" hidden="1">
      <c r="A139" s="15" t="s">
        <v>850</v>
      </c>
      <c r="B139" s="15" t="s">
        <v>851</v>
      </c>
      <c r="C139" s="15" t="s">
        <v>852</v>
      </c>
      <c r="D139" s="15" t="s">
        <v>853</v>
      </c>
      <c r="E139" s="15">
        <v>96</v>
      </c>
      <c r="F139" s="15" t="s">
        <v>854</v>
      </c>
      <c r="G139" s="15" t="s">
        <v>855</v>
      </c>
      <c r="H139" s="15" t="s">
        <v>855</v>
      </c>
      <c r="I139" s="15" t="s">
        <v>855</v>
      </c>
      <c r="J139" s="15" t="s">
        <v>30</v>
      </c>
      <c r="K139" s="5">
        <v>129472</v>
      </c>
      <c r="L139" s="5" t="s">
        <v>55</v>
      </c>
      <c r="M139" s="15" t="s">
        <v>32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856</v>
      </c>
      <c r="S139" s="15" t="s">
        <v>514</v>
      </c>
      <c r="U139" s="2">
        <v>46238</v>
      </c>
      <c r="V139" s="15" t="s">
        <v>872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1</v>
      </c>
      <c r="Z139" s="15"/>
      <c r="AA139" s="13">
        <f>+_xlfn.ISOWEEKNUM(Control[[#This Row],[Fecha Requisición]])</f>
        <v>32</v>
      </c>
    </row>
    <row r="140" spans="1:27" hidden="1">
      <c r="A140" s="15" t="s">
        <v>857</v>
      </c>
      <c r="B140" s="15" t="s">
        <v>858</v>
      </c>
      <c r="C140" s="15" t="s">
        <v>871</v>
      </c>
      <c r="D140" s="15" t="s">
        <v>1096</v>
      </c>
      <c r="E140" s="15">
        <v>97</v>
      </c>
      <c r="F140" s="15" t="s">
        <v>859</v>
      </c>
      <c r="G140" s="15" t="s">
        <v>860</v>
      </c>
      <c r="H140" s="15" t="s">
        <v>860</v>
      </c>
      <c r="I140" s="15" t="s">
        <v>860</v>
      </c>
      <c r="J140" s="15" t="s">
        <v>30</v>
      </c>
      <c r="K140" s="5"/>
      <c r="L140" s="5" t="s">
        <v>31</v>
      </c>
      <c r="M140" s="15" t="s">
        <v>927</v>
      </c>
      <c r="N140" s="15" t="s">
        <v>861</v>
      </c>
      <c r="O140" s="15" t="s">
        <v>197</v>
      </c>
      <c r="P140" s="15" t="s">
        <v>124</v>
      </c>
      <c r="Q140" s="15" t="s">
        <v>59</v>
      </c>
      <c r="R140" s="15" t="s">
        <v>1097</v>
      </c>
      <c r="S140" s="15" t="s">
        <v>514</v>
      </c>
      <c r="V140" s="15" t="s">
        <v>1031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0" s="9">
        <f>+DATE(YEAR(Control[[#This Row],[Fecha Requisición]]),MONTH(Control[[#This Row],[Fecha Requisición]]),1)</f>
        <v>46204</v>
      </c>
      <c r="Y140" s="14" t="str">
        <f>+IF(Control[[#This Row],[Fecha de entrega]]="","",NETWORKDAYS(Control[[#This Row],[Fecha Requisición]],Control[[#This Row],[Fecha de entrega]]))</f>
        <v/>
      </c>
      <c r="Z140" s="15"/>
      <c r="AA140" s="13">
        <f>+_xlfn.ISOWEEKNUM(Control[[#This Row],[Fecha Requisición]])</f>
        <v>27</v>
      </c>
    </row>
    <row r="141" spans="1:27" hidden="1">
      <c r="A141" s="15" t="s">
        <v>857</v>
      </c>
      <c r="B141" s="15" t="s">
        <v>858</v>
      </c>
      <c r="C141" s="15" t="s">
        <v>871</v>
      </c>
      <c r="D141" s="15" t="s">
        <v>1098</v>
      </c>
      <c r="E141" s="15">
        <v>97</v>
      </c>
      <c r="F141" s="15" t="s">
        <v>859</v>
      </c>
      <c r="G141" s="15" t="s">
        <v>860</v>
      </c>
      <c r="H141" s="15" t="s">
        <v>860</v>
      </c>
      <c r="I141" s="15" t="s">
        <v>860</v>
      </c>
      <c r="J141" s="15" t="s">
        <v>30</v>
      </c>
      <c r="K141" s="5"/>
      <c r="L141" s="5" t="s">
        <v>31</v>
      </c>
      <c r="M141" s="15" t="s">
        <v>936</v>
      </c>
      <c r="N141" s="15" t="s">
        <v>861</v>
      </c>
      <c r="O141" s="15" t="s">
        <v>197</v>
      </c>
      <c r="P141" s="15" t="s">
        <v>124</v>
      </c>
      <c r="Q141" s="15" t="s">
        <v>59</v>
      </c>
      <c r="R141" s="15" t="s">
        <v>1099</v>
      </c>
      <c r="S141" s="15" t="s">
        <v>514</v>
      </c>
      <c r="V141" s="15" t="s">
        <v>1031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1" s="9">
        <f>+DATE(YEAR(Control[[#This Row],[Fecha Requisición]]),MONTH(Control[[#This Row],[Fecha Requisición]]),1)</f>
        <v>46204</v>
      </c>
      <c r="Y141" s="14" t="str">
        <f>+IF(Control[[#This Row],[Fecha de entrega]]="","",NETWORKDAYS(Control[[#This Row],[Fecha Requisición]],Control[[#This Row],[Fecha de entrega]]))</f>
        <v/>
      </c>
      <c r="Z141" s="15"/>
      <c r="AA141" s="13">
        <f>+_xlfn.ISOWEEKNUM(Control[[#This Row],[Fecha Requisición]])</f>
        <v>27</v>
      </c>
    </row>
    <row r="142" spans="1:27" hidden="1">
      <c r="A142" s="15" t="s">
        <v>862</v>
      </c>
      <c r="B142" s="15" t="s">
        <v>863</v>
      </c>
      <c r="C142" s="15" t="s">
        <v>877</v>
      </c>
      <c r="D142" s="15" t="s">
        <v>878</v>
      </c>
      <c r="E142" s="15">
        <v>98</v>
      </c>
      <c r="F142" s="15" t="s">
        <v>864</v>
      </c>
      <c r="G142" s="15" t="s">
        <v>865</v>
      </c>
      <c r="H142" s="15" t="s">
        <v>865</v>
      </c>
      <c r="I142" s="15" t="s">
        <v>865</v>
      </c>
      <c r="J142" s="15" t="s">
        <v>39</v>
      </c>
      <c r="K142" s="5"/>
      <c r="L142" s="5" t="s">
        <v>31</v>
      </c>
      <c r="M142" s="15" t="s">
        <v>879</v>
      </c>
      <c r="N142" s="15" t="s">
        <v>219</v>
      </c>
      <c r="O142" s="15" t="s">
        <v>866</v>
      </c>
      <c r="P142" s="15" t="s">
        <v>124</v>
      </c>
      <c r="Q142" s="15" t="s">
        <v>94</v>
      </c>
      <c r="R142" s="15" t="s">
        <v>880</v>
      </c>
      <c r="S142" s="15" t="s">
        <v>514</v>
      </c>
      <c r="T142" s="2">
        <v>46248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10</v>
      </c>
      <c r="Z142" s="15"/>
      <c r="AA142" s="13">
        <f>+_xlfn.ISOWEEKNUM(Control[[#This Row],[Fecha Requisición]])</f>
        <v>32</v>
      </c>
    </row>
    <row r="143" spans="1:27" hidden="1">
      <c r="A143" s="15" t="s">
        <v>867</v>
      </c>
      <c r="B143" s="15" t="s">
        <v>868</v>
      </c>
      <c r="C143" s="15" t="s">
        <v>892</v>
      </c>
      <c r="D143" s="15" t="s">
        <v>923</v>
      </c>
      <c r="E143" s="15">
        <v>99</v>
      </c>
      <c r="F143" s="15" t="s">
        <v>869</v>
      </c>
      <c r="G143" s="15" t="s">
        <v>870</v>
      </c>
      <c r="H143" s="15" t="s">
        <v>870</v>
      </c>
      <c r="I143" s="15" t="s">
        <v>870</v>
      </c>
      <c r="J143" s="15" t="s">
        <v>39</v>
      </c>
      <c r="K143" s="5">
        <v>430820</v>
      </c>
      <c r="L143" s="5" t="s">
        <v>55</v>
      </c>
      <c r="M143" s="15" t="s">
        <v>924</v>
      </c>
      <c r="N143" s="15" t="s">
        <v>204</v>
      </c>
      <c r="O143" s="15" t="s">
        <v>86</v>
      </c>
      <c r="P143" s="15" t="s">
        <v>58</v>
      </c>
      <c r="Q143" s="15" t="s">
        <v>36</v>
      </c>
      <c r="R143" s="15" t="s">
        <v>925</v>
      </c>
      <c r="S143" s="15" t="s">
        <v>514</v>
      </c>
      <c r="T143" s="2">
        <v>46248</v>
      </c>
      <c r="U143" s="2">
        <v>46251</v>
      </c>
      <c r="V143" s="15" t="s">
        <v>1032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6</v>
      </c>
      <c r="Z143" s="15"/>
      <c r="AA143" s="13">
        <f>+_xlfn.ISOWEEKNUM(Control[[#This Row],[Fecha Requisición]])</f>
        <v>32</v>
      </c>
    </row>
    <row r="144" spans="1:27" hidden="1">
      <c r="A144" s="15" t="s">
        <v>867</v>
      </c>
      <c r="B144" s="15" t="s">
        <v>868</v>
      </c>
      <c r="C144" s="15" t="s">
        <v>892</v>
      </c>
      <c r="D144" s="15" t="s">
        <v>926</v>
      </c>
      <c r="E144" s="15">
        <v>99</v>
      </c>
      <c r="F144" s="15" t="s">
        <v>869</v>
      </c>
      <c r="G144" s="15" t="s">
        <v>870</v>
      </c>
      <c r="H144" s="15" t="s">
        <v>870</v>
      </c>
      <c r="I144" s="15" t="s">
        <v>870</v>
      </c>
      <c r="J144" s="15" t="s">
        <v>30</v>
      </c>
      <c r="K144" s="5">
        <v>175893</v>
      </c>
      <c r="L144" s="5" t="s">
        <v>55</v>
      </c>
      <c r="M144" s="15" t="s">
        <v>927</v>
      </c>
      <c r="N144" s="15" t="s">
        <v>204</v>
      </c>
      <c r="O144" s="15" t="s">
        <v>86</v>
      </c>
      <c r="P144" s="15" t="s">
        <v>58</v>
      </c>
      <c r="Q144" s="15" t="s">
        <v>36</v>
      </c>
      <c r="R144" s="15" t="s">
        <v>928</v>
      </c>
      <c r="S144" s="15" t="s">
        <v>514</v>
      </c>
      <c r="T144" s="2">
        <v>46248</v>
      </c>
      <c r="U144" s="2">
        <v>46251</v>
      </c>
      <c r="V144" s="15" t="s">
        <v>1032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6</v>
      </c>
      <c r="Z144" s="15"/>
      <c r="AA144" s="13">
        <f>+_xlfn.ISOWEEKNUM(Control[[#This Row],[Fecha Requisición]])</f>
        <v>32</v>
      </c>
    </row>
    <row r="145" spans="1:27" hidden="1">
      <c r="A145" s="15" t="s">
        <v>867</v>
      </c>
      <c r="B145" s="15" t="s">
        <v>868</v>
      </c>
      <c r="C145" s="15" t="s">
        <v>892</v>
      </c>
      <c r="D145" s="15" t="s">
        <v>929</v>
      </c>
      <c r="E145" s="15">
        <v>99</v>
      </c>
      <c r="F145" s="15" t="s">
        <v>869</v>
      </c>
      <c r="G145" s="15" t="s">
        <v>870</v>
      </c>
      <c r="H145" s="15" t="s">
        <v>870</v>
      </c>
      <c r="I145" s="15" t="s">
        <v>870</v>
      </c>
      <c r="J145" s="15" t="s">
        <v>39</v>
      </c>
      <c r="K145" s="5">
        <v>582990</v>
      </c>
      <c r="L145" s="5" t="s">
        <v>55</v>
      </c>
      <c r="M145" s="15" t="s">
        <v>930</v>
      </c>
      <c r="N145" s="15" t="s">
        <v>204</v>
      </c>
      <c r="O145" s="15" t="s">
        <v>86</v>
      </c>
      <c r="P145" s="15" t="s">
        <v>58</v>
      </c>
      <c r="Q145" s="15" t="s">
        <v>36</v>
      </c>
      <c r="R145" s="15" t="s">
        <v>931</v>
      </c>
      <c r="S145" s="15" t="s">
        <v>514</v>
      </c>
      <c r="T145" s="2">
        <v>46248</v>
      </c>
      <c r="U145" s="2">
        <v>46251</v>
      </c>
      <c r="V145" s="15" t="s">
        <v>1032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6</v>
      </c>
      <c r="Z145" s="15"/>
      <c r="AA145" s="13">
        <f>+_xlfn.ISOWEEKNUM(Control[[#This Row],[Fecha Requisición]])</f>
        <v>32</v>
      </c>
    </row>
    <row r="146" spans="1:27" hidden="1">
      <c r="A146" s="15" t="s">
        <v>867</v>
      </c>
      <c r="B146" s="15" t="s">
        <v>868</v>
      </c>
      <c r="C146" s="15" t="s">
        <v>892</v>
      </c>
      <c r="D146" s="15" t="s">
        <v>932</v>
      </c>
      <c r="E146" s="15">
        <v>99</v>
      </c>
      <c r="F146" s="15" t="s">
        <v>869</v>
      </c>
      <c r="G146" s="15" t="s">
        <v>870</v>
      </c>
      <c r="H146" s="15" t="s">
        <v>870</v>
      </c>
      <c r="I146" s="15" t="s">
        <v>870</v>
      </c>
      <c r="J146" s="15" t="s">
        <v>39</v>
      </c>
      <c r="K146" s="5">
        <v>259391</v>
      </c>
      <c r="L146" s="5" t="s">
        <v>55</v>
      </c>
      <c r="M146" s="15" t="s">
        <v>933</v>
      </c>
      <c r="N146" s="15" t="s">
        <v>204</v>
      </c>
      <c r="O146" s="15" t="s">
        <v>86</v>
      </c>
      <c r="P146" s="15" t="s">
        <v>58</v>
      </c>
      <c r="Q146" s="15" t="s">
        <v>36</v>
      </c>
      <c r="R146" s="15" t="s">
        <v>934</v>
      </c>
      <c r="S146" s="15" t="s">
        <v>514</v>
      </c>
      <c r="T146" s="2">
        <v>46248</v>
      </c>
      <c r="U146" s="2">
        <v>46251</v>
      </c>
      <c r="V146" s="15" t="s">
        <v>1032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6</v>
      </c>
      <c r="Z146" s="15"/>
      <c r="AA146" s="13">
        <f>+_xlfn.ISOWEEKNUM(Control[[#This Row],[Fecha Requisición]])</f>
        <v>32</v>
      </c>
    </row>
    <row r="147" spans="1:27" hidden="1">
      <c r="A147" s="15" t="s">
        <v>867</v>
      </c>
      <c r="B147" s="15" t="s">
        <v>868</v>
      </c>
      <c r="C147" s="15" t="s">
        <v>892</v>
      </c>
      <c r="D147" s="15" t="s">
        <v>1235</v>
      </c>
      <c r="E147" s="15">
        <v>99</v>
      </c>
      <c r="F147" s="15" t="s">
        <v>869</v>
      </c>
      <c r="G147" s="15" t="s">
        <v>870</v>
      </c>
      <c r="H147" s="15" t="s">
        <v>870</v>
      </c>
      <c r="I147" s="15" t="s">
        <v>870</v>
      </c>
      <c r="J147" s="15" t="s">
        <v>30</v>
      </c>
      <c r="K147" s="5">
        <v>994840</v>
      </c>
      <c r="L147" s="5" t="s">
        <v>55</v>
      </c>
      <c r="M147" s="15" t="s">
        <v>1090</v>
      </c>
      <c r="N147" s="15" t="s">
        <v>204</v>
      </c>
      <c r="O147" s="15" t="s">
        <v>86</v>
      </c>
      <c r="P147" s="15" t="s">
        <v>58</v>
      </c>
      <c r="Q147" s="15" t="s">
        <v>36</v>
      </c>
      <c r="R147" s="15" t="s">
        <v>1236</v>
      </c>
      <c r="S147" s="15" t="s">
        <v>514</v>
      </c>
      <c r="T147" s="2">
        <v>46248</v>
      </c>
      <c r="U147" s="2">
        <v>46251</v>
      </c>
      <c r="V147" s="15" t="s">
        <v>1032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6</v>
      </c>
      <c r="Z147" s="15"/>
      <c r="AA147" s="13">
        <f>+_xlfn.ISOWEEKNUM(Control[[#This Row],[Fecha Requisición]])</f>
        <v>32</v>
      </c>
    </row>
    <row r="148" spans="1:27" hidden="1">
      <c r="A148" s="15" t="s">
        <v>881</v>
      </c>
      <c r="B148" s="15" t="s">
        <v>882</v>
      </c>
      <c r="C148" s="15" t="s">
        <v>891</v>
      </c>
      <c r="D148" s="15" t="s">
        <v>883</v>
      </c>
      <c r="E148" s="15">
        <v>100</v>
      </c>
      <c r="F148" s="15" t="s">
        <v>884</v>
      </c>
      <c r="G148" s="15" t="s">
        <v>885</v>
      </c>
      <c r="H148" s="15" t="s">
        <v>885</v>
      </c>
      <c r="I148" s="15" t="s">
        <v>885</v>
      </c>
      <c r="J148" s="15" t="s">
        <v>30</v>
      </c>
      <c r="K148" s="5">
        <v>536000</v>
      </c>
      <c r="L148" s="5" t="s">
        <v>55</v>
      </c>
      <c r="M148" s="15" t="s">
        <v>886</v>
      </c>
      <c r="N148" s="15" t="s">
        <v>383</v>
      </c>
      <c r="O148" s="15" t="s">
        <v>384</v>
      </c>
      <c r="P148" s="15" t="s">
        <v>58</v>
      </c>
      <c r="Q148" s="15" t="s">
        <v>36</v>
      </c>
      <c r="R148" s="15" t="s">
        <v>887</v>
      </c>
      <c r="S148" s="15" t="s">
        <v>514</v>
      </c>
      <c r="T148" s="2">
        <v>46248</v>
      </c>
      <c r="U148" s="2">
        <v>46244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32</v>
      </c>
    </row>
    <row r="149" spans="1:27" hidden="1">
      <c r="A149" s="15" t="s">
        <v>888</v>
      </c>
      <c r="B149" s="15" t="s">
        <v>889</v>
      </c>
      <c r="C149" s="15" t="s">
        <v>893</v>
      </c>
      <c r="D149" s="15" t="s">
        <v>935</v>
      </c>
      <c r="E149" s="15">
        <v>101</v>
      </c>
      <c r="F149" s="15" t="s">
        <v>890</v>
      </c>
      <c r="G149" s="15" t="s">
        <v>885</v>
      </c>
      <c r="H149" s="15" t="s">
        <v>885</v>
      </c>
      <c r="I149" s="15" t="s">
        <v>885</v>
      </c>
      <c r="J149" s="15" t="s">
        <v>30</v>
      </c>
      <c r="K149" s="5"/>
      <c r="L149" s="5" t="s">
        <v>31</v>
      </c>
      <c r="M149" s="15" t="s">
        <v>936</v>
      </c>
      <c r="N149" s="15" t="s">
        <v>307</v>
      </c>
      <c r="O149" s="15" t="s">
        <v>86</v>
      </c>
      <c r="P149" s="15" t="s">
        <v>124</v>
      </c>
      <c r="Q149" s="15" t="s">
        <v>36</v>
      </c>
      <c r="R149" s="15" t="s">
        <v>937</v>
      </c>
      <c r="S149" s="15" t="s">
        <v>514</v>
      </c>
      <c r="U149" s="2">
        <v>46247</v>
      </c>
      <c r="V149" s="15" t="s">
        <v>642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6</v>
      </c>
      <c r="Z149" s="15"/>
      <c r="AA149" s="13">
        <f>+_xlfn.ISOWEEKNUM(Control[[#This Row],[Fecha Requisición]])</f>
        <v>32</v>
      </c>
    </row>
    <row r="150" spans="1:27" hidden="1">
      <c r="A150" s="15" t="s">
        <v>894</v>
      </c>
      <c r="B150" s="15" t="s">
        <v>895</v>
      </c>
      <c r="C150" s="15" t="s">
        <v>896</v>
      </c>
      <c r="D150" s="15" t="s">
        <v>956</v>
      </c>
      <c r="E150" s="15">
        <v>102</v>
      </c>
      <c r="F150" s="15" t="s">
        <v>897</v>
      </c>
      <c r="G150" s="15" t="s">
        <v>898</v>
      </c>
      <c r="H150" s="15" t="s">
        <v>898</v>
      </c>
      <c r="I150" s="15" t="s">
        <v>898</v>
      </c>
      <c r="J150" s="15" t="s">
        <v>39</v>
      </c>
      <c r="K150" s="5"/>
      <c r="L150" s="5" t="s">
        <v>31</v>
      </c>
      <c r="M150" s="15" t="s">
        <v>957</v>
      </c>
      <c r="N150" s="15" t="s">
        <v>219</v>
      </c>
      <c r="O150" s="15" t="s">
        <v>866</v>
      </c>
      <c r="P150" s="15"/>
      <c r="Q150" s="15" t="s">
        <v>36</v>
      </c>
      <c r="R150" s="15" t="s">
        <v>958</v>
      </c>
      <c r="S150" s="15" t="s">
        <v>514</v>
      </c>
      <c r="T150" s="2">
        <v>46248</v>
      </c>
      <c r="U150" s="2">
        <v>46248</v>
      </c>
      <c r="V150" s="15" t="s">
        <v>642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6</v>
      </c>
      <c r="Z150" s="15"/>
      <c r="AA150" s="13">
        <f>+_xlfn.ISOWEEKNUM(Control[[#This Row],[Fecha Requisición]])</f>
        <v>32</v>
      </c>
    </row>
    <row r="151" spans="1:27" hidden="1">
      <c r="A151" s="15" t="s">
        <v>899</v>
      </c>
      <c r="B151" s="15" t="s">
        <v>900</v>
      </c>
      <c r="C151" s="15" t="s">
        <v>901</v>
      </c>
      <c r="D151" s="15" t="s">
        <v>959</v>
      </c>
      <c r="E151" s="15">
        <v>103</v>
      </c>
      <c r="F151" s="15" t="s">
        <v>902</v>
      </c>
      <c r="G151" s="15" t="s">
        <v>898</v>
      </c>
      <c r="H151" s="15" t="s">
        <v>898</v>
      </c>
      <c r="I151" s="15" t="s">
        <v>898</v>
      </c>
      <c r="J151" s="15" t="s">
        <v>39</v>
      </c>
      <c r="K151" s="5">
        <v>1662073</v>
      </c>
      <c r="L151" s="5" t="s">
        <v>55</v>
      </c>
      <c r="M151" s="15" t="s">
        <v>960</v>
      </c>
      <c r="N151" s="15" t="s">
        <v>903</v>
      </c>
      <c r="O151" s="15" t="s">
        <v>384</v>
      </c>
      <c r="P151" s="15" t="s">
        <v>58</v>
      </c>
      <c r="Q151" s="15" t="s">
        <v>36</v>
      </c>
      <c r="R151" s="15" t="s">
        <v>961</v>
      </c>
      <c r="S151" s="15" t="s">
        <v>641</v>
      </c>
      <c r="T151" s="2">
        <v>46248</v>
      </c>
      <c r="V151" s="15" t="s">
        <v>1213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1" s="9">
        <f>+DATE(YEAR(Control[[#This Row],[Fecha Requisición]]),MONTH(Control[[#This Row],[Fecha Requisición]]),1)</f>
        <v>46235</v>
      </c>
      <c r="Y151" s="14" t="str">
        <f>+IF(Control[[#This Row],[Fecha de entrega]]="","",NETWORKDAYS(Control[[#This Row],[Fecha Requisición]],Control[[#This Row],[Fecha de entrega]]))</f>
        <v/>
      </c>
      <c r="Z151" s="15"/>
      <c r="AA151" s="13">
        <f>+_xlfn.ISOWEEKNUM(Control[[#This Row],[Fecha Requisición]])</f>
        <v>32</v>
      </c>
    </row>
    <row r="152" spans="1:27" hidden="1">
      <c r="A152" s="15" t="s">
        <v>904</v>
      </c>
      <c r="B152" s="15" t="s">
        <v>905</v>
      </c>
      <c r="C152" s="15" t="s">
        <v>906</v>
      </c>
      <c r="D152" s="15" t="s">
        <v>945</v>
      </c>
      <c r="E152" s="15">
        <v>104</v>
      </c>
      <c r="F152" s="15" t="s">
        <v>907</v>
      </c>
      <c r="G152" s="15" t="s">
        <v>908</v>
      </c>
      <c r="H152" s="15" t="s">
        <v>908</v>
      </c>
      <c r="I152" s="15" t="s">
        <v>908</v>
      </c>
      <c r="J152" s="15" t="s">
        <v>30</v>
      </c>
      <c r="K152" s="5"/>
      <c r="L152" s="5" t="s">
        <v>31</v>
      </c>
      <c r="M152" s="15" t="s">
        <v>936</v>
      </c>
      <c r="N152" s="15" t="s">
        <v>909</v>
      </c>
      <c r="O152" s="15" t="s">
        <v>34</v>
      </c>
      <c r="P152" s="15" t="s">
        <v>273</v>
      </c>
      <c r="Q152" s="15" t="s">
        <v>36</v>
      </c>
      <c r="R152" s="15" t="s">
        <v>946</v>
      </c>
      <c r="S152" s="15" t="s">
        <v>514</v>
      </c>
      <c r="U152" s="2">
        <v>46247</v>
      </c>
      <c r="V152" s="15" t="s">
        <v>642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 hidden="1">
      <c r="A153" s="15" t="s">
        <v>910</v>
      </c>
      <c r="B153" s="15" t="s">
        <v>911</v>
      </c>
      <c r="C153" s="15" t="s">
        <v>912</v>
      </c>
      <c r="D153" s="15" t="s">
        <v>962</v>
      </c>
      <c r="E153" s="15">
        <v>105</v>
      </c>
      <c r="F153" s="15" t="s">
        <v>913</v>
      </c>
      <c r="G153" s="15" t="s">
        <v>908</v>
      </c>
      <c r="H153" s="15" t="s">
        <v>908</v>
      </c>
      <c r="I153" s="15" t="s">
        <v>908</v>
      </c>
      <c r="J153" s="15" t="s">
        <v>39</v>
      </c>
      <c r="K153" s="5">
        <v>353930</v>
      </c>
      <c r="L153" s="5" t="s">
        <v>55</v>
      </c>
      <c r="M153" s="15" t="s">
        <v>963</v>
      </c>
      <c r="N153" s="15" t="s">
        <v>903</v>
      </c>
      <c r="O153" s="15" t="s">
        <v>384</v>
      </c>
      <c r="P153" s="15" t="s">
        <v>58</v>
      </c>
      <c r="Q153" s="15" t="s">
        <v>36</v>
      </c>
      <c r="R153" s="15" t="s">
        <v>964</v>
      </c>
      <c r="S153" s="15" t="s">
        <v>514</v>
      </c>
      <c r="T153" s="2">
        <v>46248</v>
      </c>
      <c r="U153" s="2">
        <v>46252</v>
      </c>
      <c r="V153" s="15" t="s">
        <v>642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6</v>
      </c>
      <c r="Z153" s="15"/>
      <c r="AA153" s="13">
        <f>+_xlfn.ISOWEEKNUM(Control[[#This Row],[Fecha Requisición]])</f>
        <v>33</v>
      </c>
    </row>
    <row r="154" spans="1:27" hidden="1">
      <c r="A154" s="15" t="s">
        <v>938</v>
      </c>
      <c r="B154" s="15" t="s">
        <v>939</v>
      </c>
      <c r="C154" s="15" t="s">
        <v>965</v>
      </c>
      <c r="D154" s="15" t="s">
        <v>1100</v>
      </c>
      <c r="E154" s="15">
        <v>106</v>
      </c>
      <c r="F154" s="15" t="s">
        <v>940</v>
      </c>
      <c r="G154" s="15" t="s">
        <v>941</v>
      </c>
      <c r="H154" s="15" t="s">
        <v>941</v>
      </c>
      <c r="I154" s="15" t="s">
        <v>941</v>
      </c>
      <c r="J154" s="15" t="s">
        <v>39</v>
      </c>
      <c r="K154" s="5"/>
      <c r="L154" s="5" t="s">
        <v>31</v>
      </c>
      <c r="M154" s="15" t="s">
        <v>1101</v>
      </c>
      <c r="N154" s="15" t="s">
        <v>204</v>
      </c>
      <c r="O154" s="15" t="s">
        <v>57</v>
      </c>
      <c r="P154" s="15" t="s">
        <v>58</v>
      </c>
      <c r="Q154" s="15" t="s">
        <v>36</v>
      </c>
      <c r="R154" s="15" t="s">
        <v>1102</v>
      </c>
      <c r="S154" s="15" t="s">
        <v>514</v>
      </c>
      <c r="U154" s="2">
        <v>46252</v>
      </c>
      <c r="V154" s="15" t="s">
        <v>642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5</v>
      </c>
      <c r="Z154" s="15"/>
      <c r="AA154" s="13">
        <f>+_xlfn.ISOWEEKNUM(Control[[#This Row],[Fecha Requisición]])</f>
        <v>33</v>
      </c>
    </row>
    <row r="155" spans="1:27" hidden="1">
      <c r="A155" s="15" t="s">
        <v>938</v>
      </c>
      <c r="B155" s="15" t="s">
        <v>939</v>
      </c>
      <c r="C155" s="15" t="s">
        <v>965</v>
      </c>
      <c r="D155" s="15" t="s">
        <v>1103</v>
      </c>
      <c r="E155" s="15">
        <v>106</v>
      </c>
      <c r="F155" s="15" t="s">
        <v>940</v>
      </c>
      <c r="G155" s="15" t="s">
        <v>941</v>
      </c>
      <c r="H155" s="15" t="s">
        <v>941</v>
      </c>
      <c r="I155" s="15" t="s">
        <v>941</v>
      </c>
      <c r="J155" s="15" t="s">
        <v>30</v>
      </c>
      <c r="K155" s="5"/>
      <c r="L155" s="5" t="s">
        <v>31</v>
      </c>
      <c r="M155" s="15" t="s">
        <v>1104</v>
      </c>
      <c r="N155" s="15" t="s">
        <v>204</v>
      </c>
      <c r="O155" s="15" t="s">
        <v>57</v>
      </c>
      <c r="P155" s="15" t="s">
        <v>58</v>
      </c>
      <c r="Q155" s="15" t="s">
        <v>36</v>
      </c>
      <c r="R155" s="15" t="s">
        <v>1105</v>
      </c>
      <c r="S155" s="15" t="s">
        <v>514</v>
      </c>
      <c r="U155" s="2">
        <v>46252</v>
      </c>
      <c r="V155" s="15" t="s">
        <v>642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5</v>
      </c>
      <c r="Z155" s="15"/>
      <c r="AA155" s="13">
        <f>+_xlfn.ISOWEEKNUM(Control[[#This Row],[Fecha Requisición]])</f>
        <v>33</v>
      </c>
    </row>
    <row r="156" spans="1:27" hidden="1">
      <c r="A156" s="15" t="s">
        <v>938</v>
      </c>
      <c r="B156" s="15" t="s">
        <v>939</v>
      </c>
      <c r="C156" s="15" t="s">
        <v>965</v>
      </c>
      <c r="D156" s="15" t="s">
        <v>1106</v>
      </c>
      <c r="E156" s="15">
        <v>106</v>
      </c>
      <c r="F156" s="15" t="s">
        <v>940</v>
      </c>
      <c r="G156" s="15" t="s">
        <v>941</v>
      </c>
      <c r="H156" s="15" t="s">
        <v>941</v>
      </c>
      <c r="I156" s="15" t="s">
        <v>941</v>
      </c>
      <c r="J156" s="15" t="s">
        <v>39</v>
      </c>
      <c r="K156" s="5"/>
      <c r="L156" s="5" t="s">
        <v>31</v>
      </c>
      <c r="M156" s="15" t="s">
        <v>924</v>
      </c>
      <c r="N156" s="15" t="s">
        <v>204</v>
      </c>
      <c r="O156" s="15" t="s">
        <v>57</v>
      </c>
      <c r="P156" s="15" t="s">
        <v>58</v>
      </c>
      <c r="Q156" s="15" t="s">
        <v>36</v>
      </c>
      <c r="R156" s="15" t="s">
        <v>1107</v>
      </c>
      <c r="S156" s="15" t="s">
        <v>514</v>
      </c>
      <c r="U156" s="2">
        <v>46252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5</v>
      </c>
      <c r="Z156" s="15"/>
      <c r="AA156" s="13">
        <f>+_xlfn.ISOWEEKNUM(Control[[#This Row],[Fecha Requisición]])</f>
        <v>33</v>
      </c>
    </row>
    <row r="157" spans="1:27" hidden="1">
      <c r="A157" s="15" t="s">
        <v>938</v>
      </c>
      <c r="B157" s="15" t="s">
        <v>939</v>
      </c>
      <c r="C157" s="15" t="s">
        <v>965</v>
      </c>
      <c r="D157" s="15" t="s">
        <v>993</v>
      </c>
      <c r="E157" s="15">
        <v>106</v>
      </c>
      <c r="F157" s="15" t="s">
        <v>940</v>
      </c>
      <c r="G157" s="15" t="s">
        <v>941</v>
      </c>
      <c r="H157" s="15" t="s">
        <v>941</v>
      </c>
      <c r="I157" s="15" t="s">
        <v>941</v>
      </c>
      <c r="J157" s="15" t="s">
        <v>30</v>
      </c>
      <c r="K157" s="5"/>
      <c r="L157" s="5" t="s">
        <v>31</v>
      </c>
      <c r="M157" s="15" t="s">
        <v>927</v>
      </c>
      <c r="N157" s="15" t="s">
        <v>204</v>
      </c>
      <c r="O157" s="15" t="s">
        <v>57</v>
      </c>
      <c r="P157" s="15" t="s">
        <v>58</v>
      </c>
      <c r="Q157" s="15" t="s">
        <v>36</v>
      </c>
      <c r="R157" s="15" t="s">
        <v>994</v>
      </c>
      <c r="S157" s="15" t="s">
        <v>514</v>
      </c>
      <c r="U157" s="2">
        <v>46252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5</v>
      </c>
      <c r="Z157" s="15"/>
      <c r="AA157" s="13">
        <f>+_xlfn.ISOWEEKNUM(Control[[#This Row],[Fecha Requisición]])</f>
        <v>33</v>
      </c>
    </row>
    <row r="158" spans="1:27" hidden="1">
      <c r="A158" s="15" t="s">
        <v>938</v>
      </c>
      <c r="B158" s="15" t="s">
        <v>939</v>
      </c>
      <c r="C158" s="15" t="s">
        <v>965</v>
      </c>
      <c r="D158" s="15" t="s">
        <v>1108</v>
      </c>
      <c r="E158" s="15">
        <v>106</v>
      </c>
      <c r="F158" s="15" t="s">
        <v>940</v>
      </c>
      <c r="G158" s="15" t="s">
        <v>941</v>
      </c>
      <c r="H158" s="15" t="s">
        <v>941</v>
      </c>
      <c r="I158" s="15" t="s">
        <v>941</v>
      </c>
      <c r="J158" s="15" t="s">
        <v>39</v>
      </c>
      <c r="K158" s="5"/>
      <c r="L158" s="5" t="s">
        <v>31</v>
      </c>
      <c r="M158" s="15" t="s">
        <v>930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1109</v>
      </c>
      <c r="S158" s="15" t="s">
        <v>514</v>
      </c>
      <c r="U158" s="2">
        <v>46252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5</v>
      </c>
      <c r="Z158" s="15"/>
      <c r="AA158" s="13">
        <f>+_xlfn.ISOWEEKNUM(Control[[#This Row],[Fecha Requisición]])</f>
        <v>33</v>
      </c>
    </row>
    <row r="159" spans="1:27" hidden="1">
      <c r="A159" s="15" t="s">
        <v>942</v>
      </c>
      <c r="B159" s="15" t="s">
        <v>943</v>
      </c>
      <c r="C159" s="15" t="s">
        <v>966</v>
      </c>
      <c r="D159" s="15" t="s">
        <v>1144</v>
      </c>
      <c r="E159" s="15">
        <v>107</v>
      </c>
      <c r="F159" s="15" t="s">
        <v>944</v>
      </c>
      <c r="G159" s="15" t="s">
        <v>941</v>
      </c>
      <c r="H159" s="15" t="s">
        <v>941</v>
      </c>
      <c r="I159" s="15" t="s">
        <v>941</v>
      </c>
      <c r="J159" s="15" t="s">
        <v>39</v>
      </c>
      <c r="K159" s="5">
        <v>136374</v>
      </c>
      <c r="L159" s="5" t="s">
        <v>55</v>
      </c>
      <c r="M159" s="15" t="s">
        <v>1145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1146</v>
      </c>
      <c r="S159" s="15" t="s">
        <v>514</v>
      </c>
      <c r="U159" s="2">
        <v>46252</v>
      </c>
      <c r="V159" s="15" t="s">
        <v>642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5</v>
      </c>
      <c r="Z159" s="15"/>
      <c r="AA159" s="13">
        <f>+_xlfn.ISOWEEKNUM(Control[[#This Row],[Fecha Requisición]])</f>
        <v>33</v>
      </c>
    </row>
    <row r="160" spans="1:27" hidden="1">
      <c r="A160" s="15" t="s">
        <v>942</v>
      </c>
      <c r="B160" s="15" t="s">
        <v>943</v>
      </c>
      <c r="C160" s="15" t="s">
        <v>966</v>
      </c>
      <c r="D160" s="15" t="s">
        <v>1147</v>
      </c>
      <c r="E160" s="15">
        <v>107</v>
      </c>
      <c r="F160" s="15" t="s">
        <v>944</v>
      </c>
      <c r="G160" s="15" t="s">
        <v>941</v>
      </c>
      <c r="H160" s="15" t="s">
        <v>941</v>
      </c>
      <c r="I160" s="15" t="s">
        <v>941</v>
      </c>
      <c r="J160" s="15" t="s">
        <v>30</v>
      </c>
      <c r="K160" s="5">
        <v>1572094</v>
      </c>
      <c r="L160" s="5" t="s">
        <v>55</v>
      </c>
      <c r="M160" s="15" t="s">
        <v>1090</v>
      </c>
      <c r="N160" s="15" t="s">
        <v>204</v>
      </c>
      <c r="O160" s="15" t="s">
        <v>57</v>
      </c>
      <c r="P160" s="15" t="s">
        <v>58</v>
      </c>
      <c r="Q160" s="15" t="s">
        <v>36</v>
      </c>
      <c r="R160" s="15" t="s">
        <v>1148</v>
      </c>
      <c r="S160" s="15" t="s">
        <v>514</v>
      </c>
      <c r="U160" s="2">
        <v>46252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5</v>
      </c>
      <c r="Z160" s="15"/>
      <c r="AA160" s="13">
        <f>+_xlfn.ISOWEEKNUM(Control[[#This Row],[Fecha Requisición]])</f>
        <v>33</v>
      </c>
    </row>
    <row r="161" spans="1:27" hidden="1">
      <c r="A161" s="15" t="s">
        <v>942</v>
      </c>
      <c r="B161" s="15" t="s">
        <v>943</v>
      </c>
      <c r="C161" s="15" t="s">
        <v>966</v>
      </c>
      <c r="D161" s="15" t="s">
        <v>1149</v>
      </c>
      <c r="E161" s="15">
        <v>107</v>
      </c>
      <c r="F161" s="15" t="s">
        <v>944</v>
      </c>
      <c r="G161" s="15" t="s">
        <v>941</v>
      </c>
      <c r="H161" s="15" t="s">
        <v>941</v>
      </c>
      <c r="I161" s="15" t="s">
        <v>941</v>
      </c>
      <c r="J161" s="15" t="s">
        <v>39</v>
      </c>
      <c r="K161" s="5">
        <v>80325</v>
      </c>
      <c r="L161" s="5" t="s">
        <v>55</v>
      </c>
      <c r="M161" s="15" t="s">
        <v>924</v>
      </c>
      <c r="N161" s="15" t="s">
        <v>204</v>
      </c>
      <c r="O161" s="15" t="s">
        <v>57</v>
      </c>
      <c r="P161" s="15" t="s">
        <v>58</v>
      </c>
      <c r="Q161" s="15" t="s">
        <v>36</v>
      </c>
      <c r="R161" s="15" t="s">
        <v>1150</v>
      </c>
      <c r="S161" s="15" t="s">
        <v>514</v>
      </c>
      <c r="U161" s="2">
        <v>46252</v>
      </c>
      <c r="V161" s="15" t="s">
        <v>642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33</v>
      </c>
    </row>
    <row r="162" spans="1:27" hidden="1">
      <c r="A162" s="21" t="s">
        <v>942</v>
      </c>
      <c r="B162" s="21" t="s">
        <v>943</v>
      </c>
      <c r="C162" s="21" t="s">
        <v>966</v>
      </c>
      <c r="D162" s="21" t="s">
        <v>995</v>
      </c>
      <c r="E162" s="21">
        <v>107</v>
      </c>
      <c r="F162" s="21" t="s">
        <v>944</v>
      </c>
      <c r="G162" s="21" t="s">
        <v>941</v>
      </c>
      <c r="H162" s="21" t="s">
        <v>941</v>
      </c>
      <c r="I162" s="21" t="s">
        <v>941</v>
      </c>
      <c r="J162" s="21" t="s">
        <v>30</v>
      </c>
      <c r="K162" s="5">
        <v>1672516</v>
      </c>
      <c r="L162" s="5" t="s">
        <v>55</v>
      </c>
      <c r="M162" s="21" t="s">
        <v>996</v>
      </c>
      <c r="N162" s="21" t="s">
        <v>204</v>
      </c>
      <c r="O162" s="21" t="s">
        <v>57</v>
      </c>
      <c r="P162" s="21" t="s">
        <v>58</v>
      </c>
      <c r="Q162" s="21" t="s">
        <v>36</v>
      </c>
      <c r="R162" s="21" t="s">
        <v>997</v>
      </c>
      <c r="S162" s="21" t="s">
        <v>514</v>
      </c>
      <c r="U162" s="2">
        <v>46252</v>
      </c>
      <c r="V162" s="21" t="s">
        <v>642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5</v>
      </c>
      <c r="Z162" s="21"/>
      <c r="AA162" s="13">
        <f>+_xlfn.ISOWEEKNUM(Control[[#This Row],[Fecha Requisición]])</f>
        <v>33</v>
      </c>
    </row>
    <row r="163" spans="1:27" hidden="1">
      <c r="A163" s="21" t="s">
        <v>942</v>
      </c>
      <c r="B163" s="21" t="s">
        <v>943</v>
      </c>
      <c r="C163" s="21" t="s">
        <v>966</v>
      </c>
      <c r="D163" s="21" t="s">
        <v>1151</v>
      </c>
      <c r="E163" s="21">
        <v>107</v>
      </c>
      <c r="F163" s="21" t="s">
        <v>944</v>
      </c>
      <c r="G163" s="21" t="s">
        <v>941</v>
      </c>
      <c r="H163" s="21" t="s">
        <v>941</v>
      </c>
      <c r="I163" s="21" t="s">
        <v>941</v>
      </c>
      <c r="J163" s="21" t="s">
        <v>39</v>
      </c>
      <c r="K163" s="5">
        <v>97801</v>
      </c>
      <c r="L163" s="5" t="s">
        <v>55</v>
      </c>
      <c r="M163" s="21" t="s">
        <v>930</v>
      </c>
      <c r="N163" s="21" t="s">
        <v>204</v>
      </c>
      <c r="O163" s="21" t="s">
        <v>57</v>
      </c>
      <c r="P163" s="21" t="s">
        <v>58</v>
      </c>
      <c r="Q163" s="21" t="s">
        <v>36</v>
      </c>
      <c r="R163" s="21" t="s">
        <v>1152</v>
      </c>
      <c r="S163" s="21" t="s">
        <v>514</v>
      </c>
      <c r="U163" s="2">
        <v>46252</v>
      </c>
      <c r="V163" s="21" t="s">
        <v>642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33</v>
      </c>
    </row>
    <row r="164" spans="1:27" hidden="1">
      <c r="A164" s="21" t="s">
        <v>947</v>
      </c>
      <c r="B164" s="21" t="s">
        <v>948</v>
      </c>
      <c r="C164" s="21" t="s">
        <v>949</v>
      </c>
      <c r="D164" s="21" t="s">
        <v>954</v>
      </c>
      <c r="E164" s="21">
        <v>109</v>
      </c>
      <c r="F164" s="21" t="s">
        <v>950</v>
      </c>
      <c r="G164" s="21" t="s">
        <v>951</v>
      </c>
      <c r="H164" s="21" t="s">
        <v>951</v>
      </c>
      <c r="I164" s="21" t="s">
        <v>951</v>
      </c>
      <c r="J164" s="21" t="s">
        <v>39</v>
      </c>
      <c r="K164" s="5"/>
      <c r="L164" s="5" t="s">
        <v>31</v>
      </c>
      <c r="M164" s="21" t="s">
        <v>571</v>
      </c>
      <c r="N164" s="21" t="s">
        <v>219</v>
      </c>
      <c r="O164" s="21" t="s">
        <v>866</v>
      </c>
      <c r="P164" s="21" t="s">
        <v>124</v>
      </c>
      <c r="Q164" s="21" t="s">
        <v>36</v>
      </c>
      <c r="R164" s="21" t="s">
        <v>955</v>
      </c>
      <c r="S164" s="21" t="s">
        <v>514</v>
      </c>
      <c r="T164" s="2">
        <v>46248</v>
      </c>
      <c r="U164" s="2">
        <v>46251</v>
      </c>
      <c r="V164" s="21" t="s">
        <v>642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3</v>
      </c>
      <c r="Z164" s="21"/>
      <c r="AA164" s="13">
        <f>+_xlfn.ISOWEEKNUM(Control[[#This Row],[Fecha Requisición]])</f>
        <v>33</v>
      </c>
    </row>
    <row r="165" spans="1:27" hidden="1">
      <c r="A165" s="21" t="s">
        <v>967</v>
      </c>
      <c r="B165" s="21" t="s">
        <v>968</v>
      </c>
      <c r="C165" s="21" t="s">
        <v>969</v>
      </c>
      <c r="D165" s="21" t="s">
        <v>998</v>
      </c>
      <c r="E165" s="21">
        <v>110</v>
      </c>
      <c r="F165" s="21" t="s">
        <v>970</v>
      </c>
      <c r="G165" s="21" t="s">
        <v>951</v>
      </c>
      <c r="H165" s="21" t="s">
        <v>951</v>
      </c>
      <c r="I165" s="21" t="s">
        <v>951</v>
      </c>
      <c r="J165" s="21" t="s">
        <v>30</v>
      </c>
      <c r="K165" s="5">
        <v>1431345</v>
      </c>
      <c r="L165" s="5" t="s">
        <v>55</v>
      </c>
      <c r="M165" s="21" t="s">
        <v>915</v>
      </c>
      <c r="N165" s="21" t="s">
        <v>204</v>
      </c>
      <c r="O165" s="21" t="s">
        <v>57</v>
      </c>
      <c r="P165" s="21" t="s">
        <v>58</v>
      </c>
      <c r="Q165" s="21" t="s">
        <v>36</v>
      </c>
      <c r="R165" s="21" t="s">
        <v>999</v>
      </c>
      <c r="S165" s="21" t="s">
        <v>514</v>
      </c>
      <c r="U165" s="2">
        <v>46251</v>
      </c>
      <c r="V165" s="21" t="s">
        <v>1087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3</v>
      </c>
      <c r="Z165" s="21"/>
      <c r="AA165" s="13">
        <f>+_xlfn.ISOWEEKNUM(Control[[#This Row],[Fecha Requisición]])</f>
        <v>33</v>
      </c>
    </row>
    <row r="166" spans="1:27" hidden="1">
      <c r="A166" s="21" t="s">
        <v>971</v>
      </c>
      <c r="B166" s="21" t="s">
        <v>972</v>
      </c>
      <c r="C166" s="21" t="s">
        <v>973</v>
      </c>
      <c r="D166" s="21" t="s">
        <v>1000</v>
      </c>
      <c r="E166" s="21">
        <v>111</v>
      </c>
      <c r="F166" s="21" t="s">
        <v>974</v>
      </c>
      <c r="G166" s="21" t="s">
        <v>951</v>
      </c>
      <c r="H166" s="21" t="s">
        <v>951</v>
      </c>
      <c r="I166" s="21" t="s">
        <v>951</v>
      </c>
      <c r="J166" s="21" t="s">
        <v>30</v>
      </c>
      <c r="K166" s="5"/>
      <c r="L166" s="5" t="s">
        <v>31</v>
      </c>
      <c r="M166" s="21" t="s">
        <v>1001</v>
      </c>
      <c r="N166" s="21" t="s">
        <v>975</v>
      </c>
      <c r="O166" s="21" t="s">
        <v>57</v>
      </c>
      <c r="P166" s="21" t="s">
        <v>124</v>
      </c>
      <c r="Q166" s="21" t="s">
        <v>36</v>
      </c>
      <c r="R166" s="21" t="s">
        <v>1002</v>
      </c>
      <c r="S166" s="21" t="s">
        <v>514</v>
      </c>
      <c r="U166" s="2">
        <v>46251</v>
      </c>
      <c r="V166" s="21" t="s">
        <v>1087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3</v>
      </c>
      <c r="Z166" s="21"/>
      <c r="AA166" s="13">
        <f>+_xlfn.ISOWEEKNUM(Control[[#This Row],[Fecha Requisición]])</f>
        <v>33</v>
      </c>
    </row>
    <row r="167" spans="1:27" hidden="1">
      <c r="A167" s="21" t="s">
        <v>976</v>
      </c>
      <c r="B167" s="21" t="s">
        <v>977</v>
      </c>
      <c r="C167" s="21" t="s">
        <v>978</v>
      </c>
      <c r="D167" s="21" t="s">
        <v>1003</v>
      </c>
      <c r="E167" s="21">
        <v>112</v>
      </c>
      <c r="F167" s="21" t="s">
        <v>979</v>
      </c>
      <c r="G167" s="21" t="s">
        <v>951</v>
      </c>
      <c r="H167" s="21" t="s">
        <v>951</v>
      </c>
      <c r="I167" s="21" t="s">
        <v>951</v>
      </c>
      <c r="J167" s="21" t="s">
        <v>30</v>
      </c>
      <c r="K167" s="5"/>
      <c r="L167" s="5" t="s">
        <v>31</v>
      </c>
      <c r="M167" s="21" t="s">
        <v>1001</v>
      </c>
      <c r="N167" s="21" t="s">
        <v>975</v>
      </c>
      <c r="O167" s="21" t="s">
        <v>101</v>
      </c>
      <c r="P167" s="21" t="s">
        <v>124</v>
      </c>
      <c r="Q167" s="21" t="s">
        <v>36</v>
      </c>
      <c r="R167" s="21" t="s">
        <v>1004</v>
      </c>
      <c r="S167" s="21" t="s">
        <v>514</v>
      </c>
      <c r="U167" s="2">
        <v>46251</v>
      </c>
      <c r="V167" s="21" t="s">
        <v>1087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7" s="9">
        <f>+DATE(YEAR(Control[[#This Row],[Fecha Requisición]]),MONTH(Control[[#This Row],[Fecha Requisición]]),1)</f>
        <v>46235</v>
      </c>
      <c r="Y167" s="14">
        <f>+IF(Control[[#This Row],[Fecha de entrega]]="","",NETWORKDAYS(Control[[#This Row],[Fecha Requisición]],Control[[#This Row],[Fecha de entrega]]))</f>
        <v>3</v>
      </c>
      <c r="Z167" s="21"/>
      <c r="AA167" s="13">
        <f>+_xlfn.ISOWEEKNUM(Control[[#This Row],[Fecha Requisición]])</f>
        <v>33</v>
      </c>
    </row>
    <row r="168" spans="1:27" hidden="1">
      <c r="A168" s="21" t="s">
        <v>980</v>
      </c>
      <c r="B168" s="21" t="s">
        <v>981</v>
      </c>
      <c r="C168" s="21" t="s">
        <v>982</v>
      </c>
      <c r="D168" s="21" t="s">
        <v>1005</v>
      </c>
      <c r="E168" s="21">
        <v>113</v>
      </c>
      <c r="F168" s="21" t="s">
        <v>983</v>
      </c>
      <c r="G168" s="21" t="s">
        <v>951</v>
      </c>
      <c r="H168" s="21" t="s">
        <v>951</v>
      </c>
      <c r="I168" s="21" t="s">
        <v>951</v>
      </c>
      <c r="J168" s="21" t="s">
        <v>30</v>
      </c>
      <c r="K168" s="5"/>
      <c r="L168" s="5" t="s">
        <v>31</v>
      </c>
      <c r="M168" s="21" t="s">
        <v>1001</v>
      </c>
      <c r="N168" s="21" t="s">
        <v>975</v>
      </c>
      <c r="O168" s="21" t="s">
        <v>123</v>
      </c>
      <c r="P168" s="21" t="s">
        <v>124</v>
      </c>
      <c r="Q168" s="21" t="s">
        <v>36</v>
      </c>
      <c r="R168" s="21" t="s">
        <v>1006</v>
      </c>
      <c r="S168" s="21" t="s">
        <v>514</v>
      </c>
      <c r="U168" s="2">
        <v>46251</v>
      </c>
      <c r="V168" s="21" t="s">
        <v>1087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8" s="9">
        <f>+DATE(YEAR(Control[[#This Row],[Fecha Requisición]]),MONTH(Control[[#This Row],[Fecha Requisición]]),1)</f>
        <v>46235</v>
      </c>
      <c r="Y168" s="14">
        <f>+IF(Control[[#This Row],[Fecha de entrega]]="","",NETWORKDAYS(Control[[#This Row],[Fecha Requisición]],Control[[#This Row],[Fecha de entrega]]))</f>
        <v>3</v>
      </c>
      <c r="Z168" s="21"/>
      <c r="AA168" s="13">
        <f>+_xlfn.ISOWEEKNUM(Control[[#This Row],[Fecha Requisición]])</f>
        <v>33</v>
      </c>
    </row>
    <row r="169" spans="1:27" hidden="1">
      <c r="A169" s="21" t="s">
        <v>984</v>
      </c>
      <c r="B169" s="21" t="s">
        <v>985</v>
      </c>
      <c r="C169" s="21" t="s">
        <v>992</v>
      </c>
      <c r="D169" s="21" t="s">
        <v>1007</v>
      </c>
      <c r="E169" s="21">
        <v>114</v>
      </c>
      <c r="F169" s="21" t="s">
        <v>986</v>
      </c>
      <c r="G169" s="21" t="s">
        <v>987</v>
      </c>
      <c r="H169" s="21" t="s">
        <v>987</v>
      </c>
      <c r="I169" s="21" t="s">
        <v>987</v>
      </c>
      <c r="J169" s="21" t="s">
        <v>30</v>
      </c>
      <c r="K169" s="5"/>
      <c r="L169" s="5" t="s">
        <v>31</v>
      </c>
      <c r="M169" s="21" t="s">
        <v>1001</v>
      </c>
      <c r="N169" s="21" t="s">
        <v>765</v>
      </c>
      <c r="O169" s="21" t="s">
        <v>57</v>
      </c>
      <c r="P169" s="21" t="s">
        <v>35</v>
      </c>
      <c r="Q169" s="21" t="s">
        <v>94</v>
      </c>
      <c r="R169" s="21" t="s">
        <v>1008</v>
      </c>
      <c r="S169" s="21" t="s">
        <v>514</v>
      </c>
      <c r="U169" s="2">
        <v>46251</v>
      </c>
      <c r="V169" s="21" t="s">
        <v>1088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9" s="9">
        <f>+DATE(YEAR(Control[[#This Row],[Fecha Requisición]]),MONTH(Control[[#This Row],[Fecha Requisición]]),1)</f>
        <v>46235</v>
      </c>
      <c r="Y169" s="14">
        <f>+IF(Control[[#This Row],[Fecha de entrega]]="","",NETWORKDAYS(Control[[#This Row],[Fecha Requisición]],Control[[#This Row],[Fecha de entrega]]))</f>
        <v>2</v>
      </c>
      <c r="Z169" s="21"/>
      <c r="AA169" s="13">
        <f>+_xlfn.ISOWEEKNUM(Control[[#This Row],[Fecha Requisición]])</f>
        <v>33</v>
      </c>
    </row>
    <row r="170" spans="1:27" hidden="1">
      <c r="A170" s="21" t="s">
        <v>988</v>
      </c>
      <c r="B170" s="21" t="s">
        <v>989</v>
      </c>
      <c r="C170" s="21" t="s">
        <v>990</v>
      </c>
      <c r="D170" s="21" t="s">
        <v>1009</v>
      </c>
      <c r="E170" s="21">
        <v>115</v>
      </c>
      <c r="F170" s="21" t="s">
        <v>991</v>
      </c>
      <c r="G170" s="21" t="s">
        <v>987</v>
      </c>
      <c r="H170" s="21" t="s">
        <v>987</v>
      </c>
      <c r="I170" s="21" t="s">
        <v>987</v>
      </c>
      <c r="J170" s="21" t="s">
        <v>30</v>
      </c>
      <c r="K170" s="5">
        <v>150000</v>
      </c>
      <c r="L170" s="5" t="s">
        <v>55</v>
      </c>
      <c r="M170" s="21" t="s">
        <v>1010</v>
      </c>
      <c r="N170" s="21" t="s">
        <v>903</v>
      </c>
      <c r="O170" s="21" t="s">
        <v>384</v>
      </c>
      <c r="P170" s="21" t="s">
        <v>58</v>
      </c>
      <c r="Q170" s="21" t="s">
        <v>36</v>
      </c>
      <c r="R170" s="21" t="s">
        <v>1011</v>
      </c>
      <c r="S170" s="21" t="s">
        <v>514</v>
      </c>
      <c r="T170" s="2">
        <v>46252</v>
      </c>
      <c r="U170" s="2">
        <v>46251</v>
      </c>
      <c r="V170" s="21" t="s">
        <v>642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0" s="9">
        <f>+DATE(YEAR(Control[[#This Row],[Fecha Requisición]]),MONTH(Control[[#This Row],[Fecha Requisición]]),1)</f>
        <v>46235</v>
      </c>
      <c r="Y170" s="14">
        <f>+IF(Control[[#This Row],[Fecha de entrega]]="","",NETWORKDAYS(Control[[#This Row],[Fecha Requisición]],Control[[#This Row],[Fecha de entrega]]))</f>
        <v>2</v>
      </c>
      <c r="Z170" s="21"/>
      <c r="AA170" s="13">
        <f>+_xlfn.ISOWEEKNUM(Control[[#This Row],[Fecha Requisición]])</f>
        <v>33</v>
      </c>
    </row>
    <row r="171" spans="1:27" hidden="1">
      <c r="A171" s="21" t="s">
        <v>1012</v>
      </c>
      <c r="B171" s="21" t="s">
        <v>1013</v>
      </c>
      <c r="C171" s="21" t="s">
        <v>1014</v>
      </c>
      <c r="D171" s="21" t="s">
        <v>1110</v>
      </c>
      <c r="E171" s="21">
        <v>116</v>
      </c>
      <c r="F171" s="21" t="s">
        <v>1015</v>
      </c>
      <c r="G171" s="21" t="s">
        <v>1016</v>
      </c>
      <c r="H171" s="21" t="s">
        <v>1016</v>
      </c>
      <c r="I171" s="21" t="s">
        <v>1016</v>
      </c>
      <c r="J171" s="21" t="s">
        <v>30</v>
      </c>
      <c r="K171" s="5"/>
      <c r="L171" s="5" t="s">
        <v>31</v>
      </c>
      <c r="M171" s="21" t="s">
        <v>1111</v>
      </c>
      <c r="N171" s="21" t="s">
        <v>219</v>
      </c>
      <c r="O171" s="21" t="s">
        <v>384</v>
      </c>
      <c r="P171" s="21"/>
      <c r="Q171" s="21" t="s">
        <v>94</v>
      </c>
      <c r="R171" s="21" t="s">
        <v>1112</v>
      </c>
      <c r="S171" s="21" t="s">
        <v>514</v>
      </c>
      <c r="U171" s="2">
        <v>46261</v>
      </c>
      <c r="V171" s="21" t="s">
        <v>642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1" s="9">
        <f>+DATE(YEAR(Control[[#This Row],[Fecha Requisición]]),MONTH(Control[[#This Row],[Fecha Requisición]]),1)</f>
        <v>46235</v>
      </c>
      <c r="Y171" s="14">
        <f>+IF(Control[[#This Row],[Fecha de entrega]]="","",NETWORKDAYS(Control[[#This Row],[Fecha Requisición]],Control[[#This Row],[Fecha de entrega]]))</f>
        <v>9</v>
      </c>
      <c r="Z171" s="21"/>
      <c r="AA171" s="13">
        <f>+_xlfn.ISOWEEKNUM(Control[[#This Row],[Fecha Requisición]])</f>
        <v>34</v>
      </c>
    </row>
    <row r="172" spans="1:27" hidden="1">
      <c r="A172" s="21" t="s">
        <v>1017</v>
      </c>
      <c r="B172" s="21" t="s">
        <v>1018</v>
      </c>
      <c r="C172" s="21" t="s">
        <v>1019</v>
      </c>
      <c r="D172" s="21" t="s">
        <v>1153</v>
      </c>
      <c r="E172" s="21">
        <v>117</v>
      </c>
      <c r="F172" s="21" t="s">
        <v>1020</v>
      </c>
      <c r="G172" s="21" t="s">
        <v>1021</v>
      </c>
      <c r="H172" s="21" t="s">
        <v>1021</v>
      </c>
      <c r="I172" s="21" t="s">
        <v>1021</v>
      </c>
      <c r="J172" s="21" t="s">
        <v>39</v>
      </c>
      <c r="K172" s="5">
        <v>399990</v>
      </c>
      <c r="L172" s="5" t="s">
        <v>55</v>
      </c>
      <c r="M172" s="21" t="s">
        <v>1154</v>
      </c>
      <c r="N172" s="21" t="s">
        <v>93</v>
      </c>
      <c r="O172" s="21" t="s">
        <v>866</v>
      </c>
      <c r="P172" s="21" t="s">
        <v>58</v>
      </c>
      <c r="Q172" s="21" t="s">
        <v>94</v>
      </c>
      <c r="R172" s="21" t="s">
        <v>1155</v>
      </c>
      <c r="S172" s="21" t="s">
        <v>514</v>
      </c>
      <c r="T172" s="2">
        <v>46254</v>
      </c>
      <c r="U172" s="2">
        <v>46259</v>
      </c>
      <c r="V172" s="21" t="s">
        <v>642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2" s="9">
        <f>+DATE(YEAR(Control[[#This Row],[Fecha Requisición]]),MONTH(Control[[#This Row],[Fecha Requisición]]),1)</f>
        <v>46235</v>
      </c>
      <c r="Y172" s="14">
        <f>+IF(Control[[#This Row],[Fecha de entrega]]="","",NETWORKDAYS(Control[[#This Row],[Fecha Requisición]],Control[[#This Row],[Fecha de entrega]]))</f>
        <v>6</v>
      </c>
      <c r="Z172" s="21"/>
      <c r="AA172" s="13">
        <f>+_xlfn.ISOWEEKNUM(Control[[#This Row],[Fecha Requisición]])</f>
        <v>34</v>
      </c>
    </row>
    <row r="173" spans="1:27" hidden="1">
      <c r="A173" s="21" t="s">
        <v>1022</v>
      </c>
      <c r="B173" s="21" t="s">
        <v>1023</v>
      </c>
      <c r="C173" s="21" t="s">
        <v>1024</v>
      </c>
      <c r="D173" s="21" t="s">
        <v>1113</v>
      </c>
      <c r="E173" s="21">
        <v>118</v>
      </c>
      <c r="F173" s="21" t="s">
        <v>1025</v>
      </c>
      <c r="G173" s="21" t="s">
        <v>1021</v>
      </c>
      <c r="H173" s="21" t="s">
        <v>1021</v>
      </c>
      <c r="I173" s="21" t="s">
        <v>1021</v>
      </c>
      <c r="J173" s="21" t="s">
        <v>30</v>
      </c>
      <c r="K173" s="5"/>
      <c r="L173" s="5" t="s">
        <v>31</v>
      </c>
      <c r="M173" s="21" t="s">
        <v>1114</v>
      </c>
      <c r="N173" s="21" t="s">
        <v>204</v>
      </c>
      <c r="O173" s="21" t="s">
        <v>57</v>
      </c>
      <c r="P173" s="21" t="s">
        <v>58</v>
      </c>
      <c r="Q173" s="21" t="s">
        <v>36</v>
      </c>
      <c r="R173" s="21" t="s">
        <v>1115</v>
      </c>
      <c r="S173" s="21" t="s">
        <v>514</v>
      </c>
      <c r="U173" s="2">
        <v>46261</v>
      </c>
      <c r="V173" s="21" t="s">
        <v>642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3" s="9">
        <f>+DATE(YEAR(Control[[#This Row],[Fecha Requisición]]),MONTH(Control[[#This Row],[Fecha Requisición]]),1)</f>
        <v>46235</v>
      </c>
      <c r="Y173" s="14">
        <f>+IF(Control[[#This Row],[Fecha de entrega]]="","",NETWORKDAYS(Control[[#This Row],[Fecha Requisición]],Control[[#This Row],[Fecha de entrega]]))</f>
        <v>8</v>
      </c>
      <c r="Z173" s="21"/>
      <c r="AA173" s="13">
        <f>+_xlfn.ISOWEEKNUM(Control[[#This Row],[Fecha Requisición]])</f>
        <v>34</v>
      </c>
    </row>
    <row r="174" spans="1:27" hidden="1">
      <c r="A174" s="21" t="s">
        <v>1026</v>
      </c>
      <c r="B174" s="21" t="s">
        <v>1027</v>
      </c>
      <c r="C174" s="21" t="s">
        <v>1028</v>
      </c>
      <c r="D174" s="21" t="s">
        <v>1040</v>
      </c>
      <c r="E174" s="21">
        <v>119</v>
      </c>
      <c r="F174" s="21" t="s">
        <v>1029</v>
      </c>
      <c r="G174" s="21" t="s">
        <v>1021</v>
      </c>
      <c r="H174" s="21" t="s">
        <v>1021</v>
      </c>
      <c r="I174" s="21" t="s">
        <v>1021</v>
      </c>
      <c r="J174" s="21" t="s">
        <v>30</v>
      </c>
      <c r="K174" s="5">
        <v>602295</v>
      </c>
      <c r="L174" s="5" t="s">
        <v>55</v>
      </c>
      <c r="M174" s="21" t="s">
        <v>927</v>
      </c>
      <c r="N174" s="21" t="s">
        <v>204</v>
      </c>
      <c r="O174" s="21" t="s">
        <v>57</v>
      </c>
      <c r="P174" s="21" t="s">
        <v>58</v>
      </c>
      <c r="Q174" s="21" t="s">
        <v>36</v>
      </c>
      <c r="R174" s="21" t="s">
        <v>1041</v>
      </c>
      <c r="S174" s="21" t="s">
        <v>514</v>
      </c>
      <c r="U174" s="2">
        <v>46261</v>
      </c>
      <c r="V174" s="21" t="s">
        <v>642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4" s="9">
        <f>+DATE(YEAR(Control[[#This Row],[Fecha Requisición]]),MONTH(Control[[#This Row],[Fecha Requisición]]),1)</f>
        <v>46235</v>
      </c>
      <c r="Y174" s="14">
        <f>+IF(Control[[#This Row],[Fecha de entrega]]="","",NETWORKDAYS(Control[[#This Row],[Fecha Requisición]],Control[[#This Row],[Fecha de entrega]]))</f>
        <v>8</v>
      </c>
      <c r="Z174" s="21"/>
      <c r="AA174" s="13">
        <f>+_xlfn.ISOWEEKNUM(Control[[#This Row],[Fecha Requisición]])</f>
        <v>34</v>
      </c>
    </row>
    <row r="175" spans="1:27" hidden="1">
      <c r="A175" s="21" t="s">
        <v>1033</v>
      </c>
      <c r="B175" s="21" t="s">
        <v>1034</v>
      </c>
      <c r="C175" s="21" t="s">
        <v>1035</v>
      </c>
      <c r="D175" s="21"/>
      <c r="E175" s="21">
        <v>120</v>
      </c>
      <c r="F175" s="21" t="s">
        <v>1036</v>
      </c>
      <c r="G175" s="21" t="s">
        <v>1037</v>
      </c>
      <c r="H175" s="21" t="s">
        <v>1037</v>
      </c>
      <c r="I175" s="21"/>
      <c r="J175" s="21"/>
      <c r="K175" s="5"/>
      <c r="L175" s="5" t="s">
        <v>31</v>
      </c>
      <c r="M175" s="21"/>
      <c r="N175" s="21" t="s">
        <v>909</v>
      </c>
      <c r="O175" s="21" t="s">
        <v>197</v>
      </c>
      <c r="P175" s="21" t="s">
        <v>273</v>
      </c>
      <c r="Q175" s="21" t="s">
        <v>59</v>
      </c>
      <c r="R175" s="21"/>
      <c r="S175" s="21" t="s">
        <v>641</v>
      </c>
      <c r="V175" s="21" t="s">
        <v>1141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5" s="9">
        <f>+DATE(YEAR(Control[[#This Row],[Fecha Requisición]]),MONTH(Control[[#This Row],[Fecha Requisición]]),1)</f>
        <v>46235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34</v>
      </c>
    </row>
    <row r="176" spans="1:27" hidden="1">
      <c r="A176" s="21" t="s">
        <v>1042</v>
      </c>
      <c r="B176" s="21" t="s">
        <v>1043</v>
      </c>
      <c r="C176" s="21" t="s">
        <v>1043</v>
      </c>
      <c r="D176" s="21" t="s">
        <v>1116</v>
      </c>
      <c r="E176" s="21">
        <v>121</v>
      </c>
      <c r="F176" s="21" t="s">
        <v>1044</v>
      </c>
      <c r="G176" s="21" t="s">
        <v>1045</v>
      </c>
      <c r="H176" s="21" t="s">
        <v>1045</v>
      </c>
      <c r="I176" s="21" t="s">
        <v>1045</v>
      </c>
      <c r="J176" s="21" t="s">
        <v>30</v>
      </c>
      <c r="K176" s="5"/>
      <c r="L176" s="5" t="s">
        <v>31</v>
      </c>
      <c r="M176" s="21" t="s">
        <v>830</v>
      </c>
      <c r="N176" s="21" t="s">
        <v>765</v>
      </c>
      <c r="O176" s="21" t="s">
        <v>57</v>
      </c>
      <c r="P176" s="21" t="s">
        <v>35</v>
      </c>
      <c r="Q176" s="21" t="s">
        <v>94</v>
      </c>
      <c r="R176" s="21" t="s">
        <v>1117</v>
      </c>
      <c r="S176" s="21" t="s">
        <v>514</v>
      </c>
      <c r="U176" s="2">
        <v>46255</v>
      </c>
      <c r="V176" s="21" t="s">
        <v>1084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6" s="9">
        <f>+DATE(YEAR(Control[[#This Row],[Fecha Requisición]]),MONTH(Control[[#This Row],[Fecha Requisición]]),1)</f>
        <v>46235</v>
      </c>
      <c r="Y176" s="14">
        <f>+IF(Control[[#This Row],[Fecha de entrega]]="","",NETWORKDAYS(Control[[#This Row],[Fecha Requisición]],Control[[#This Row],[Fecha de entrega]]))</f>
        <v>1</v>
      </c>
      <c r="Z176" s="21"/>
      <c r="AA176" s="13">
        <f>+_xlfn.ISOWEEKNUM(Control[[#This Row],[Fecha Requisición]])</f>
        <v>34</v>
      </c>
    </row>
    <row r="177" spans="1:27" hidden="1">
      <c r="A177" s="21" t="s">
        <v>1046</v>
      </c>
      <c r="B177" s="21" t="s">
        <v>1047</v>
      </c>
      <c r="C177" s="21" t="s">
        <v>1048</v>
      </c>
      <c r="D177" s="21" t="s">
        <v>1156</v>
      </c>
      <c r="E177" s="21">
        <v>122</v>
      </c>
      <c r="F177" s="21" t="s">
        <v>1049</v>
      </c>
      <c r="G177" s="21" t="s">
        <v>1050</v>
      </c>
      <c r="H177" s="21" t="s">
        <v>1050</v>
      </c>
      <c r="I177" s="21" t="s">
        <v>1050</v>
      </c>
      <c r="J177" s="21" t="s">
        <v>39</v>
      </c>
      <c r="K177" s="5">
        <v>100000</v>
      </c>
      <c r="L177" s="5" t="s">
        <v>55</v>
      </c>
      <c r="M177" s="21" t="s">
        <v>1157</v>
      </c>
      <c r="N177" s="21" t="s">
        <v>93</v>
      </c>
      <c r="O177" s="21" t="s">
        <v>57</v>
      </c>
      <c r="P177" s="21" t="s">
        <v>58</v>
      </c>
      <c r="Q177" s="21" t="s">
        <v>94</v>
      </c>
      <c r="R177" s="21" t="s">
        <v>1158</v>
      </c>
      <c r="S177" s="21" t="s">
        <v>514</v>
      </c>
      <c r="T177" s="2">
        <v>46262</v>
      </c>
      <c r="U177" s="2">
        <v>46262</v>
      </c>
      <c r="V177" s="21" t="s">
        <v>642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7" s="9">
        <f>+DATE(YEAR(Control[[#This Row],[Fecha Requisición]]),MONTH(Control[[#This Row],[Fecha Requisición]]),1)</f>
        <v>46235</v>
      </c>
      <c r="Y177" s="14">
        <f>+IF(Control[[#This Row],[Fecha de entrega]]="","",NETWORKDAYS(Control[[#This Row],[Fecha Requisición]],Control[[#This Row],[Fecha de entrega]]))</f>
        <v>5</v>
      </c>
      <c r="Z177" s="21"/>
      <c r="AA177" s="13">
        <f>+_xlfn.ISOWEEKNUM(Control[[#This Row],[Fecha Requisición]])</f>
        <v>35</v>
      </c>
    </row>
    <row r="178" spans="1:27" hidden="1">
      <c r="A178" s="21" t="s">
        <v>1051</v>
      </c>
      <c r="B178" s="21" t="s">
        <v>1052</v>
      </c>
      <c r="C178" s="21" t="s">
        <v>1053</v>
      </c>
      <c r="D178" s="21"/>
      <c r="E178" s="21">
        <v>123</v>
      </c>
      <c r="F178" s="21" t="s">
        <v>1054</v>
      </c>
      <c r="G178" s="21" t="s">
        <v>1050</v>
      </c>
      <c r="H178" s="21" t="s">
        <v>1050</v>
      </c>
      <c r="I178" s="21"/>
      <c r="J178" s="21"/>
      <c r="K178" s="5"/>
      <c r="L178" s="5" t="s">
        <v>55</v>
      </c>
      <c r="M178" s="21"/>
      <c r="N178" s="21" t="s">
        <v>93</v>
      </c>
      <c r="O178" s="21" t="s">
        <v>101</v>
      </c>
      <c r="P178" s="21" t="s">
        <v>58</v>
      </c>
      <c r="Q178" s="21" t="s">
        <v>94</v>
      </c>
      <c r="R178" s="21"/>
      <c r="S178" s="21" t="s">
        <v>641</v>
      </c>
      <c r="V178" s="21" t="s">
        <v>1085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8" s="9">
        <f>+DATE(YEAR(Control[[#This Row],[Fecha Requisición]]),MONTH(Control[[#This Row],[Fecha Requisición]]),1)</f>
        <v>46235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35</v>
      </c>
    </row>
    <row r="179" spans="1:27" hidden="1">
      <c r="A179" s="21" t="s">
        <v>1055</v>
      </c>
      <c r="B179" s="21" t="s">
        <v>1056</v>
      </c>
      <c r="C179" s="21" t="s">
        <v>1057</v>
      </c>
      <c r="D179" s="21"/>
      <c r="E179" s="21">
        <v>124</v>
      </c>
      <c r="F179" s="21" t="s">
        <v>1058</v>
      </c>
      <c r="G179" s="21" t="s">
        <v>1050</v>
      </c>
      <c r="H179" s="21" t="s">
        <v>1050</v>
      </c>
      <c r="I179" s="21"/>
      <c r="J179" s="21"/>
      <c r="K179" s="5"/>
      <c r="L179" s="5"/>
      <c r="M179" s="21"/>
      <c r="N179" s="21"/>
      <c r="O179" s="21"/>
      <c r="P179" s="21"/>
      <c r="Q179" s="21"/>
      <c r="R179" s="21"/>
      <c r="S179" s="21" t="s">
        <v>514</v>
      </c>
      <c r="T179" s="2">
        <v>46262</v>
      </c>
      <c r="U179" s="2">
        <v>46267</v>
      </c>
      <c r="V179" s="21" t="s">
        <v>642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9" s="9">
        <f>+DATE(YEAR(Control[[#This Row],[Fecha Requisición]]),MONTH(Control[[#This Row],[Fecha Requisición]]),1)</f>
        <v>46235</v>
      </c>
      <c r="Y179" s="14">
        <f>+IF(Control[[#This Row],[Fecha de entrega]]="","",NETWORKDAYS(Control[[#This Row],[Fecha Requisición]],Control[[#This Row],[Fecha de entrega]]))</f>
        <v>8</v>
      </c>
      <c r="Z179" s="21"/>
      <c r="AA179" s="13">
        <f>+_xlfn.ISOWEEKNUM(Control[[#This Row],[Fecha Requisición]])</f>
        <v>35</v>
      </c>
    </row>
    <row r="180" spans="1:27" hidden="1">
      <c r="A180" s="21" t="s">
        <v>1059</v>
      </c>
      <c r="B180" s="21" t="s">
        <v>1060</v>
      </c>
      <c r="C180" s="21" t="s">
        <v>1061</v>
      </c>
      <c r="D180" s="21" t="s">
        <v>1159</v>
      </c>
      <c r="E180" s="21">
        <v>125</v>
      </c>
      <c r="F180" s="21" t="s">
        <v>1062</v>
      </c>
      <c r="G180" s="21" t="s">
        <v>1050</v>
      </c>
      <c r="H180" s="21" t="s">
        <v>1050</v>
      </c>
      <c r="I180" s="21" t="s">
        <v>1050</v>
      </c>
      <c r="J180" s="21" t="s">
        <v>39</v>
      </c>
      <c r="K180" s="5"/>
      <c r="L180" s="5" t="s">
        <v>31</v>
      </c>
      <c r="M180" s="21" t="s">
        <v>1160</v>
      </c>
      <c r="N180" s="21" t="s">
        <v>1063</v>
      </c>
      <c r="O180" s="21" t="s">
        <v>1064</v>
      </c>
      <c r="P180" s="21" t="s">
        <v>1065</v>
      </c>
      <c r="Q180" s="21" t="s">
        <v>94</v>
      </c>
      <c r="R180" s="21" t="s">
        <v>1161</v>
      </c>
      <c r="S180" s="21" t="s">
        <v>514</v>
      </c>
      <c r="T180" s="2">
        <v>46261</v>
      </c>
      <c r="U180" s="2">
        <v>46262</v>
      </c>
      <c r="V180" s="21" t="s">
        <v>1142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0" s="9">
        <f>+DATE(YEAR(Control[[#This Row],[Fecha Requisición]]),MONTH(Control[[#This Row],[Fecha Requisición]]),1)</f>
        <v>46235</v>
      </c>
      <c r="Y180" s="14">
        <f>+IF(Control[[#This Row],[Fecha de entrega]]="","",NETWORKDAYS(Control[[#This Row],[Fecha Requisición]],Control[[#This Row],[Fecha de entrega]]))</f>
        <v>5</v>
      </c>
      <c r="Z180" s="21"/>
      <c r="AA180" s="13">
        <f>+_xlfn.ISOWEEKNUM(Control[[#This Row],[Fecha Requisición]])</f>
        <v>35</v>
      </c>
    </row>
    <row r="181" spans="1:27" hidden="1">
      <c r="A181" s="21" t="s">
        <v>1066</v>
      </c>
      <c r="B181" s="21" t="s">
        <v>1067</v>
      </c>
      <c r="C181" s="21" t="s">
        <v>1068</v>
      </c>
      <c r="D181" s="21" t="s">
        <v>1118</v>
      </c>
      <c r="E181" s="21">
        <v>126</v>
      </c>
      <c r="F181" s="21" t="s">
        <v>1069</v>
      </c>
      <c r="G181" s="21" t="s">
        <v>1050</v>
      </c>
      <c r="H181" s="21" t="s">
        <v>1050</v>
      </c>
      <c r="I181" s="21" t="s">
        <v>1050</v>
      </c>
      <c r="J181" s="21" t="s">
        <v>39</v>
      </c>
      <c r="K181" s="5"/>
      <c r="L181" s="5" t="s">
        <v>31</v>
      </c>
      <c r="M181" s="21" t="s">
        <v>1119</v>
      </c>
      <c r="N181" s="21" t="s">
        <v>1070</v>
      </c>
      <c r="O181" s="21" t="s">
        <v>384</v>
      </c>
      <c r="P181" s="21" t="s">
        <v>124</v>
      </c>
      <c r="Q181" s="21" t="s">
        <v>59</v>
      </c>
      <c r="R181" s="21" t="s">
        <v>1120</v>
      </c>
      <c r="S181" s="21" t="s">
        <v>514</v>
      </c>
      <c r="T181" s="2">
        <v>46261</v>
      </c>
      <c r="U181" s="2">
        <v>46267</v>
      </c>
      <c r="V181" s="21" t="s">
        <v>642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1" s="9">
        <f>+DATE(YEAR(Control[[#This Row],[Fecha Requisición]]),MONTH(Control[[#This Row],[Fecha Requisición]]),1)</f>
        <v>46235</v>
      </c>
      <c r="Y181" s="14">
        <f>+IF(Control[[#This Row],[Fecha de entrega]]="","",NETWORKDAYS(Control[[#This Row],[Fecha Requisición]],Control[[#This Row],[Fecha de entrega]]))</f>
        <v>8</v>
      </c>
      <c r="Z181" s="21"/>
      <c r="AA181" s="13">
        <f>+_xlfn.ISOWEEKNUM(Control[[#This Row],[Fecha Requisición]])</f>
        <v>35</v>
      </c>
    </row>
    <row r="182" spans="1:27" hidden="1">
      <c r="A182" s="21" t="s">
        <v>1071</v>
      </c>
      <c r="B182" s="21" t="s">
        <v>1072</v>
      </c>
      <c r="C182" s="21" t="s">
        <v>1073</v>
      </c>
      <c r="D182" s="21"/>
      <c r="E182" s="21">
        <v>127</v>
      </c>
      <c r="F182" s="21" t="s">
        <v>1074</v>
      </c>
      <c r="G182" s="21" t="s">
        <v>1075</v>
      </c>
      <c r="H182" s="21" t="s">
        <v>1075</v>
      </c>
      <c r="I182" s="21"/>
      <c r="J182" s="21"/>
      <c r="K182" s="5"/>
      <c r="L182" s="5" t="s">
        <v>31</v>
      </c>
      <c r="M182" s="21"/>
      <c r="N182" s="21" t="s">
        <v>975</v>
      </c>
      <c r="O182" s="21" t="s">
        <v>57</v>
      </c>
      <c r="P182" s="21" t="s">
        <v>124</v>
      </c>
      <c r="Q182" s="21" t="s">
        <v>36</v>
      </c>
      <c r="R182" s="21"/>
      <c r="S182" s="21" t="s">
        <v>641</v>
      </c>
      <c r="V182" s="21" t="s">
        <v>818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35</v>
      </c>
    </row>
    <row r="183" spans="1:27" hidden="1">
      <c r="A183" s="21" t="s">
        <v>1076</v>
      </c>
      <c r="B183" s="21" t="s">
        <v>1077</v>
      </c>
      <c r="C183" s="21" t="s">
        <v>1078</v>
      </c>
      <c r="D183" s="21"/>
      <c r="E183" s="21">
        <v>128</v>
      </c>
      <c r="F183" s="21" t="s">
        <v>1079</v>
      </c>
      <c r="G183" s="21" t="s">
        <v>1075</v>
      </c>
      <c r="H183" s="21" t="s">
        <v>1075</v>
      </c>
      <c r="I183" s="21"/>
      <c r="J183" s="21"/>
      <c r="K183" s="5"/>
      <c r="L183" s="5" t="s">
        <v>31</v>
      </c>
      <c r="M183" s="21"/>
      <c r="N183" s="21" t="s">
        <v>975</v>
      </c>
      <c r="O183" s="21" t="s">
        <v>101</v>
      </c>
      <c r="P183" s="21" t="s">
        <v>124</v>
      </c>
      <c r="Q183" s="21" t="s">
        <v>36</v>
      </c>
      <c r="R183" s="21"/>
      <c r="S183" s="21" t="s">
        <v>641</v>
      </c>
      <c r="V183" s="21" t="s">
        <v>818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 hidden="1">
      <c r="A184" s="21" t="s">
        <v>1080</v>
      </c>
      <c r="B184" s="21" t="s">
        <v>1081</v>
      </c>
      <c r="C184" s="21" t="s">
        <v>1082</v>
      </c>
      <c r="D184" s="21"/>
      <c r="E184" s="21">
        <v>129</v>
      </c>
      <c r="F184" s="21" t="s">
        <v>1083</v>
      </c>
      <c r="G184" s="21" t="s">
        <v>1075</v>
      </c>
      <c r="H184" s="21" t="s">
        <v>1075</v>
      </c>
      <c r="I184" s="21"/>
      <c r="J184" s="21"/>
      <c r="K184" s="5"/>
      <c r="L184" s="5" t="s">
        <v>31</v>
      </c>
      <c r="M184" s="21"/>
      <c r="N184" s="21" t="s">
        <v>975</v>
      </c>
      <c r="O184" s="21" t="s">
        <v>123</v>
      </c>
      <c r="P184" s="21" t="s">
        <v>124</v>
      </c>
      <c r="Q184" s="21" t="s">
        <v>36</v>
      </c>
      <c r="R184" s="21"/>
      <c r="S184" s="21" t="s">
        <v>641</v>
      </c>
      <c r="V184" s="21" t="s">
        <v>818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 hidden="1">
      <c r="A185" s="21" t="s">
        <v>1121</v>
      </c>
      <c r="B185" s="21" t="s">
        <v>1122</v>
      </c>
      <c r="C185" s="21" t="s">
        <v>1137</v>
      </c>
      <c r="D185" s="21"/>
      <c r="E185" s="21">
        <v>130</v>
      </c>
      <c r="F185" s="21" t="s">
        <v>1123</v>
      </c>
      <c r="G185" s="21" t="s">
        <v>1075</v>
      </c>
      <c r="H185" s="21" t="s">
        <v>1075</v>
      </c>
      <c r="I185" s="21"/>
      <c r="J185" s="21"/>
      <c r="K185" s="5"/>
      <c r="L185" s="5" t="s">
        <v>55</v>
      </c>
      <c r="M185" s="21"/>
      <c r="N185" s="21" t="s">
        <v>204</v>
      </c>
      <c r="O185" s="21" t="s">
        <v>101</v>
      </c>
      <c r="P185" s="21" t="s">
        <v>58</v>
      </c>
      <c r="Q185" s="21" t="s">
        <v>36</v>
      </c>
      <c r="R185" s="21"/>
      <c r="S185" s="21" t="s">
        <v>641</v>
      </c>
      <c r="V185" s="21" t="s">
        <v>818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5" s="9">
        <f>+DATE(YEAR(Control[[#This Row],[Fecha Requisición]]),MONTH(Control[[#This Row],[Fecha Requisición]]),1)</f>
        <v>46235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35</v>
      </c>
    </row>
    <row r="186" spans="1:27" hidden="1">
      <c r="A186" s="21" t="s">
        <v>1124</v>
      </c>
      <c r="B186" s="21" t="s">
        <v>1125</v>
      </c>
      <c r="C186" s="21" t="s">
        <v>1138</v>
      </c>
      <c r="D186" s="21"/>
      <c r="E186" s="21">
        <v>131</v>
      </c>
      <c r="F186" s="21" t="s">
        <v>1126</v>
      </c>
      <c r="G186" s="21" t="s">
        <v>1075</v>
      </c>
      <c r="H186" s="21" t="s">
        <v>1075</v>
      </c>
      <c r="I186" s="21"/>
      <c r="J186" s="21"/>
      <c r="K186" s="5"/>
      <c r="L186" s="5" t="s">
        <v>55</v>
      </c>
      <c r="M186" s="21"/>
      <c r="N186" s="21" t="s">
        <v>204</v>
      </c>
      <c r="O186" s="21" t="s">
        <v>101</v>
      </c>
      <c r="P186" s="21" t="s">
        <v>58</v>
      </c>
      <c r="Q186" s="21" t="s">
        <v>36</v>
      </c>
      <c r="R186" s="21"/>
      <c r="S186" s="21" t="s">
        <v>641</v>
      </c>
      <c r="V186" s="21" t="s">
        <v>818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6" s="9">
        <f>+DATE(YEAR(Control[[#This Row],[Fecha Requisición]]),MONTH(Control[[#This Row],[Fecha Requisición]]),1)</f>
        <v>46235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35</v>
      </c>
    </row>
    <row r="187" spans="1:27" hidden="1">
      <c r="A187" s="21" t="s">
        <v>1127</v>
      </c>
      <c r="B187" s="21" t="s">
        <v>1128</v>
      </c>
      <c r="C187" s="21" t="s">
        <v>1129</v>
      </c>
      <c r="D187" s="21" t="s">
        <v>1162</v>
      </c>
      <c r="E187" s="21">
        <v>132</v>
      </c>
      <c r="F187" s="21" t="s">
        <v>1130</v>
      </c>
      <c r="G187" s="21" t="s">
        <v>1075</v>
      </c>
      <c r="H187" s="21" t="s">
        <v>1075</v>
      </c>
      <c r="I187" s="21" t="s">
        <v>1075</v>
      </c>
      <c r="J187" s="21" t="s">
        <v>30</v>
      </c>
      <c r="K187" s="5">
        <v>1930043</v>
      </c>
      <c r="L187" s="5"/>
      <c r="M187" s="21" t="s">
        <v>1001</v>
      </c>
      <c r="N187" s="21"/>
      <c r="O187" s="21"/>
      <c r="P187" s="21"/>
      <c r="Q187" s="21"/>
      <c r="R187" s="21" t="s">
        <v>1163</v>
      </c>
      <c r="S187" s="21" t="s">
        <v>514</v>
      </c>
      <c r="U187" s="2">
        <v>46265</v>
      </c>
      <c r="V187" s="21" t="s">
        <v>1184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7" s="9">
        <f>+DATE(YEAR(Control[[#This Row],[Fecha Requisición]]),MONTH(Control[[#This Row],[Fecha Requisición]]),1)</f>
        <v>46235</v>
      </c>
      <c r="Y187" s="14">
        <f>+IF(Control[[#This Row],[Fecha de entrega]]="","",NETWORKDAYS(Control[[#This Row],[Fecha Requisición]],Control[[#This Row],[Fecha de entrega]]))</f>
        <v>5</v>
      </c>
      <c r="Z187" s="21"/>
      <c r="AA187" s="13">
        <f>+_xlfn.ISOWEEKNUM(Control[[#This Row],[Fecha Requisición]])</f>
        <v>35</v>
      </c>
    </row>
    <row r="188" spans="1:27" hidden="1">
      <c r="A188" s="21" t="s">
        <v>1131</v>
      </c>
      <c r="B188" s="21" t="s">
        <v>1132</v>
      </c>
      <c r="C188" s="21" t="s">
        <v>1139</v>
      </c>
      <c r="D188" s="21"/>
      <c r="E188" s="21">
        <v>133</v>
      </c>
      <c r="F188" s="21" t="s">
        <v>1133</v>
      </c>
      <c r="G188" s="21" t="s">
        <v>1075</v>
      </c>
      <c r="H188" s="21" t="s">
        <v>1075</v>
      </c>
      <c r="I188" s="21"/>
      <c r="J188" s="21"/>
      <c r="K188" s="5"/>
      <c r="L188" s="5" t="s">
        <v>55</v>
      </c>
      <c r="M188" s="21"/>
      <c r="N188" s="21" t="s">
        <v>204</v>
      </c>
      <c r="O188" s="21" t="s">
        <v>57</v>
      </c>
      <c r="P188" s="21" t="s">
        <v>58</v>
      </c>
      <c r="Q188" s="21" t="s">
        <v>36</v>
      </c>
      <c r="R188" s="21"/>
      <c r="S188" s="21" t="s">
        <v>641</v>
      </c>
      <c r="V188" s="21" t="s">
        <v>641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8" s="9">
        <f>+DATE(YEAR(Control[[#This Row],[Fecha Requisición]]),MONTH(Control[[#This Row],[Fecha Requisición]]),1)</f>
        <v>46235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35</v>
      </c>
    </row>
    <row r="189" spans="1:27" hidden="1">
      <c r="A189" s="21" t="s">
        <v>1134</v>
      </c>
      <c r="B189" s="21" t="s">
        <v>1135</v>
      </c>
      <c r="C189" s="21" t="s">
        <v>1140</v>
      </c>
      <c r="D189" s="21"/>
      <c r="E189" s="21">
        <v>134</v>
      </c>
      <c r="F189" s="21" t="s">
        <v>1136</v>
      </c>
      <c r="G189" s="21" t="s">
        <v>1075</v>
      </c>
      <c r="H189" s="21" t="s">
        <v>1075</v>
      </c>
      <c r="I189" s="21"/>
      <c r="J189" s="21"/>
      <c r="K189" s="5"/>
      <c r="L189" s="5" t="s">
        <v>55</v>
      </c>
      <c r="M189" s="21"/>
      <c r="N189" s="21" t="s">
        <v>204</v>
      </c>
      <c r="O189" s="21" t="s">
        <v>101</v>
      </c>
      <c r="P189" s="21" t="s">
        <v>58</v>
      </c>
      <c r="Q189" s="21" t="s">
        <v>36</v>
      </c>
      <c r="R189" s="21"/>
      <c r="S189" s="21" t="s">
        <v>641</v>
      </c>
      <c r="V189" s="21" t="s">
        <v>641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35</v>
      </c>
    </row>
    <row r="190" spans="1:27" hidden="1">
      <c r="A190" s="21" t="s">
        <v>1164</v>
      </c>
      <c r="B190" s="21" t="s">
        <v>1165</v>
      </c>
      <c r="C190" s="21" t="s">
        <v>1166</v>
      </c>
      <c r="D190" s="21" t="s">
        <v>1167</v>
      </c>
      <c r="E190" s="21">
        <v>135</v>
      </c>
      <c r="F190" s="21" t="s">
        <v>1168</v>
      </c>
      <c r="G190" s="21" t="s">
        <v>1169</v>
      </c>
      <c r="H190" s="21" t="s">
        <v>1169</v>
      </c>
      <c r="I190" s="21" t="s">
        <v>1169</v>
      </c>
      <c r="J190" s="21" t="s">
        <v>30</v>
      </c>
      <c r="K190" s="5">
        <v>500654</v>
      </c>
      <c r="L190" s="5" t="s">
        <v>55</v>
      </c>
      <c r="M190" s="21" t="s">
        <v>1170</v>
      </c>
      <c r="N190" s="21" t="s">
        <v>93</v>
      </c>
      <c r="O190" s="21" t="s">
        <v>57</v>
      </c>
      <c r="P190" s="21" t="s">
        <v>58</v>
      </c>
      <c r="Q190" s="21" t="s">
        <v>94</v>
      </c>
      <c r="R190" s="21" t="s">
        <v>1171</v>
      </c>
      <c r="S190" s="21" t="s">
        <v>514</v>
      </c>
      <c r="U190" s="2">
        <v>46238</v>
      </c>
      <c r="V190" s="21" t="s">
        <v>642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0" s="9">
        <f>+DATE(YEAR(Control[[#This Row],[Fecha Requisición]]),MONTH(Control[[#This Row],[Fecha Requisición]]),1)</f>
        <v>46235</v>
      </c>
      <c r="Y190" s="14">
        <f>+IF(Control[[#This Row],[Fecha de entrega]]="","",NETWORKDAYS(Control[[#This Row],[Fecha Requisición]],Control[[#This Row],[Fecha de entrega]]))</f>
        <v>-17</v>
      </c>
      <c r="Z190" s="21"/>
      <c r="AA190" s="13">
        <f>+_xlfn.ISOWEEKNUM(Control[[#This Row],[Fecha Requisición]])</f>
        <v>35</v>
      </c>
    </row>
    <row r="191" spans="1:27" hidden="1">
      <c r="A191" s="21" t="s">
        <v>1179</v>
      </c>
      <c r="B191" s="21" t="s">
        <v>1180</v>
      </c>
      <c r="C191" s="21" t="s">
        <v>1181</v>
      </c>
      <c r="D191" s="21"/>
      <c r="E191" s="21">
        <v>136</v>
      </c>
      <c r="F191" s="21" t="s">
        <v>1182</v>
      </c>
      <c r="G191" s="21" t="s">
        <v>1169</v>
      </c>
      <c r="H191" s="21" t="s">
        <v>1169</v>
      </c>
      <c r="I191" s="21"/>
      <c r="J191" s="21"/>
      <c r="K191" s="5"/>
      <c r="L191" s="5" t="s">
        <v>31</v>
      </c>
      <c r="M191" s="21"/>
      <c r="N191" s="21" t="s">
        <v>975</v>
      </c>
      <c r="O191" s="21" t="s">
        <v>57</v>
      </c>
      <c r="P191" s="21" t="s">
        <v>124</v>
      </c>
      <c r="Q191" s="21" t="s">
        <v>36</v>
      </c>
      <c r="R191" s="21"/>
      <c r="S191" s="21" t="s">
        <v>641</v>
      </c>
      <c r="V191" s="21" t="s">
        <v>641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1" s="9">
        <f>+DATE(YEAR(Control[[#This Row],[Fecha Requisición]]),MONTH(Control[[#This Row],[Fecha Requisición]]),1)</f>
        <v>46235</v>
      </c>
      <c r="Y191" s="14" t="str">
        <f>+IF(Control[[#This Row],[Fecha de entrega]]="","",NETWORKDAYS(Control[[#This Row],[Fecha Requisición]],Control[[#This Row],[Fecha de entrega]]))</f>
        <v/>
      </c>
      <c r="Z191" s="21"/>
      <c r="AA191" s="13">
        <f>+_xlfn.ISOWEEKNUM(Control[[#This Row],[Fecha Requisición]])</f>
        <v>35</v>
      </c>
    </row>
    <row r="192" spans="1:27" hidden="1">
      <c r="A192" s="21" t="s">
        <v>1172</v>
      </c>
      <c r="B192" s="21" t="s">
        <v>1173</v>
      </c>
      <c r="C192" s="21" t="s">
        <v>1174</v>
      </c>
      <c r="D192" s="21" t="s">
        <v>1175</v>
      </c>
      <c r="E192" s="21">
        <v>137</v>
      </c>
      <c r="F192" s="21" t="s">
        <v>1176</v>
      </c>
      <c r="G192" s="21" t="s">
        <v>1177</v>
      </c>
      <c r="H192" s="21" t="s">
        <v>1177</v>
      </c>
      <c r="I192" s="21" t="s">
        <v>1177</v>
      </c>
      <c r="J192" s="21" t="s">
        <v>30</v>
      </c>
      <c r="K192" s="5">
        <v>1837303</v>
      </c>
      <c r="L192" s="5"/>
      <c r="M192" s="21" t="s">
        <v>1001</v>
      </c>
      <c r="N192" s="21"/>
      <c r="O192" s="21"/>
      <c r="P192" s="21"/>
      <c r="Q192" s="21"/>
      <c r="R192" s="21" t="s">
        <v>1178</v>
      </c>
      <c r="S192" s="21" t="s">
        <v>514</v>
      </c>
      <c r="U192" s="2">
        <v>46265</v>
      </c>
      <c r="V192" s="21" t="s">
        <v>1143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2" s="9">
        <f>+DATE(YEAR(Control[[#This Row],[Fecha Requisición]]),MONTH(Control[[#This Row],[Fecha Requisición]]),1)</f>
        <v>46235</v>
      </c>
      <c r="Y192" s="14">
        <f>+IF(Control[[#This Row],[Fecha de entrega]]="","",NETWORKDAYS(Control[[#This Row],[Fecha Requisición]],Control[[#This Row],[Fecha de entrega]]))</f>
        <v>3</v>
      </c>
      <c r="Z192" s="21"/>
      <c r="AA192" s="13">
        <f>+_xlfn.ISOWEEKNUM(Control[[#This Row],[Fecha Requisición]])</f>
        <v>35</v>
      </c>
    </row>
    <row r="193" spans="1:27" hidden="1">
      <c r="A193" s="21" t="s">
        <v>1195</v>
      </c>
      <c r="B193" s="21" t="s">
        <v>1196</v>
      </c>
      <c r="C193" s="21" t="s">
        <v>1197</v>
      </c>
      <c r="D193" s="21"/>
      <c r="E193" s="21">
        <v>138</v>
      </c>
      <c r="F193" s="21" t="s">
        <v>1198</v>
      </c>
      <c r="G193" s="21" t="s">
        <v>1177</v>
      </c>
      <c r="H193" s="21" t="s">
        <v>1177</v>
      </c>
      <c r="I193" s="21"/>
      <c r="J193" s="21"/>
      <c r="K193" s="5"/>
      <c r="L193" s="5" t="s">
        <v>55</v>
      </c>
      <c r="M193" s="21"/>
      <c r="N193" s="21" t="s">
        <v>903</v>
      </c>
      <c r="O193" s="21" t="s">
        <v>384</v>
      </c>
      <c r="P193" s="21" t="s">
        <v>58</v>
      </c>
      <c r="Q193" s="21" t="s">
        <v>36</v>
      </c>
      <c r="R193" s="21"/>
      <c r="S193" s="21" t="s">
        <v>517</v>
      </c>
      <c r="V193" s="21" t="s">
        <v>1185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3" s="9">
        <f>+DATE(YEAR(Control[[#This Row],[Fecha Requisición]]),MONTH(Control[[#This Row],[Fecha Requisición]]),1)</f>
        <v>46235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35</v>
      </c>
    </row>
    <row r="194" spans="1:27" hidden="1">
      <c r="A194" s="21" t="s">
        <v>1199</v>
      </c>
      <c r="B194" s="21" t="s">
        <v>1200</v>
      </c>
      <c r="C194" s="21" t="s">
        <v>1201</v>
      </c>
      <c r="D194" s="21"/>
      <c r="E194" s="21">
        <v>139</v>
      </c>
      <c r="F194" s="21" t="s">
        <v>1202</v>
      </c>
      <c r="G194" s="21" t="s">
        <v>1177</v>
      </c>
      <c r="H194" s="21" t="s">
        <v>1177</v>
      </c>
      <c r="I194" s="21"/>
      <c r="J194" s="21"/>
      <c r="K194" s="5"/>
      <c r="L194" s="5" t="s">
        <v>31</v>
      </c>
      <c r="M194" s="21"/>
      <c r="N194" s="21" t="s">
        <v>975</v>
      </c>
      <c r="O194" s="21" t="s">
        <v>101</v>
      </c>
      <c r="P194" s="21" t="s">
        <v>124</v>
      </c>
      <c r="Q194" s="21" t="s">
        <v>36</v>
      </c>
      <c r="R194" s="21"/>
      <c r="S194" s="21" t="s">
        <v>641</v>
      </c>
      <c r="V194" s="21" t="s">
        <v>641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4" s="9">
        <f>+DATE(YEAR(Control[[#This Row],[Fecha Requisición]]),MONTH(Control[[#This Row],[Fecha Requisición]]),1)</f>
        <v>46235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35</v>
      </c>
    </row>
    <row r="195" spans="1:27" hidden="1">
      <c r="A195" s="21" t="s">
        <v>1203</v>
      </c>
      <c r="B195" s="21" t="s">
        <v>1204</v>
      </c>
      <c r="C195" s="21" t="s">
        <v>1205</v>
      </c>
      <c r="D195" s="21" t="s">
        <v>1237</v>
      </c>
      <c r="E195" s="21">
        <v>140</v>
      </c>
      <c r="F195" s="21" t="s">
        <v>1206</v>
      </c>
      <c r="G195" s="21" t="s">
        <v>1191</v>
      </c>
      <c r="H195" s="21" t="s">
        <v>1191</v>
      </c>
      <c r="I195" s="21" t="s">
        <v>1191</v>
      </c>
      <c r="J195" s="21" t="s">
        <v>39</v>
      </c>
      <c r="K195" s="5">
        <v>336502</v>
      </c>
      <c r="L195" s="5" t="s">
        <v>55</v>
      </c>
      <c r="M195" s="21" t="s">
        <v>741</v>
      </c>
      <c r="N195" s="21" t="s">
        <v>1207</v>
      </c>
      <c r="O195" s="21" t="s">
        <v>101</v>
      </c>
      <c r="P195" s="21" t="s">
        <v>58</v>
      </c>
      <c r="Q195" s="21" t="s">
        <v>36</v>
      </c>
      <c r="R195" s="21" t="s">
        <v>1238</v>
      </c>
      <c r="S195" s="21" t="s">
        <v>514</v>
      </c>
      <c r="T195" s="2">
        <v>46273</v>
      </c>
      <c r="V195" s="21" t="s">
        <v>1323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5" s="9">
        <f>+DATE(YEAR(Control[[#This Row],[Fecha Requisición]]),MONTH(Control[[#This Row],[Fecha Requisición]]),1)</f>
        <v>46235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36</v>
      </c>
    </row>
    <row r="196" spans="1:27" hidden="1">
      <c r="A196" s="21" t="s">
        <v>1186</v>
      </c>
      <c r="B196" s="21" t="s">
        <v>1187</v>
      </c>
      <c r="C196" s="21" t="s">
        <v>1188</v>
      </c>
      <c r="D196" s="21" t="s">
        <v>1239</v>
      </c>
      <c r="E196" s="21">
        <v>141</v>
      </c>
      <c r="F196" s="21" t="s">
        <v>1190</v>
      </c>
      <c r="G196" s="21" t="s">
        <v>1191</v>
      </c>
      <c r="H196" s="21" t="s">
        <v>1191</v>
      </c>
      <c r="I196" s="21" t="s">
        <v>1191</v>
      </c>
      <c r="J196" s="21" t="s">
        <v>30</v>
      </c>
      <c r="K196" s="5"/>
      <c r="L196" s="5" t="s">
        <v>31</v>
      </c>
      <c r="M196" s="21" t="s">
        <v>1240</v>
      </c>
      <c r="N196" s="21" t="s">
        <v>1193</v>
      </c>
      <c r="O196" s="21" t="s">
        <v>57</v>
      </c>
      <c r="P196" s="21" t="s">
        <v>463</v>
      </c>
      <c r="Q196" s="21" t="s">
        <v>94</v>
      </c>
      <c r="R196" s="21" t="s">
        <v>1241</v>
      </c>
      <c r="S196" s="21" t="s">
        <v>514</v>
      </c>
      <c r="U196" s="2">
        <v>46267</v>
      </c>
      <c r="V196" s="21" t="s">
        <v>1214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6" s="9">
        <f>+DATE(YEAR(Control[[#This Row],[Fecha Requisición]]),MONTH(Control[[#This Row],[Fecha Requisición]]),1)</f>
        <v>46235</v>
      </c>
      <c r="Y196" s="14">
        <f>+IF(Control[[#This Row],[Fecha de entrega]]="","",NETWORKDAYS(Control[[#This Row],[Fecha Requisición]],Control[[#This Row],[Fecha de entrega]]))</f>
        <v>3</v>
      </c>
      <c r="Z196" s="21"/>
      <c r="AA196" s="13">
        <f>+_xlfn.ISOWEEKNUM(Control[[#This Row],[Fecha Requisición]])</f>
        <v>36</v>
      </c>
    </row>
    <row r="197" spans="1:27" hidden="1">
      <c r="A197" s="21" t="s">
        <v>1186</v>
      </c>
      <c r="B197" s="21" t="s">
        <v>1187</v>
      </c>
      <c r="C197" s="21" t="s">
        <v>1188</v>
      </c>
      <c r="D197" s="21" t="s">
        <v>1189</v>
      </c>
      <c r="E197" s="21">
        <v>141</v>
      </c>
      <c r="F197" s="21" t="s">
        <v>1190</v>
      </c>
      <c r="G197" s="21" t="s">
        <v>1191</v>
      </c>
      <c r="H197" s="21" t="s">
        <v>1191</v>
      </c>
      <c r="I197" s="21" t="s">
        <v>1191</v>
      </c>
      <c r="J197" s="21" t="s">
        <v>39</v>
      </c>
      <c r="K197" s="5">
        <v>883396</v>
      </c>
      <c r="L197" s="5" t="s">
        <v>31</v>
      </c>
      <c r="M197" s="21" t="s">
        <v>1192</v>
      </c>
      <c r="N197" s="21" t="s">
        <v>1193</v>
      </c>
      <c r="O197" s="21" t="s">
        <v>57</v>
      </c>
      <c r="P197" s="21" t="s">
        <v>463</v>
      </c>
      <c r="Q197" s="21" t="s">
        <v>94</v>
      </c>
      <c r="R197" s="21" t="s">
        <v>1194</v>
      </c>
      <c r="S197" s="21" t="s">
        <v>514</v>
      </c>
      <c r="U197" s="2">
        <v>46267</v>
      </c>
      <c r="V197" s="21" t="s">
        <v>1214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7" s="9">
        <f>+DATE(YEAR(Control[[#This Row],[Fecha Requisición]]),MONTH(Control[[#This Row],[Fecha Requisición]]),1)</f>
        <v>46235</v>
      </c>
      <c r="Y197" s="14">
        <f>+IF(Control[[#This Row],[Fecha de entrega]]="","",NETWORKDAYS(Control[[#This Row],[Fecha Requisición]],Control[[#This Row],[Fecha de entrega]]))</f>
        <v>3</v>
      </c>
      <c r="Z197" s="21"/>
      <c r="AA197" s="13">
        <f>+_xlfn.ISOWEEKNUM(Control[[#This Row],[Fecha Requisición]])</f>
        <v>36</v>
      </c>
    </row>
    <row r="198" spans="1:27" hidden="1">
      <c r="A198" s="21" t="s">
        <v>1208</v>
      </c>
      <c r="B198" s="21" t="s">
        <v>1209</v>
      </c>
      <c r="C198" s="21" t="s">
        <v>1210</v>
      </c>
      <c r="D198" s="21"/>
      <c r="E198" s="21">
        <v>142</v>
      </c>
      <c r="F198" s="21" t="s">
        <v>1211</v>
      </c>
      <c r="G198" s="21" t="s">
        <v>1212</v>
      </c>
      <c r="H198" s="21" t="s">
        <v>1212</v>
      </c>
      <c r="I198" s="21"/>
      <c r="J198" s="21"/>
      <c r="K198" s="5"/>
      <c r="L198" s="5" t="s">
        <v>55</v>
      </c>
      <c r="M198" s="21"/>
      <c r="N198" s="21" t="s">
        <v>705</v>
      </c>
      <c r="O198" s="21" t="s">
        <v>101</v>
      </c>
      <c r="P198" s="21" t="s">
        <v>58</v>
      </c>
      <c r="Q198" s="21" t="s">
        <v>36</v>
      </c>
      <c r="R198" s="21"/>
      <c r="S198" s="21" t="s">
        <v>514</v>
      </c>
      <c r="V198" s="21" t="s">
        <v>1368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8" s="9">
        <f>+DATE(YEAR(Control[[#This Row],[Fecha Requisición]]),MONTH(Control[[#This Row],[Fecha Requisición]]),1)</f>
        <v>46266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36</v>
      </c>
    </row>
    <row r="199" spans="1:27" hidden="1">
      <c r="A199" s="21" t="s">
        <v>1215</v>
      </c>
      <c r="B199" s="21" t="s">
        <v>1216</v>
      </c>
      <c r="C199" s="21" t="s">
        <v>1217</v>
      </c>
      <c r="D199" s="21" t="s">
        <v>1242</v>
      </c>
      <c r="E199" s="21">
        <v>143</v>
      </c>
      <c r="F199" s="21" t="s">
        <v>1218</v>
      </c>
      <c r="G199" s="21" t="s">
        <v>1219</v>
      </c>
      <c r="H199" s="21" t="s">
        <v>1219</v>
      </c>
      <c r="I199" s="21" t="s">
        <v>1219</v>
      </c>
      <c r="J199" s="21" t="s">
        <v>30</v>
      </c>
      <c r="K199" s="5"/>
      <c r="L199" s="5" t="s">
        <v>31</v>
      </c>
      <c r="M199" s="21" t="s">
        <v>1243</v>
      </c>
      <c r="N199" s="21" t="s">
        <v>975</v>
      </c>
      <c r="O199" s="21" t="s">
        <v>57</v>
      </c>
      <c r="P199" s="21" t="s">
        <v>124</v>
      </c>
      <c r="Q199" s="21" t="s">
        <v>36</v>
      </c>
      <c r="R199" s="21" t="s">
        <v>1244</v>
      </c>
      <c r="S199" s="21" t="s">
        <v>514</v>
      </c>
      <c r="V199" s="21" t="s">
        <v>1369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9" s="9">
        <f>+DATE(YEAR(Control[[#This Row],[Fecha Requisición]]),MONTH(Control[[#This Row],[Fecha Requisición]]),1)</f>
        <v>46266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36</v>
      </c>
    </row>
    <row r="200" spans="1:27" hidden="1">
      <c r="A200" s="21" t="s">
        <v>1215</v>
      </c>
      <c r="B200" s="21" t="s">
        <v>1216</v>
      </c>
      <c r="C200" s="21" t="s">
        <v>1217</v>
      </c>
      <c r="D200" s="21" t="s">
        <v>1371</v>
      </c>
      <c r="E200" s="21">
        <v>143</v>
      </c>
      <c r="F200" s="21" t="s">
        <v>1218</v>
      </c>
      <c r="G200" s="21" t="s">
        <v>1219</v>
      </c>
      <c r="H200" s="21" t="s">
        <v>1219</v>
      </c>
      <c r="I200" s="21" t="s">
        <v>1219</v>
      </c>
      <c r="J200" s="21" t="s">
        <v>30</v>
      </c>
      <c r="K200" s="5"/>
      <c r="L200" s="5" t="s">
        <v>31</v>
      </c>
      <c r="M200" s="21" t="s">
        <v>1243</v>
      </c>
      <c r="N200" s="21" t="s">
        <v>975</v>
      </c>
      <c r="O200" s="21" t="s">
        <v>57</v>
      </c>
      <c r="P200" s="21" t="s">
        <v>124</v>
      </c>
      <c r="Q200" s="21" t="s">
        <v>36</v>
      </c>
      <c r="R200" s="21" t="s">
        <v>1372</v>
      </c>
      <c r="S200" s="21" t="s">
        <v>514</v>
      </c>
      <c r="V200" s="21" t="s">
        <v>1369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00" s="9">
        <f>+DATE(YEAR(Control[[#This Row],[Fecha Requisición]]),MONTH(Control[[#This Row],[Fecha Requisición]]),1)</f>
        <v>46266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36</v>
      </c>
    </row>
    <row r="201" spans="1:27" hidden="1">
      <c r="A201" s="21" t="s">
        <v>1220</v>
      </c>
      <c r="B201" s="21" t="s">
        <v>1221</v>
      </c>
      <c r="C201" s="21" t="s">
        <v>1222</v>
      </c>
      <c r="D201" s="21" t="s">
        <v>1245</v>
      </c>
      <c r="E201" s="21">
        <v>144</v>
      </c>
      <c r="F201" s="21" t="s">
        <v>1223</v>
      </c>
      <c r="G201" s="21" t="s">
        <v>1219</v>
      </c>
      <c r="H201" s="21" t="s">
        <v>1219</v>
      </c>
      <c r="I201" s="21" t="s">
        <v>1219</v>
      </c>
      <c r="J201" s="21" t="s">
        <v>30</v>
      </c>
      <c r="K201" s="5"/>
      <c r="L201" s="5" t="s">
        <v>31</v>
      </c>
      <c r="M201" s="21" t="s">
        <v>1243</v>
      </c>
      <c r="N201" s="21" t="s">
        <v>975</v>
      </c>
      <c r="O201" s="21" t="s">
        <v>123</v>
      </c>
      <c r="P201" s="21" t="s">
        <v>124</v>
      </c>
      <c r="Q201" s="21" t="s">
        <v>36</v>
      </c>
      <c r="R201" s="21" t="s">
        <v>1246</v>
      </c>
      <c r="S201" s="21" t="s">
        <v>514</v>
      </c>
      <c r="V201" s="21" t="s">
        <v>1232</v>
      </c>
      <c r="W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01" s="9">
        <f>+DATE(YEAR(Control[[#This Row],[Fecha Requisición]]),MONTH(Control[[#This Row],[Fecha Requisición]]),1)</f>
        <v>46266</v>
      </c>
      <c r="Y201" s="14" t="str">
        <f>+IF(Control[[#This Row],[Fecha de entrega]]="","",NETWORKDAYS(Control[[#This Row],[Fecha Requisición]],Control[[#This Row],[Fecha de entrega]]))</f>
        <v/>
      </c>
      <c r="Z201" s="21"/>
      <c r="AA201" s="13">
        <f>+_xlfn.ISOWEEKNUM(Control[[#This Row],[Fecha Requisición]])</f>
        <v>36</v>
      </c>
    </row>
    <row r="202" spans="1:27" hidden="1">
      <c r="A202" s="21" t="s">
        <v>1224</v>
      </c>
      <c r="B202" s="21" t="s">
        <v>1225</v>
      </c>
      <c r="C202" s="21" t="s">
        <v>1226</v>
      </c>
      <c r="D202" s="21" t="s">
        <v>1247</v>
      </c>
      <c r="E202" s="21">
        <v>145</v>
      </c>
      <c r="F202" s="21" t="s">
        <v>1227</v>
      </c>
      <c r="G202" s="21" t="s">
        <v>1219</v>
      </c>
      <c r="H202" s="21" t="s">
        <v>1219</v>
      </c>
      <c r="I202" s="21" t="s">
        <v>1219</v>
      </c>
      <c r="J202" s="21" t="s">
        <v>30</v>
      </c>
      <c r="K202" s="5"/>
      <c r="L202" s="5" t="s">
        <v>31</v>
      </c>
      <c r="M202" s="21" t="s">
        <v>1114</v>
      </c>
      <c r="N202" s="21" t="s">
        <v>975</v>
      </c>
      <c r="O202" s="21" t="s">
        <v>101</v>
      </c>
      <c r="P202" s="21" t="s">
        <v>124</v>
      </c>
      <c r="Q202" s="21" t="s">
        <v>36</v>
      </c>
      <c r="R202" s="21" t="s">
        <v>1248</v>
      </c>
      <c r="S202" s="21" t="s">
        <v>514</v>
      </c>
      <c r="V202" s="21" t="s">
        <v>1233</v>
      </c>
      <c r="W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02" s="9">
        <f>+DATE(YEAR(Control[[#This Row],[Fecha Requisición]]),MONTH(Control[[#This Row],[Fecha Requisición]]),1)</f>
        <v>46266</v>
      </c>
      <c r="Y202" s="14" t="str">
        <f>+IF(Control[[#This Row],[Fecha de entrega]]="","",NETWORKDAYS(Control[[#This Row],[Fecha Requisición]],Control[[#This Row],[Fecha de entrega]]))</f>
        <v/>
      </c>
      <c r="Z202" s="21"/>
      <c r="AA202" s="13">
        <f>+_xlfn.ISOWEEKNUM(Control[[#This Row],[Fecha Requisición]])</f>
        <v>36</v>
      </c>
    </row>
    <row r="203" spans="1:27" hidden="1">
      <c r="A203" s="21" t="s">
        <v>1224</v>
      </c>
      <c r="B203" s="21" t="s">
        <v>1225</v>
      </c>
      <c r="C203" s="21" t="s">
        <v>1226</v>
      </c>
      <c r="D203" s="21" t="s">
        <v>1249</v>
      </c>
      <c r="E203" s="21">
        <v>145</v>
      </c>
      <c r="F203" s="21" t="s">
        <v>1227</v>
      </c>
      <c r="G203" s="21" t="s">
        <v>1219</v>
      </c>
      <c r="H203" s="21" t="s">
        <v>1219</v>
      </c>
      <c r="I203" s="21" t="s">
        <v>1219</v>
      </c>
      <c r="J203" s="21" t="s">
        <v>30</v>
      </c>
      <c r="K203" s="5"/>
      <c r="L203" s="5" t="s">
        <v>31</v>
      </c>
      <c r="M203" s="21" t="s">
        <v>1243</v>
      </c>
      <c r="N203" s="21" t="s">
        <v>975</v>
      </c>
      <c r="O203" s="21" t="s">
        <v>101</v>
      </c>
      <c r="P203" s="21" t="s">
        <v>124</v>
      </c>
      <c r="Q203" s="21" t="s">
        <v>36</v>
      </c>
      <c r="R203" s="21" t="s">
        <v>1250</v>
      </c>
      <c r="S203" s="21" t="s">
        <v>514</v>
      </c>
      <c r="V203" s="21" t="s">
        <v>1233</v>
      </c>
      <c r="W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03" s="9">
        <f>+DATE(YEAR(Control[[#This Row],[Fecha Requisición]]),MONTH(Control[[#This Row],[Fecha Requisición]]),1)</f>
        <v>46266</v>
      </c>
      <c r="Y203" s="14" t="str">
        <f>+IF(Control[[#This Row],[Fecha de entrega]]="","",NETWORKDAYS(Control[[#This Row],[Fecha Requisición]],Control[[#This Row],[Fecha de entrega]]))</f>
        <v/>
      </c>
      <c r="Z203" s="21"/>
      <c r="AA203" s="13">
        <f>+_xlfn.ISOWEEKNUM(Control[[#This Row],[Fecha Requisición]])</f>
        <v>36</v>
      </c>
    </row>
    <row r="204" spans="1:27" hidden="1">
      <c r="A204" s="21" t="s">
        <v>1228</v>
      </c>
      <c r="B204" s="21" t="s">
        <v>1229</v>
      </c>
      <c r="C204" s="21" t="s">
        <v>1230</v>
      </c>
      <c r="D204" s="21"/>
      <c r="E204" s="21">
        <v>146</v>
      </c>
      <c r="F204" s="21" t="s">
        <v>1231</v>
      </c>
      <c r="G204" s="21" t="s">
        <v>1219</v>
      </c>
      <c r="H204" s="21" t="s">
        <v>1219</v>
      </c>
      <c r="I204" s="21"/>
      <c r="J204" s="21"/>
      <c r="K204" s="5"/>
      <c r="L204" s="5" t="s">
        <v>31</v>
      </c>
      <c r="M204" s="21"/>
      <c r="N204" s="21" t="s">
        <v>371</v>
      </c>
      <c r="O204" s="21" t="s">
        <v>176</v>
      </c>
      <c r="P204" s="21" t="s">
        <v>124</v>
      </c>
      <c r="Q204" s="21" t="s">
        <v>36</v>
      </c>
      <c r="R204" s="21"/>
      <c r="S204" s="21" t="s">
        <v>514</v>
      </c>
      <c r="V204" s="21" t="s">
        <v>1234</v>
      </c>
      <c r="W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4" s="9">
        <f>+DATE(YEAR(Control[[#This Row],[Fecha Requisición]]),MONTH(Control[[#This Row],[Fecha Requisición]]),1)</f>
        <v>46266</v>
      </c>
      <c r="Y204" s="14" t="str">
        <f>+IF(Control[[#This Row],[Fecha de entrega]]="","",NETWORKDAYS(Control[[#This Row],[Fecha Requisición]],Control[[#This Row],[Fecha de entrega]]))</f>
        <v/>
      </c>
      <c r="Z204" s="21"/>
      <c r="AA204" s="13">
        <f>+_xlfn.ISOWEEKNUM(Control[[#This Row],[Fecha Requisición]])</f>
        <v>36</v>
      </c>
    </row>
    <row r="205" spans="1:27" hidden="1">
      <c r="A205" s="21" t="s">
        <v>1251</v>
      </c>
      <c r="B205" s="21" t="s">
        <v>1252</v>
      </c>
      <c r="C205" s="21" t="s">
        <v>1253</v>
      </c>
      <c r="D205" s="21"/>
      <c r="E205" s="21">
        <v>147</v>
      </c>
      <c r="F205" s="21" t="s">
        <v>1254</v>
      </c>
      <c r="G205" s="21" t="s">
        <v>1255</v>
      </c>
      <c r="H205" s="21" t="s">
        <v>1255</v>
      </c>
      <c r="I205" s="21"/>
      <c r="J205" s="21"/>
      <c r="K205" s="5"/>
      <c r="L205" s="5" t="s">
        <v>31</v>
      </c>
      <c r="M205" s="21"/>
      <c r="N205" s="21" t="s">
        <v>909</v>
      </c>
      <c r="O205" s="21" t="s">
        <v>34</v>
      </c>
      <c r="P205" s="21" t="s">
        <v>273</v>
      </c>
      <c r="Q205" s="21" t="s">
        <v>59</v>
      </c>
      <c r="R205" s="21"/>
      <c r="S205" s="21" t="s">
        <v>772</v>
      </c>
      <c r="V205" s="21" t="s">
        <v>818</v>
      </c>
      <c r="W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5" s="9">
        <f>+DATE(YEAR(Control[[#This Row],[Fecha Requisición]]),MONTH(Control[[#This Row],[Fecha Requisición]]),1)</f>
        <v>46266</v>
      </c>
      <c r="Y205" s="14" t="str">
        <f>+IF(Control[[#This Row],[Fecha de entrega]]="","",NETWORKDAYS(Control[[#This Row],[Fecha Requisición]],Control[[#This Row],[Fecha de entrega]]))</f>
        <v/>
      </c>
      <c r="Z205" s="21"/>
      <c r="AA205" s="13">
        <f>+_xlfn.ISOWEEKNUM(Control[[#This Row],[Fecha Requisición]])</f>
        <v>36</v>
      </c>
    </row>
    <row r="206" spans="1:27" hidden="1">
      <c r="A206" s="21" t="s">
        <v>1256</v>
      </c>
      <c r="B206" s="21" t="s">
        <v>1257</v>
      </c>
      <c r="C206" s="21" t="s">
        <v>1258</v>
      </c>
      <c r="D206" s="21"/>
      <c r="E206" s="21">
        <v>148</v>
      </c>
      <c r="F206" s="21" t="s">
        <v>1259</v>
      </c>
      <c r="G206" s="21" t="s">
        <v>1255</v>
      </c>
      <c r="H206" s="21" t="s">
        <v>1255</v>
      </c>
      <c r="I206" s="21"/>
      <c r="J206" s="21"/>
      <c r="K206" s="5"/>
      <c r="L206" s="5" t="s">
        <v>31</v>
      </c>
      <c r="M206" s="21"/>
      <c r="N206" s="21" t="s">
        <v>1193</v>
      </c>
      <c r="O206" s="21" t="s">
        <v>57</v>
      </c>
      <c r="P206" s="21" t="s">
        <v>463</v>
      </c>
      <c r="Q206" s="21" t="s">
        <v>94</v>
      </c>
      <c r="R206" s="21"/>
      <c r="S206" s="21" t="s">
        <v>772</v>
      </c>
      <c r="V206" s="21" t="s">
        <v>818</v>
      </c>
      <c r="W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6" s="9">
        <f>+DATE(YEAR(Control[[#This Row],[Fecha Requisición]]),MONTH(Control[[#This Row],[Fecha Requisición]]),1)</f>
        <v>46266</v>
      </c>
      <c r="Y206" s="14" t="str">
        <f>+IF(Control[[#This Row],[Fecha de entrega]]="","",NETWORKDAYS(Control[[#This Row],[Fecha Requisición]],Control[[#This Row],[Fecha de entrega]]))</f>
        <v/>
      </c>
      <c r="Z206" s="21"/>
      <c r="AA206" s="13">
        <f>+_xlfn.ISOWEEKNUM(Control[[#This Row],[Fecha Requisición]])</f>
        <v>36</v>
      </c>
    </row>
    <row r="207" spans="1:27" hidden="1">
      <c r="A207" s="21" t="s">
        <v>1260</v>
      </c>
      <c r="B207" s="21" t="s">
        <v>1261</v>
      </c>
      <c r="C207" s="21" t="s">
        <v>1262</v>
      </c>
      <c r="D207" s="21"/>
      <c r="E207" s="21">
        <v>149</v>
      </c>
      <c r="F207" s="21" t="s">
        <v>1263</v>
      </c>
      <c r="G207" s="21" t="s">
        <v>1255</v>
      </c>
      <c r="H207" s="21" t="s">
        <v>1255</v>
      </c>
      <c r="I207" s="21"/>
      <c r="J207" s="21"/>
      <c r="K207" s="5"/>
      <c r="L207" s="5" t="s">
        <v>31</v>
      </c>
      <c r="M207" s="21"/>
      <c r="N207" s="21" t="s">
        <v>765</v>
      </c>
      <c r="O207" s="21" t="s">
        <v>57</v>
      </c>
      <c r="P207" s="21" t="s">
        <v>35</v>
      </c>
      <c r="Q207" s="21" t="s">
        <v>94</v>
      </c>
      <c r="R207" s="21"/>
      <c r="S207" s="21" t="s">
        <v>517</v>
      </c>
      <c r="V207" s="21" t="s">
        <v>818</v>
      </c>
      <c r="W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7" s="9">
        <f>+DATE(YEAR(Control[[#This Row],[Fecha Requisición]]),MONTH(Control[[#This Row],[Fecha Requisición]]),1)</f>
        <v>46266</v>
      </c>
      <c r="Y207" s="14" t="str">
        <f>+IF(Control[[#This Row],[Fecha de entrega]]="","",NETWORKDAYS(Control[[#This Row],[Fecha Requisición]],Control[[#This Row],[Fecha de entrega]]))</f>
        <v/>
      </c>
      <c r="Z207" s="21"/>
      <c r="AA207" s="13">
        <f>+_xlfn.ISOWEEKNUM(Control[[#This Row],[Fecha Requisición]])</f>
        <v>36</v>
      </c>
    </row>
    <row r="208" spans="1:27" hidden="1">
      <c r="A208" s="21" t="s">
        <v>1264</v>
      </c>
      <c r="B208" s="21" t="s">
        <v>1265</v>
      </c>
      <c r="C208" s="21" t="s">
        <v>1266</v>
      </c>
      <c r="D208" s="21"/>
      <c r="E208" s="21">
        <v>150</v>
      </c>
      <c r="F208" s="21" t="s">
        <v>1267</v>
      </c>
      <c r="G208" s="21" t="s">
        <v>1255</v>
      </c>
      <c r="H208" s="21" t="s">
        <v>1255</v>
      </c>
      <c r="I208" s="21"/>
      <c r="J208" s="21"/>
      <c r="K208" s="5"/>
      <c r="L208" s="5"/>
      <c r="M208" s="21"/>
      <c r="N208" s="21"/>
      <c r="O208" s="21"/>
      <c r="P208" s="21"/>
      <c r="Q208" s="21"/>
      <c r="R208" s="21"/>
      <c r="S208" s="21" t="s">
        <v>517</v>
      </c>
      <c r="V208" s="21" t="s">
        <v>818</v>
      </c>
      <c r="W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8" s="9">
        <f>+DATE(YEAR(Control[[#This Row],[Fecha Requisición]]),MONTH(Control[[#This Row],[Fecha Requisición]]),1)</f>
        <v>46266</v>
      </c>
      <c r="Y208" s="14" t="str">
        <f>+IF(Control[[#This Row],[Fecha de entrega]]="","",NETWORKDAYS(Control[[#This Row],[Fecha Requisición]],Control[[#This Row],[Fecha de entrega]]))</f>
        <v/>
      </c>
      <c r="Z208" s="21"/>
      <c r="AA208" s="13">
        <f>+_xlfn.ISOWEEKNUM(Control[[#This Row],[Fecha Requisición]])</f>
        <v>36</v>
      </c>
    </row>
    <row r="209" spans="1:27" hidden="1">
      <c r="A209" s="21" t="s">
        <v>1269</v>
      </c>
      <c r="B209" s="21" t="s">
        <v>1270</v>
      </c>
      <c r="C209" s="21" t="s">
        <v>1271</v>
      </c>
      <c r="D209" s="21"/>
      <c r="E209" s="21">
        <v>152</v>
      </c>
      <c r="F209" s="21" t="s">
        <v>1272</v>
      </c>
      <c r="G209" s="21" t="s">
        <v>1273</v>
      </c>
      <c r="H209" s="21" t="s">
        <v>1273</v>
      </c>
      <c r="I209" s="21"/>
      <c r="J209" s="21"/>
      <c r="K209" s="5"/>
      <c r="L209" s="5" t="s">
        <v>55</v>
      </c>
      <c r="M209" s="21"/>
      <c r="N209" s="21" t="s">
        <v>705</v>
      </c>
      <c r="O209" s="21" t="s">
        <v>57</v>
      </c>
      <c r="P209" s="21" t="s">
        <v>58</v>
      </c>
      <c r="Q209" s="21" t="s">
        <v>94</v>
      </c>
      <c r="R209" s="21"/>
      <c r="S209" s="21" t="s">
        <v>1324</v>
      </c>
      <c r="V209" s="21" t="s">
        <v>818</v>
      </c>
      <c r="W2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9" s="9">
        <f>+DATE(YEAR(Control[[#This Row],[Fecha Requisición]]),MONTH(Control[[#This Row],[Fecha Requisición]]),1)</f>
        <v>46266</v>
      </c>
      <c r="Y209" s="14" t="str">
        <f>+IF(Control[[#This Row],[Fecha de entrega]]="","",NETWORKDAYS(Control[[#This Row],[Fecha Requisición]],Control[[#This Row],[Fecha de entrega]]))</f>
        <v/>
      </c>
      <c r="Z209" s="21"/>
      <c r="AA209" s="13">
        <f>+_xlfn.ISOWEEKNUM(Control[[#This Row],[Fecha Requisición]])</f>
        <v>37</v>
      </c>
    </row>
    <row r="210" spans="1:27" hidden="1">
      <c r="A210" s="21" t="s">
        <v>1274</v>
      </c>
      <c r="B210" s="21" t="s">
        <v>1275</v>
      </c>
      <c r="C210" s="21" t="s">
        <v>1276</v>
      </c>
      <c r="D210" s="21"/>
      <c r="E210" s="21">
        <v>153</v>
      </c>
      <c r="F210" s="21" t="s">
        <v>1277</v>
      </c>
      <c r="G210" s="21" t="s">
        <v>1273</v>
      </c>
      <c r="H210" s="21" t="s">
        <v>1273</v>
      </c>
      <c r="I210" s="21"/>
      <c r="J210" s="21"/>
      <c r="K210" s="5"/>
      <c r="L210" s="5" t="s">
        <v>31</v>
      </c>
      <c r="M210" s="21"/>
      <c r="N210" s="21" t="s">
        <v>705</v>
      </c>
      <c r="O210" s="21" t="s">
        <v>57</v>
      </c>
      <c r="P210" s="21" t="s">
        <v>58</v>
      </c>
      <c r="Q210" s="21" t="s">
        <v>94</v>
      </c>
      <c r="R210" s="21"/>
      <c r="S210" s="21" t="s">
        <v>1324</v>
      </c>
      <c r="V210" s="21" t="s">
        <v>818</v>
      </c>
      <c r="W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0" s="9">
        <f>+DATE(YEAR(Control[[#This Row],[Fecha Requisición]]),MONTH(Control[[#This Row],[Fecha Requisición]]),1)</f>
        <v>46266</v>
      </c>
      <c r="Y210" s="14" t="str">
        <f>+IF(Control[[#This Row],[Fecha de entrega]]="","",NETWORKDAYS(Control[[#This Row],[Fecha Requisición]],Control[[#This Row],[Fecha de entrega]]))</f>
        <v/>
      </c>
      <c r="Z210" s="21"/>
      <c r="AA210" s="13">
        <f>+_xlfn.ISOWEEKNUM(Control[[#This Row],[Fecha Requisición]])</f>
        <v>37</v>
      </c>
    </row>
    <row r="211" spans="1:27" hidden="1">
      <c r="A211" s="21" t="s">
        <v>1278</v>
      </c>
      <c r="B211" s="21" t="s">
        <v>1279</v>
      </c>
      <c r="C211" s="21" t="s">
        <v>1280</v>
      </c>
      <c r="D211" s="21"/>
      <c r="E211" s="21">
        <v>154</v>
      </c>
      <c r="F211" s="21" t="s">
        <v>1281</v>
      </c>
      <c r="G211" s="21" t="s">
        <v>1273</v>
      </c>
      <c r="H211" s="21" t="s">
        <v>1273</v>
      </c>
      <c r="I211" s="21"/>
      <c r="J211" s="21"/>
      <c r="K211" s="5"/>
      <c r="L211" s="5" t="s">
        <v>31</v>
      </c>
      <c r="M211" s="21"/>
      <c r="N211" s="21" t="s">
        <v>975</v>
      </c>
      <c r="O211" s="21" t="s">
        <v>101</v>
      </c>
      <c r="P211" s="21" t="s">
        <v>392</v>
      </c>
      <c r="Q211" s="21" t="s">
        <v>36</v>
      </c>
      <c r="R211" s="21"/>
      <c r="S211" s="21" t="s">
        <v>1324</v>
      </c>
      <c r="V211" s="21" t="s">
        <v>1268</v>
      </c>
      <c r="W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1" s="9">
        <f>+DATE(YEAR(Control[[#This Row],[Fecha Requisición]]),MONTH(Control[[#This Row],[Fecha Requisición]]),1)</f>
        <v>46266</v>
      </c>
      <c r="Y211" s="14" t="str">
        <f>+IF(Control[[#This Row],[Fecha de entrega]]="","",NETWORKDAYS(Control[[#This Row],[Fecha Requisición]],Control[[#This Row],[Fecha de entrega]]))</f>
        <v/>
      </c>
      <c r="Z211" s="21"/>
      <c r="AA211" s="13">
        <f>+_xlfn.ISOWEEKNUM(Control[[#This Row],[Fecha Requisición]])</f>
        <v>37</v>
      </c>
    </row>
    <row r="212" spans="1:27" hidden="1">
      <c r="A212" s="21" t="s">
        <v>1282</v>
      </c>
      <c r="B212" s="21" t="s">
        <v>1283</v>
      </c>
      <c r="C212" s="21" t="s">
        <v>1284</v>
      </c>
      <c r="D212" s="21"/>
      <c r="E212" s="21">
        <v>155</v>
      </c>
      <c r="F212" s="21" t="s">
        <v>1285</v>
      </c>
      <c r="G212" s="21" t="s">
        <v>1273</v>
      </c>
      <c r="H212" s="21" t="s">
        <v>1273</v>
      </c>
      <c r="I212" s="21"/>
      <c r="J212" s="21"/>
      <c r="K212" s="5"/>
      <c r="L212" s="5" t="s">
        <v>31</v>
      </c>
      <c r="M212" s="21"/>
      <c r="N212" s="21" t="s">
        <v>975</v>
      </c>
      <c r="O212" s="21" t="s">
        <v>101</v>
      </c>
      <c r="P212" s="21" t="s">
        <v>124</v>
      </c>
      <c r="Q212" s="21" t="s">
        <v>36</v>
      </c>
      <c r="R212" s="21"/>
      <c r="S212" s="21" t="s">
        <v>1324</v>
      </c>
      <c r="V212" s="21" t="s">
        <v>1268</v>
      </c>
      <c r="W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2" s="9">
        <f>+DATE(YEAR(Control[[#This Row],[Fecha Requisición]]),MONTH(Control[[#This Row],[Fecha Requisición]]),1)</f>
        <v>46266</v>
      </c>
      <c r="Y212" s="14" t="str">
        <f>+IF(Control[[#This Row],[Fecha de entrega]]="","",NETWORKDAYS(Control[[#This Row],[Fecha Requisición]],Control[[#This Row],[Fecha de entrega]]))</f>
        <v/>
      </c>
      <c r="Z212" s="21"/>
      <c r="AA212" s="13">
        <f>+_xlfn.ISOWEEKNUM(Control[[#This Row],[Fecha Requisición]])</f>
        <v>37</v>
      </c>
    </row>
    <row r="213" spans="1:27" hidden="1">
      <c r="A213" s="21" t="s">
        <v>1286</v>
      </c>
      <c r="B213" s="21" t="s">
        <v>1287</v>
      </c>
      <c r="C213" s="21" t="s">
        <v>1288</v>
      </c>
      <c r="D213" s="21"/>
      <c r="E213" s="21">
        <v>156</v>
      </c>
      <c r="F213" s="21" t="s">
        <v>1289</v>
      </c>
      <c r="G213" s="21" t="s">
        <v>1273</v>
      </c>
      <c r="H213" s="21" t="s">
        <v>1273</v>
      </c>
      <c r="I213" s="21"/>
      <c r="J213" s="21"/>
      <c r="K213" s="5"/>
      <c r="L213" s="5" t="s">
        <v>31</v>
      </c>
      <c r="M213" s="21"/>
      <c r="N213" s="21" t="s">
        <v>975</v>
      </c>
      <c r="O213" s="21" t="s">
        <v>57</v>
      </c>
      <c r="P213" s="21" t="s">
        <v>124</v>
      </c>
      <c r="Q213" s="21" t="s">
        <v>36</v>
      </c>
      <c r="R213" s="21"/>
      <c r="S213" s="21" t="s">
        <v>1324</v>
      </c>
      <c r="V213" s="21" t="s">
        <v>1268</v>
      </c>
      <c r="W2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3" s="9">
        <f>+DATE(YEAR(Control[[#This Row],[Fecha Requisición]]),MONTH(Control[[#This Row],[Fecha Requisición]]),1)</f>
        <v>46266</v>
      </c>
      <c r="Y213" s="14" t="str">
        <f>+IF(Control[[#This Row],[Fecha de entrega]]="","",NETWORKDAYS(Control[[#This Row],[Fecha Requisición]],Control[[#This Row],[Fecha de entrega]]))</f>
        <v/>
      </c>
      <c r="Z213" s="21"/>
      <c r="AA213" s="13">
        <f>+_xlfn.ISOWEEKNUM(Control[[#This Row],[Fecha Requisición]])</f>
        <v>37</v>
      </c>
    </row>
    <row r="214" spans="1:27" hidden="1">
      <c r="A214" s="21" t="s">
        <v>1291</v>
      </c>
      <c r="B214" s="21" t="s">
        <v>1292</v>
      </c>
      <c r="C214" s="21" t="s">
        <v>1293</v>
      </c>
      <c r="D214" s="21"/>
      <c r="E214" s="21">
        <v>157</v>
      </c>
      <c r="F214" s="21" t="s">
        <v>1294</v>
      </c>
      <c r="G214" s="21" t="s">
        <v>1273</v>
      </c>
      <c r="H214" s="21" t="s">
        <v>1273</v>
      </c>
      <c r="I214" s="21"/>
      <c r="J214" s="21"/>
      <c r="K214" s="5"/>
      <c r="L214" s="5" t="s">
        <v>31</v>
      </c>
      <c r="M214" s="21"/>
      <c r="N214" s="21" t="s">
        <v>975</v>
      </c>
      <c r="O214" s="21" t="s">
        <v>57</v>
      </c>
      <c r="P214" s="21" t="s">
        <v>124</v>
      </c>
      <c r="Q214" s="21" t="s">
        <v>36</v>
      </c>
      <c r="R214" s="21"/>
      <c r="S214" s="21" t="s">
        <v>517</v>
      </c>
      <c r="V214" s="21" t="s">
        <v>1268</v>
      </c>
      <c r="W2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4" s="9">
        <f>+DATE(YEAR(Control[[#This Row],[Fecha Requisición]]),MONTH(Control[[#This Row],[Fecha Requisición]]),1)</f>
        <v>46266</v>
      </c>
      <c r="Y214" s="14" t="str">
        <f>+IF(Control[[#This Row],[Fecha de entrega]]="","",NETWORKDAYS(Control[[#This Row],[Fecha Requisición]],Control[[#This Row],[Fecha de entrega]]))</f>
        <v/>
      </c>
      <c r="Z214" s="21"/>
      <c r="AA214" s="13">
        <f>+_xlfn.ISOWEEKNUM(Control[[#This Row],[Fecha Requisición]])</f>
        <v>37</v>
      </c>
    </row>
    <row r="215" spans="1:27" hidden="1">
      <c r="A215" s="21" t="s">
        <v>1295</v>
      </c>
      <c r="B215" s="21" t="s">
        <v>1296</v>
      </c>
      <c r="C215" s="21" t="s">
        <v>1297</v>
      </c>
      <c r="D215" s="21"/>
      <c r="E215" s="21">
        <v>158</v>
      </c>
      <c r="F215" s="21" t="s">
        <v>1298</v>
      </c>
      <c r="G215" s="21" t="s">
        <v>1273</v>
      </c>
      <c r="H215" s="21" t="s">
        <v>1273</v>
      </c>
      <c r="I215" s="21"/>
      <c r="J215" s="21"/>
      <c r="K215" s="5"/>
      <c r="L215" s="5" t="s">
        <v>55</v>
      </c>
      <c r="M215" s="21"/>
      <c r="N215" s="21" t="s">
        <v>204</v>
      </c>
      <c r="O215" s="21" t="s">
        <v>57</v>
      </c>
      <c r="P215" s="21" t="s">
        <v>58</v>
      </c>
      <c r="Q215" s="21" t="s">
        <v>36</v>
      </c>
      <c r="R215" s="21"/>
      <c r="S215" s="21" t="s">
        <v>514</v>
      </c>
      <c r="V215" s="21" t="s">
        <v>1325</v>
      </c>
      <c r="W2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5" s="9">
        <f>+DATE(YEAR(Control[[#This Row],[Fecha Requisición]]),MONTH(Control[[#This Row],[Fecha Requisición]]),1)</f>
        <v>46266</v>
      </c>
      <c r="Y215" s="14" t="str">
        <f>+IF(Control[[#This Row],[Fecha de entrega]]="","",NETWORKDAYS(Control[[#This Row],[Fecha Requisición]],Control[[#This Row],[Fecha de entrega]]))</f>
        <v/>
      </c>
      <c r="Z215" s="21"/>
      <c r="AA215" s="13">
        <f>+_xlfn.ISOWEEKNUM(Control[[#This Row],[Fecha Requisición]])</f>
        <v>37</v>
      </c>
    </row>
    <row r="216" spans="1:27" hidden="1">
      <c r="A216" s="21" t="s">
        <v>1299</v>
      </c>
      <c r="B216" s="21" t="s">
        <v>1300</v>
      </c>
      <c r="C216" s="21" t="s">
        <v>1301</v>
      </c>
      <c r="D216" s="21"/>
      <c r="E216" s="21">
        <v>159</v>
      </c>
      <c r="F216" s="21" t="s">
        <v>1302</v>
      </c>
      <c r="G216" s="21" t="s">
        <v>1273</v>
      </c>
      <c r="H216" s="21" t="s">
        <v>1273</v>
      </c>
      <c r="I216" s="21"/>
      <c r="J216" s="21"/>
      <c r="K216" s="5"/>
      <c r="L216" s="5" t="s">
        <v>55</v>
      </c>
      <c r="M216" s="21"/>
      <c r="N216" s="21" t="s">
        <v>1303</v>
      </c>
      <c r="O216" s="21" t="s">
        <v>101</v>
      </c>
      <c r="P216" s="21" t="s">
        <v>58</v>
      </c>
      <c r="Q216" s="21" t="s">
        <v>36</v>
      </c>
      <c r="R216" s="21"/>
      <c r="S216" s="21" t="s">
        <v>514</v>
      </c>
      <c r="V216" s="21" t="s">
        <v>1325</v>
      </c>
      <c r="W2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6" s="9">
        <f>+DATE(YEAR(Control[[#This Row],[Fecha Requisición]]),MONTH(Control[[#This Row],[Fecha Requisición]]),1)</f>
        <v>46266</v>
      </c>
      <c r="Y216" s="14" t="str">
        <f>+IF(Control[[#This Row],[Fecha de entrega]]="","",NETWORKDAYS(Control[[#This Row],[Fecha Requisición]],Control[[#This Row],[Fecha de entrega]]))</f>
        <v/>
      </c>
      <c r="Z216" s="21"/>
      <c r="AA216" s="13">
        <f>+_xlfn.ISOWEEKNUM(Control[[#This Row],[Fecha Requisición]])</f>
        <v>37</v>
      </c>
    </row>
    <row r="217" spans="1:27" hidden="1">
      <c r="A217" s="21" t="s">
        <v>1304</v>
      </c>
      <c r="B217" s="21" t="s">
        <v>1305</v>
      </c>
      <c r="C217" s="21" t="s">
        <v>1306</v>
      </c>
      <c r="D217" s="21"/>
      <c r="E217" s="21">
        <v>160</v>
      </c>
      <c r="F217" s="21" t="s">
        <v>1307</v>
      </c>
      <c r="G217" s="21" t="s">
        <v>1273</v>
      </c>
      <c r="H217" s="21" t="s">
        <v>1273</v>
      </c>
      <c r="I217" s="21"/>
      <c r="J217" s="21"/>
      <c r="K217" s="5"/>
      <c r="L217" s="5" t="s">
        <v>31</v>
      </c>
      <c r="M217" s="21"/>
      <c r="N217" s="21" t="s">
        <v>167</v>
      </c>
      <c r="O217" s="21" t="s">
        <v>197</v>
      </c>
      <c r="P217" s="21" t="s">
        <v>58</v>
      </c>
      <c r="Q217" s="21" t="s">
        <v>36</v>
      </c>
      <c r="R217" s="21"/>
      <c r="S217" s="21" t="s">
        <v>1324</v>
      </c>
      <c r="V217" s="21" t="s">
        <v>1268</v>
      </c>
      <c r="W2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7" s="9">
        <f>+DATE(YEAR(Control[[#This Row],[Fecha Requisición]]),MONTH(Control[[#This Row],[Fecha Requisición]]),1)</f>
        <v>46266</v>
      </c>
      <c r="Y217" s="14" t="str">
        <f>+IF(Control[[#This Row],[Fecha de entrega]]="","",NETWORKDAYS(Control[[#This Row],[Fecha Requisición]],Control[[#This Row],[Fecha de entrega]]))</f>
        <v/>
      </c>
      <c r="Z217" s="21"/>
      <c r="AA217" s="13">
        <f>+_xlfn.ISOWEEKNUM(Control[[#This Row],[Fecha Requisición]])</f>
        <v>37</v>
      </c>
    </row>
    <row r="218" spans="1:27" hidden="1">
      <c r="A218" s="21" t="s">
        <v>1308</v>
      </c>
      <c r="B218" s="21" t="s">
        <v>1309</v>
      </c>
      <c r="C218" s="21" t="s">
        <v>1309</v>
      </c>
      <c r="D218" s="21"/>
      <c r="E218" s="21">
        <v>161</v>
      </c>
      <c r="F218" s="21" t="s">
        <v>1310</v>
      </c>
      <c r="G218" s="21" t="s">
        <v>1273</v>
      </c>
      <c r="H218" s="21" t="s">
        <v>1273</v>
      </c>
      <c r="I218" s="21"/>
      <c r="J218" s="21"/>
      <c r="K218" s="5"/>
      <c r="L218" s="5"/>
      <c r="M218" s="21"/>
      <c r="N218" s="21"/>
      <c r="O218" s="21"/>
      <c r="P218" s="21"/>
      <c r="Q218" s="21"/>
      <c r="R218" s="21"/>
      <c r="S218" s="21" t="s">
        <v>1324</v>
      </c>
      <c r="V218" s="21" t="s">
        <v>1268</v>
      </c>
      <c r="W2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8" s="9">
        <f>+DATE(YEAR(Control[[#This Row],[Fecha Requisición]]),MONTH(Control[[#This Row],[Fecha Requisición]]),1)</f>
        <v>46266</v>
      </c>
      <c r="Y218" s="14" t="str">
        <f>+IF(Control[[#This Row],[Fecha de entrega]]="","",NETWORKDAYS(Control[[#This Row],[Fecha Requisición]],Control[[#This Row],[Fecha de entrega]]))</f>
        <v/>
      </c>
      <c r="Z218" s="21"/>
      <c r="AA218" s="13">
        <f>+_xlfn.ISOWEEKNUM(Control[[#This Row],[Fecha Requisición]])</f>
        <v>37</v>
      </c>
    </row>
    <row r="219" spans="1:27" hidden="1">
      <c r="A219" s="21" t="s">
        <v>1311</v>
      </c>
      <c r="B219" s="21" t="s">
        <v>1312</v>
      </c>
      <c r="C219" s="21" t="s">
        <v>1313</v>
      </c>
      <c r="D219" s="21"/>
      <c r="E219" s="21">
        <v>162</v>
      </c>
      <c r="F219" s="21" t="s">
        <v>1314</v>
      </c>
      <c r="G219" s="21" t="s">
        <v>1273</v>
      </c>
      <c r="H219" s="21" t="s">
        <v>1273</v>
      </c>
      <c r="I219" s="21"/>
      <c r="J219" s="21"/>
      <c r="K219" s="5"/>
      <c r="L219" s="5" t="s">
        <v>55</v>
      </c>
      <c r="M219" s="21"/>
      <c r="N219" s="21" t="s">
        <v>383</v>
      </c>
      <c r="O219" s="21" t="s">
        <v>384</v>
      </c>
      <c r="P219" s="21" t="s">
        <v>58</v>
      </c>
      <c r="Q219" s="21" t="s">
        <v>36</v>
      </c>
      <c r="R219" s="21"/>
      <c r="S219" s="21" t="s">
        <v>1324</v>
      </c>
      <c r="V219" s="21" t="s">
        <v>1268</v>
      </c>
      <c r="W2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9" s="9">
        <f>+DATE(YEAR(Control[[#This Row],[Fecha Requisición]]),MONTH(Control[[#This Row],[Fecha Requisición]]),1)</f>
        <v>46266</v>
      </c>
      <c r="Y219" s="14" t="str">
        <f>+IF(Control[[#This Row],[Fecha de entrega]]="","",NETWORKDAYS(Control[[#This Row],[Fecha Requisición]],Control[[#This Row],[Fecha de entrega]]))</f>
        <v/>
      </c>
      <c r="Z219" s="21"/>
      <c r="AA219" s="13">
        <f>+_xlfn.ISOWEEKNUM(Control[[#This Row],[Fecha Requisición]])</f>
        <v>37</v>
      </c>
    </row>
    <row r="220" spans="1:27" hidden="1">
      <c r="A220" s="21" t="s">
        <v>1315</v>
      </c>
      <c r="B220" s="21" t="s">
        <v>1316</v>
      </c>
      <c r="C220" s="21" t="s">
        <v>1317</v>
      </c>
      <c r="D220" s="21"/>
      <c r="E220" s="21">
        <v>163</v>
      </c>
      <c r="F220" s="21" t="s">
        <v>1318</v>
      </c>
      <c r="G220" s="21" t="s">
        <v>1273</v>
      </c>
      <c r="H220" s="21" t="s">
        <v>1273</v>
      </c>
      <c r="I220" s="21"/>
      <c r="J220" s="21"/>
      <c r="K220" s="5"/>
      <c r="L220" s="5" t="s">
        <v>55</v>
      </c>
      <c r="M220" s="21"/>
      <c r="N220" s="21" t="s">
        <v>383</v>
      </c>
      <c r="O220" s="21" t="s">
        <v>384</v>
      </c>
      <c r="P220" s="21" t="s">
        <v>58</v>
      </c>
      <c r="Q220" s="21" t="s">
        <v>36</v>
      </c>
      <c r="R220" s="21"/>
      <c r="S220" s="21" t="s">
        <v>1324</v>
      </c>
      <c r="V220" s="21" t="s">
        <v>1268</v>
      </c>
      <c r="W2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0" s="9">
        <f>+DATE(YEAR(Control[[#This Row],[Fecha Requisición]]),MONTH(Control[[#This Row],[Fecha Requisición]]),1)</f>
        <v>46266</v>
      </c>
      <c r="Y220" s="14" t="str">
        <f>+IF(Control[[#This Row],[Fecha de entrega]]="","",NETWORKDAYS(Control[[#This Row],[Fecha Requisición]],Control[[#This Row],[Fecha de entrega]]))</f>
        <v/>
      </c>
      <c r="Z220" s="21"/>
      <c r="AA220" s="13">
        <f>+_xlfn.ISOWEEKNUM(Control[[#This Row],[Fecha Requisición]])</f>
        <v>37</v>
      </c>
    </row>
    <row r="221" spans="1:27" hidden="1">
      <c r="A221" s="21" t="s">
        <v>1319</v>
      </c>
      <c r="B221" s="21" t="s">
        <v>1320</v>
      </c>
      <c r="C221" s="21" t="s">
        <v>1321</v>
      </c>
      <c r="D221" s="21"/>
      <c r="E221" s="21">
        <v>164</v>
      </c>
      <c r="F221" s="21" t="s">
        <v>1322</v>
      </c>
      <c r="G221" s="21" t="s">
        <v>1273</v>
      </c>
      <c r="H221" s="21" t="s">
        <v>1273</v>
      </c>
      <c r="I221" s="21"/>
      <c r="J221" s="21"/>
      <c r="K221" s="5"/>
      <c r="L221" s="5" t="s">
        <v>31</v>
      </c>
      <c r="M221" s="21"/>
      <c r="N221" s="21" t="s">
        <v>219</v>
      </c>
      <c r="O221" s="21" t="s">
        <v>384</v>
      </c>
      <c r="P221" s="21"/>
      <c r="Q221" s="21" t="s">
        <v>94</v>
      </c>
      <c r="R221" s="21"/>
      <c r="S221" s="21" t="s">
        <v>517</v>
      </c>
      <c r="V221" s="21" t="s">
        <v>1290</v>
      </c>
      <c r="W2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1" s="9">
        <f>+DATE(YEAR(Control[[#This Row],[Fecha Requisición]]),MONTH(Control[[#This Row],[Fecha Requisición]]),1)</f>
        <v>46266</v>
      </c>
      <c r="Y221" s="14" t="str">
        <f>+IF(Control[[#This Row],[Fecha de entrega]]="","",NETWORKDAYS(Control[[#This Row],[Fecha Requisición]],Control[[#This Row],[Fecha de entrega]]))</f>
        <v/>
      </c>
      <c r="Z221" s="21"/>
      <c r="AA221" s="13">
        <f>+_xlfn.ISOWEEKNUM(Control[[#This Row],[Fecha Requisición]])</f>
        <v>37</v>
      </c>
    </row>
    <row r="222" spans="1:27" hidden="1">
      <c r="A222" s="21" t="s">
        <v>1327</v>
      </c>
      <c r="B222" s="21" t="s">
        <v>1328</v>
      </c>
      <c r="C222" s="21" t="s">
        <v>1329</v>
      </c>
      <c r="D222" s="21"/>
      <c r="E222" s="21">
        <v>165</v>
      </c>
      <c r="F222" s="21" t="s">
        <v>1330</v>
      </c>
      <c r="G222" s="21" t="s">
        <v>1331</v>
      </c>
      <c r="H222" s="21" t="s">
        <v>1331</v>
      </c>
      <c r="I222" s="21"/>
      <c r="J222" s="21"/>
      <c r="K222" s="5"/>
      <c r="L222" s="5" t="s">
        <v>55</v>
      </c>
      <c r="M222" s="21"/>
      <c r="N222" s="21" t="s">
        <v>204</v>
      </c>
      <c r="O222" s="21" t="s">
        <v>86</v>
      </c>
      <c r="P222" s="21" t="s">
        <v>58</v>
      </c>
      <c r="Q222" s="21" t="s">
        <v>36</v>
      </c>
      <c r="R222" s="21"/>
      <c r="S222" s="21" t="s">
        <v>517</v>
      </c>
      <c r="V222" s="21" t="s">
        <v>1268</v>
      </c>
      <c r="W2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2" s="9">
        <f>+DATE(YEAR(Control[[#This Row],[Fecha Requisición]]),MONTH(Control[[#This Row],[Fecha Requisición]]),1)</f>
        <v>46266</v>
      </c>
      <c r="Y222" s="14" t="str">
        <f>+IF(Control[[#This Row],[Fecha de entrega]]="","",NETWORKDAYS(Control[[#This Row],[Fecha Requisición]],Control[[#This Row],[Fecha de entrega]]))</f>
        <v/>
      </c>
      <c r="Z222" s="21"/>
      <c r="AA222" s="13">
        <f>+_xlfn.ISOWEEKNUM(Control[[#This Row],[Fecha Requisición]])</f>
        <v>37</v>
      </c>
    </row>
    <row r="223" spans="1:27" hidden="1">
      <c r="A223" s="21" t="s">
        <v>1332</v>
      </c>
      <c r="B223" s="21" t="s">
        <v>1333</v>
      </c>
      <c r="C223" s="21" t="s">
        <v>1334</v>
      </c>
      <c r="D223" s="21"/>
      <c r="E223" s="21">
        <v>166</v>
      </c>
      <c r="F223" s="21" t="s">
        <v>1335</v>
      </c>
      <c r="G223" s="21" t="s">
        <v>1331</v>
      </c>
      <c r="H223" s="21" t="s">
        <v>1331</v>
      </c>
      <c r="I223" s="21"/>
      <c r="J223" s="21"/>
      <c r="K223" s="5"/>
      <c r="L223" s="5" t="s">
        <v>55</v>
      </c>
      <c r="M223" s="21"/>
      <c r="N223" s="21" t="s">
        <v>204</v>
      </c>
      <c r="O223" s="21" t="s">
        <v>86</v>
      </c>
      <c r="P223" s="21" t="s">
        <v>58</v>
      </c>
      <c r="Q223" s="21" t="s">
        <v>36</v>
      </c>
      <c r="R223" s="21"/>
      <c r="S223" s="21" t="s">
        <v>517</v>
      </c>
      <c r="V223" s="21" t="s">
        <v>1268</v>
      </c>
      <c r="W2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3" s="9">
        <f>+DATE(YEAR(Control[[#This Row],[Fecha Requisición]]),MONTH(Control[[#This Row],[Fecha Requisición]]),1)</f>
        <v>46266</v>
      </c>
      <c r="Y223" s="14" t="str">
        <f>+IF(Control[[#This Row],[Fecha de entrega]]="","",NETWORKDAYS(Control[[#This Row],[Fecha Requisición]],Control[[#This Row],[Fecha de entrega]]))</f>
        <v/>
      </c>
      <c r="Z223" s="21"/>
      <c r="AA223" s="13">
        <f>+_xlfn.ISOWEEKNUM(Control[[#This Row],[Fecha Requisición]])</f>
        <v>37</v>
      </c>
    </row>
    <row r="224" spans="1:27" hidden="1">
      <c r="A224" s="21" t="s">
        <v>1336</v>
      </c>
      <c r="B224" s="21" t="s">
        <v>1337</v>
      </c>
      <c r="C224" s="21" t="s">
        <v>1338</v>
      </c>
      <c r="D224" s="21"/>
      <c r="E224" s="21">
        <v>167</v>
      </c>
      <c r="F224" s="21" t="s">
        <v>1339</v>
      </c>
      <c r="G224" s="21" t="s">
        <v>1331</v>
      </c>
      <c r="H224" s="21" t="s">
        <v>1331</v>
      </c>
      <c r="I224" s="21"/>
      <c r="J224" s="21"/>
      <c r="K224" s="5"/>
      <c r="L224" s="5"/>
      <c r="M224" s="21"/>
      <c r="N224" s="21"/>
      <c r="O224" s="21"/>
      <c r="P224" s="21"/>
      <c r="Q224" s="21"/>
      <c r="R224" s="21"/>
      <c r="S224" s="21" t="s">
        <v>517</v>
      </c>
      <c r="V224" s="21" t="s">
        <v>1268</v>
      </c>
      <c r="W2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4" s="9">
        <f>+DATE(YEAR(Control[[#This Row],[Fecha Requisición]]),MONTH(Control[[#This Row],[Fecha Requisición]]),1)</f>
        <v>46266</v>
      </c>
      <c r="Y224" s="14" t="str">
        <f>+IF(Control[[#This Row],[Fecha de entrega]]="","",NETWORKDAYS(Control[[#This Row],[Fecha Requisición]],Control[[#This Row],[Fecha de entrega]]))</f>
        <v/>
      </c>
      <c r="Z224" s="21"/>
      <c r="AA224" s="13">
        <f>+_xlfn.ISOWEEKNUM(Control[[#This Row],[Fecha Requisición]])</f>
        <v>37</v>
      </c>
    </row>
    <row r="225" spans="1:27" hidden="1">
      <c r="A225" s="21" t="s">
        <v>1340</v>
      </c>
      <c r="B225" s="21" t="s">
        <v>1341</v>
      </c>
      <c r="C225" s="21" t="s">
        <v>1342</v>
      </c>
      <c r="D225" s="21"/>
      <c r="E225" s="21">
        <v>168</v>
      </c>
      <c r="F225" s="21" t="s">
        <v>1343</v>
      </c>
      <c r="G225" s="21" t="s">
        <v>1331</v>
      </c>
      <c r="H225" s="21" t="s">
        <v>1331</v>
      </c>
      <c r="I225" s="21"/>
      <c r="J225" s="21"/>
      <c r="K225" s="5"/>
      <c r="L225" s="5" t="s">
        <v>55</v>
      </c>
      <c r="M225" s="21"/>
      <c r="N225" s="21" t="s">
        <v>204</v>
      </c>
      <c r="O225" s="21" t="s">
        <v>57</v>
      </c>
      <c r="P225" s="21" t="s">
        <v>58</v>
      </c>
      <c r="Q225" s="21" t="s">
        <v>36</v>
      </c>
      <c r="R225" s="21"/>
      <c r="S225" s="21" t="s">
        <v>517</v>
      </c>
      <c r="V225" s="21" t="s">
        <v>1268</v>
      </c>
      <c r="W2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5" s="9">
        <f>+DATE(YEAR(Control[[#This Row],[Fecha Requisición]]),MONTH(Control[[#This Row],[Fecha Requisición]]),1)</f>
        <v>46266</v>
      </c>
      <c r="Y225" s="14" t="str">
        <f>+IF(Control[[#This Row],[Fecha de entrega]]="","",NETWORKDAYS(Control[[#This Row],[Fecha Requisición]],Control[[#This Row],[Fecha de entrega]]))</f>
        <v/>
      </c>
      <c r="Z225" s="21"/>
      <c r="AA225" s="13">
        <f>+_xlfn.ISOWEEKNUM(Control[[#This Row],[Fecha Requisición]])</f>
        <v>37</v>
      </c>
    </row>
    <row r="226" spans="1:27" hidden="1">
      <c r="A226" s="21" t="s">
        <v>1344</v>
      </c>
      <c r="B226" s="21" t="s">
        <v>1345</v>
      </c>
      <c r="C226" s="21" t="s">
        <v>1346</v>
      </c>
      <c r="D226" s="21"/>
      <c r="E226" s="21">
        <v>169</v>
      </c>
      <c r="F226" s="21" t="s">
        <v>1347</v>
      </c>
      <c r="G226" s="21" t="s">
        <v>1331</v>
      </c>
      <c r="H226" s="21" t="s">
        <v>1331</v>
      </c>
      <c r="I226" s="21"/>
      <c r="J226" s="21"/>
      <c r="K226" s="5"/>
      <c r="L226" s="5" t="s">
        <v>31</v>
      </c>
      <c r="M226" s="21"/>
      <c r="N226" s="21" t="s">
        <v>975</v>
      </c>
      <c r="O226" s="21" t="s">
        <v>86</v>
      </c>
      <c r="P226" s="21" t="s">
        <v>124</v>
      </c>
      <c r="Q226" s="21" t="s">
        <v>36</v>
      </c>
      <c r="R226" s="21"/>
      <c r="S226" s="21" t="s">
        <v>517</v>
      </c>
      <c r="V226" s="21" t="s">
        <v>1268</v>
      </c>
      <c r="W2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6" s="9">
        <f>+DATE(YEAR(Control[[#This Row],[Fecha Requisición]]),MONTH(Control[[#This Row],[Fecha Requisición]]),1)</f>
        <v>46266</v>
      </c>
      <c r="Y226" s="14" t="str">
        <f>+IF(Control[[#This Row],[Fecha de entrega]]="","",NETWORKDAYS(Control[[#This Row],[Fecha Requisición]],Control[[#This Row],[Fecha de entrega]]))</f>
        <v/>
      </c>
      <c r="Z226" s="21"/>
      <c r="AA226" s="13">
        <f>+_xlfn.ISOWEEKNUM(Control[[#This Row],[Fecha Requisición]])</f>
        <v>37</v>
      </c>
    </row>
    <row r="227" spans="1:27" hidden="1">
      <c r="A227" s="21" t="s">
        <v>1348</v>
      </c>
      <c r="B227" s="21" t="s">
        <v>1349</v>
      </c>
      <c r="C227" s="21" t="s">
        <v>1350</v>
      </c>
      <c r="D227" s="21"/>
      <c r="E227" s="21">
        <v>170</v>
      </c>
      <c r="F227" s="21" t="s">
        <v>1351</v>
      </c>
      <c r="G227" s="21" t="s">
        <v>1331</v>
      </c>
      <c r="H227" s="21" t="s">
        <v>1331</v>
      </c>
      <c r="I227" s="21"/>
      <c r="J227" s="21"/>
      <c r="K227" s="5"/>
      <c r="L227" s="5" t="s">
        <v>31</v>
      </c>
      <c r="M227" s="21"/>
      <c r="N227" s="21" t="s">
        <v>167</v>
      </c>
      <c r="O227" s="21" t="s">
        <v>197</v>
      </c>
      <c r="P227" s="21" t="s">
        <v>124</v>
      </c>
      <c r="Q227" s="21" t="s">
        <v>36</v>
      </c>
      <c r="R227" s="21"/>
      <c r="S227" s="21" t="s">
        <v>517</v>
      </c>
      <c r="V227" s="21" t="s">
        <v>1326</v>
      </c>
      <c r="W2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7" s="9">
        <f>+DATE(YEAR(Control[[#This Row],[Fecha Requisición]]),MONTH(Control[[#This Row],[Fecha Requisición]]),1)</f>
        <v>46266</v>
      </c>
      <c r="Y227" s="14" t="str">
        <f>+IF(Control[[#This Row],[Fecha de entrega]]="","",NETWORKDAYS(Control[[#This Row],[Fecha Requisición]],Control[[#This Row],[Fecha de entrega]]))</f>
        <v/>
      </c>
      <c r="Z227" s="21"/>
      <c r="AA227" s="13">
        <f>+_xlfn.ISOWEEKNUM(Control[[#This Row],[Fecha Requisición]])</f>
        <v>37</v>
      </c>
    </row>
    <row r="228" spans="1:27" hidden="1">
      <c r="A228" s="21" t="s">
        <v>1352</v>
      </c>
      <c r="B228" s="21" t="s">
        <v>1353</v>
      </c>
      <c r="C228" s="21" t="s">
        <v>1354</v>
      </c>
      <c r="D228" s="21"/>
      <c r="E228" s="21">
        <v>171</v>
      </c>
      <c r="F228" s="21" t="s">
        <v>1355</v>
      </c>
      <c r="G228" s="21" t="s">
        <v>1331</v>
      </c>
      <c r="H228" s="21" t="s">
        <v>1331</v>
      </c>
      <c r="I228" s="21"/>
      <c r="J228" s="21"/>
      <c r="K228" s="5"/>
      <c r="L228" s="5" t="s">
        <v>31</v>
      </c>
      <c r="M228" s="21"/>
      <c r="N228" s="21" t="s">
        <v>167</v>
      </c>
      <c r="O228" s="21" t="s">
        <v>197</v>
      </c>
      <c r="P228" s="21" t="s">
        <v>124</v>
      </c>
      <c r="Q228" s="21" t="s">
        <v>36</v>
      </c>
      <c r="R228" s="21"/>
      <c r="S228" s="21" t="s">
        <v>517</v>
      </c>
      <c r="V228" s="21" t="s">
        <v>1370</v>
      </c>
      <c r="W2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8" s="9">
        <f>+DATE(YEAR(Control[[#This Row],[Fecha Requisición]]),MONTH(Control[[#This Row],[Fecha Requisición]]),1)</f>
        <v>46266</v>
      </c>
      <c r="Y228" s="14" t="str">
        <f>+IF(Control[[#This Row],[Fecha de entrega]]="","",NETWORKDAYS(Control[[#This Row],[Fecha Requisición]],Control[[#This Row],[Fecha de entrega]]))</f>
        <v/>
      </c>
      <c r="Z228" s="21"/>
      <c r="AA228" s="13">
        <f>+_xlfn.ISOWEEKNUM(Control[[#This Row],[Fecha Requisición]])</f>
        <v>37</v>
      </c>
    </row>
    <row r="229" spans="1:27" hidden="1">
      <c r="A229" s="21" t="s">
        <v>1356</v>
      </c>
      <c r="B229" s="21" t="s">
        <v>1357</v>
      </c>
      <c r="C229" s="21" t="s">
        <v>1373</v>
      </c>
      <c r="D229" s="21"/>
      <c r="E229" s="21">
        <v>172</v>
      </c>
      <c r="F229" s="21" t="s">
        <v>1358</v>
      </c>
      <c r="G229" s="21" t="s">
        <v>1331</v>
      </c>
      <c r="H229" s="21" t="s">
        <v>1331</v>
      </c>
      <c r="I229" s="21"/>
      <c r="J229" s="21"/>
      <c r="K229" s="5"/>
      <c r="L229" s="5" t="s">
        <v>31</v>
      </c>
      <c r="M229" s="21"/>
      <c r="N229" s="21" t="s">
        <v>975</v>
      </c>
      <c r="O229" s="21" t="s">
        <v>101</v>
      </c>
      <c r="P229" s="21" t="s">
        <v>124</v>
      </c>
      <c r="Q229" s="21" t="s">
        <v>36</v>
      </c>
      <c r="R229" s="21"/>
      <c r="S229" s="21" t="s">
        <v>517</v>
      </c>
      <c r="V229" s="21" t="s">
        <v>1268</v>
      </c>
      <c r="W2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9" s="9">
        <f>+DATE(YEAR(Control[[#This Row],[Fecha Requisición]]),MONTH(Control[[#This Row],[Fecha Requisición]]),1)</f>
        <v>46266</v>
      </c>
      <c r="Y229" s="14" t="str">
        <f>+IF(Control[[#This Row],[Fecha de entrega]]="","",NETWORKDAYS(Control[[#This Row],[Fecha Requisición]],Control[[#This Row],[Fecha de entrega]]))</f>
        <v/>
      </c>
      <c r="Z229" s="21"/>
      <c r="AA229" s="13">
        <f>+_xlfn.ISOWEEKNUM(Control[[#This Row],[Fecha Requisición]])</f>
        <v>37</v>
      </c>
    </row>
    <row r="230" spans="1:27" hidden="1">
      <c r="A230" s="21" t="s">
        <v>1359</v>
      </c>
      <c r="B230" s="21" t="s">
        <v>1360</v>
      </c>
      <c r="C230" s="21" t="s">
        <v>1374</v>
      </c>
      <c r="D230" s="21"/>
      <c r="E230" s="21">
        <v>173</v>
      </c>
      <c r="F230" s="21" t="s">
        <v>1361</v>
      </c>
      <c r="G230" s="21" t="s">
        <v>1331</v>
      </c>
      <c r="H230" s="21" t="s">
        <v>1331</v>
      </c>
      <c r="I230" s="21"/>
      <c r="J230" s="21"/>
      <c r="K230" s="5"/>
      <c r="L230" s="5" t="s">
        <v>31</v>
      </c>
      <c r="M230" s="21"/>
      <c r="N230" s="21" t="s">
        <v>975</v>
      </c>
      <c r="O230" s="21" t="s">
        <v>57</v>
      </c>
      <c r="P230" s="21" t="s">
        <v>124</v>
      </c>
      <c r="Q230" s="21" t="s">
        <v>36</v>
      </c>
      <c r="R230" s="21"/>
      <c r="S230" s="21" t="s">
        <v>517</v>
      </c>
      <c r="V230" s="21" t="s">
        <v>1326</v>
      </c>
      <c r="W2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0" s="9">
        <f>+DATE(YEAR(Control[[#This Row],[Fecha Requisición]]),MONTH(Control[[#This Row],[Fecha Requisición]]),1)</f>
        <v>46266</v>
      </c>
      <c r="Y230" s="14" t="str">
        <f>+IF(Control[[#This Row],[Fecha de entrega]]="","",NETWORKDAYS(Control[[#This Row],[Fecha Requisición]],Control[[#This Row],[Fecha de entrega]]))</f>
        <v/>
      </c>
      <c r="Z230" s="21"/>
      <c r="AA230" s="13">
        <f>+_xlfn.ISOWEEKNUM(Control[[#This Row],[Fecha Requisición]])</f>
        <v>37</v>
      </c>
    </row>
    <row r="231" spans="1:27" hidden="1">
      <c r="A231" s="21" t="s">
        <v>1362</v>
      </c>
      <c r="B231" s="21" t="s">
        <v>1363</v>
      </c>
      <c r="C231" s="21" t="s">
        <v>1375</v>
      </c>
      <c r="D231" s="21"/>
      <c r="E231" s="21">
        <v>174</v>
      </c>
      <c r="F231" s="21" t="s">
        <v>1364</v>
      </c>
      <c r="G231" s="21" t="s">
        <v>1331</v>
      </c>
      <c r="H231" s="21" t="s">
        <v>1331</v>
      </c>
      <c r="I231" s="21"/>
      <c r="J231" s="21"/>
      <c r="K231" s="5"/>
      <c r="L231" s="5" t="s">
        <v>31</v>
      </c>
      <c r="M231" s="21"/>
      <c r="N231" s="21" t="s">
        <v>167</v>
      </c>
      <c r="O231" s="21" t="s">
        <v>197</v>
      </c>
      <c r="P231" s="21" t="s">
        <v>273</v>
      </c>
      <c r="Q231" s="21" t="s">
        <v>36</v>
      </c>
      <c r="R231" s="21"/>
      <c r="S231" s="21" t="s">
        <v>517</v>
      </c>
      <c r="V231" s="21" t="s">
        <v>1268</v>
      </c>
      <c r="W2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1" s="9">
        <f>+DATE(YEAR(Control[[#This Row],[Fecha Requisición]]),MONTH(Control[[#This Row],[Fecha Requisición]]),1)</f>
        <v>46266</v>
      </c>
      <c r="Y231" s="14" t="str">
        <f>+IF(Control[[#This Row],[Fecha de entrega]]="","",NETWORKDAYS(Control[[#This Row],[Fecha Requisición]],Control[[#This Row],[Fecha de entrega]]))</f>
        <v/>
      </c>
      <c r="Z231" s="21"/>
      <c r="AA231" s="13">
        <f>+_xlfn.ISOWEEKNUM(Control[[#This Row],[Fecha Requisición]])</f>
        <v>37</v>
      </c>
    </row>
    <row r="232" spans="1:27" hidden="1">
      <c r="A232" s="21" t="s">
        <v>1365</v>
      </c>
      <c r="B232" s="21" t="s">
        <v>1366</v>
      </c>
      <c r="C232" s="21" t="s">
        <v>1376</v>
      </c>
      <c r="D232" s="21"/>
      <c r="E232" s="21">
        <v>175</v>
      </c>
      <c r="F232" s="21" t="s">
        <v>1367</v>
      </c>
      <c r="G232" s="21" t="s">
        <v>1331</v>
      </c>
      <c r="H232" s="21" t="s">
        <v>1331</v>
      </c>
      <c r="I232" s="21"/>
      <c r="J232" s="21"/>
      <c r="K232" s="5"/>
      <c r="L232" s="5" t="s">
        <v>31</v>
      </c>
      <c r="M232" s="21"/>
      <c r="N232" s="21" t="s">
        <v>167</v>
      </c>
      <c r="O232" s="21" t="s">
        <v>197</v>
      </c>
      <c r="P232" s="21" t="s">
        <v>273</v>
      </c>
      <c r="Q232" s="21" t="s">
        <v>36</v>
      </c>
      <c r="R232" s="21"/>
      <c r="S232" s="21" t="s">
        <v>517</v>
      </c>
      <c r="V232" s="21" t="s">
        <v>1268</v>
      </c>
      <c r="W2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2" s="9">
        <f>+DATE(YEAR(Control[[#This Row],[Fecha Requisición]]),MONTH(Control[[#This Row],[Fecha Requisición]]),1)</f>
        <v>46266</v>
      </c>
      <c r="Y232" s="14" t="str">
        <f>+IF(Control[[#This Row],[Fecha de entrega]]="","",NETWORKDAYS(Control[[#This Row],[Fecha Requisición]],Control[[#This Row],[Fecha de entrega]]))</f>
        <v/>
      </c>
      <c r="Z232" s="21"/>
      <c r="AA232" s="13">
        <f>+_xlfn.ISOWEEKNUM(Control[[#This Row],[Fecha Requisición]])</f>
        <v>37</v>
      </c>
    </row>
    <row r="233" spans="1:27">
      <c r="Z233" s="2"/>
    </row>
    <row r="234" spans="1:27">
      <c r="Z234" s="2"/>
    </row>
    <row r="235" spans="1:27">
      <c r="Z235" s="2"/>
    </row>
    <row r="240" spans="1:27">
      <c r="C240" s="29">
        <f>604800/64</f>
        <v>9450</v>
      </c>
    </row>
    <row r="248" spans="3:4">
      <c r="C248" s="21"/>
      <c r="D248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76"/>
  <sheetViews>
    <sheetView topLeftCell="A172" zoomScale="90" zoomScaleNormal="90" workbookViewId="0">
      <selection activeCell="B215" sqref="B215:B21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7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7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7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7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7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7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9" t="s">
        <v>1086</v>
      </c>
      <c r="F88" s="30" t="s">
        <v>1183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7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5" t="s">
        <v>1030</v>
      </c>
      <c r="F98" s="30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641</v>
      </c>
      <c r="C104" s="22" t="s">
        <v>516</v>
      </c>
      <c r="D104" s="23">
        <v>46248</v>
      </c>
      <c r="E104" s="25" t="s">
        <v>1030</v>
      </c>
      <c r="F104" s="31" t="s">
        <v>1213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7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1087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1087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1087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1087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1088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7" t="s">
        <v>723</v>
      </c>
      <c r="F121" s="24" t="s">
        <v>1141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1084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7" t="s">
        <v>723</v>
      </c>
      <c r="F124" s="24" t="s">
        <v>1085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1142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7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7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7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7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7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1184</v>
      </c>
      <c r="G133" s="22"/>
    </row>
    <row r="134" spans="1:7">
      <c r="A134" s="32">
        <v>133</v>
      </c>
      <c r="B134" s="24" t="s">
        <v>641</v>
      </c>
      <c r="C134" s="26" t="s">
        <v>516</v>
      </c>
      <c r="D134" s="26" t="s">
        <v>641</v>
      </c>
      <c r="E134" s="27" t="s">
        <v>723</v>
      </c>
      <c r="F134" s="24" t="s">
        <v>641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7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7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1143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 t="s">
        <v>772</v>
      </c>
      <c r="E139" s="25" t="s">
        <v>517</v>
      </c>
      <c r="F139" s="21" t="s">
        <v>1185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7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3">
        <v>46273</v>
      </c>
      <c r="E141" s="9" t="s">
        <v>517</v>
      </c>
      <c r="F141" s="30" t="s">
        <v>1323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1214</v>
      </c>
      <c r="G142" s="22"/>
    </row>
    <row r="143" spans="1:7">
      <c r="A143" s="22">
        <v>142</v>
      </c>
      <c r="B143" s="30" t="s">
        <v>514</v>
      </c>
      <c r="C143" s="22" t="s">
        <v>516</v>
      </c>
      <c r="D143" s="22" t="s">
        <v>517</v>
      </c>
      <c r="E143" s="25" t="s">
        <v>517</v>
      </c>
      <c r="F143" s="30" t="s">
        <v>1368</v>
      </c>
      <c r="G143" s="22"/>
    </row>
    <row r="144" spans="1:7">
      <c r="A144" s="22">
        <v>143</v>
      </c>
      <c r="B144" s="30" t="s">
        <v>514</v>
      </c>
      <c r="C144" s="22" t="s">
        <v>515</v>
      </c>
      <c r="D144" s="22" t="s">
        <v>517</v>
      </c>
      <c r="E144" s="25" t="s">
        <v>517</v>
      </c>
      <c r="F144" s="30" t="s">
        <v>1369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5" t="s">
        <v>517</v>
      </c>
      <c r="F145" s="21" t="s">
        <v>1232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5" t="s">
        <v>517</v>
      </c>
      <c r="F146" s="21" t="s">
        <v>1233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5" t="s">
        <v>517</v>
      </c>
      <c r="F147" s="21" t="s">
        <v>1234</v>
      </c>
      <c r="G147" s="22"/>
    </row>
    <row r="148" spans="1:7">
      <c r="A148" s="22">
        <v>147</v>
      </c>
      <c r="B148" s="21" t="s">
        <v>772</v>
      </c>
      <c r="C148" s="22" t="s">
        <v>515</v>
      </c>
      <c r="D148" s="22" t="s">
        <v>517</v>
      </c>
      <c r="E148" s="25" t="s">
        <v>517</v>
      </c>
      <c r="F148" s="21" t="s">
        <v>818</v>
      </c>
      <c r="G148" s="22"/>
    </row>
    <row r="149" spans="1:7">
      <c r="A149" s="22">
        <v>148</v>
      </c>
      <c r="B149" s="21" t="s">
        <v>772</v>
      </c>
      <c r="C149" s="22" t="s">
        <v>515</v>
      </c>
      <c r="D149" s="22" t="s">
        <v>772</v>
      </c>
      <c r="E149" s="25" t="s">
        <v>517</v>
      </c>
      <c r="F149" s="21" t="s">
        <v>818</v>
      </c>
      <c r="G149" s="22"/>
    </row>
    <row r="150" spans="1:7">
      <c r="A150" s="22">
        <v>149</v>
      </c>
      <c r="B150" s="21" t="s">
        <v>517</v>
      </c>
      <c r="C150" s="22" t="s">
        <v>515</v>
      </c>
      <c r="D150" s="22" t="s">
        <v>517</v>
      </c>
      <c r="E150" s="25" t="s">
        <v>517</v>
      </c>
      <c r="F150" s="21" t="s">
        <v>818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5" t="s">
        <v>517</v>
      </c>
      <c r="F151" s="21" t="s">
        <v>818</v>
      </c>
      <c r="G151" s="22"/>
    </row>
    <row r="152" spans="1:7">
      <c r="A152" s="22">
        <v>151</v>
      </c>
      <c r="B152" s="21" t="s">
        <v>517</v>
      </c>
      <c r="C152" s="22" t="s">
        <v>516</v>
      </c>
      <c r="D152" s="22" t="s">
        <v>517</v>
      </c>
      <c r="E152" s="25" t="s">
        <v>517</v>
      </c>
      <c r="F152" s="21" t="s">
        <v>818</v>
      </c>
      <c r="G152" s="22"/>
    </row>
    <row r="153" spans="1:7">
      <c r="A153" s="22">
        <v>152</v>
      </c>
      <c r="B153" s="30" t="s">
        <v>1324</v>
      </c>
      <c r="C153" s="22" t="s">
        <v>516</v>
      </c>
      <c r="D153" s="22" t="s">
        <v>517</v>
      </c>
      <c r="E153" s="25" t="s">
        <v>517</v>
      </c>
      <c r="F153" s="21" t="s">
        <v>818</v>
      </c>
      <c r="G153" s="22"/>
    </row>
    <row r="154" spans="1:7">
      <c r="A154" s="22">
        <v>153</v>
      </c>
      <c r="B154" s="30" t="s">
        <v>1324</v>
      </c>
      <c r="C154" s="22" t="s">
        <v>515</v>
      </c>
      <c r="D154" s="22" t="s">
        <v>517</v>
      </c>
      <c r="E154" s="25" t="s">
        <v>772</v>
      </c>
      <c r="F154" s="21" t="s">
        <v>818</v>
      </c>
      <c r="G154" s="22"/>
    </row>
    <row r="155" spans="1:7">
      <c r="A155" s="22">
        <v>154</v>
      </c>
      <c r="B155" s="30" t="s">
        <v>1324</v>
      </c>
      <c r="C155" s="22" t="s">
        <v>515</v>
      </c>
      <c r="D155" s="22" t="s">
        <v>772</v>
      </c>
      <c r="E155" s="25" t="s">
        <v>772</v>
      </c>
      <c r="F155" s="21" t="s">
        <v>1268</v>
      </c>
      <c r="G155" s="22"/>
    </row>
    <row r="156" spans="1:7">
      <c r="A156" s="22">
        <v>155</v>
      </c>
      <c r="B156" s="30" t="s">
        <v>1324</v>
      </c>
      <c r="C156" s="22" t="s">
        <v>515</v>
      </c>
      <c r="D156" s="22" t="s">
        <v>772</v>
      </c>
      <c r="E156" s="25" t="s">
        <v>772</v>
      </c>
      <c r="F156" s="21" t="s">
        <v>1268</v>
      </c>
      <c r="G156" s="22"/>
    </row>
    <row r="157" spans="1:7">
      <c r="A157" s="22">
        <v>156</v>
      </c>
      <c r="B157" s="30" t="s">
        <v>1324</v>
      </c>
      <c r="C157" s="22" t="s">
        <v>515</v>
      </c>
      <c r="D157" s="22" t="s">
        <v>517</v>
      </c>
      <c r="E157" s="25" t="s">
        <v>517</v>
      </c>
      <c r="F157" s="21" t="s">
        <v>1268</v>
      </c>
      <c r="G157" s="22"/>
    </row>
    <row r="158" spans="1:7">
      <c r="A158" s="22">
        <v>157</v>
      </c>
      <c r="B158" s="21" t="s">
        <v>517</v>
      </c>
      <c r="C158" s="22" t="s">
        <v>515</v>
      </c>
      <c r="D158" s="22" t="s">
        <v>517</v>
      </c>
      <c r="E158" s="25" t="s">
        <v>517</v>
      </c>
      <c r="F158" s="21" t="s">
        <v>1268</v>
      </c>
      <c r="G158" s="22"/>
    </row>
    <row r="159" spans="1:7">
      <c r="A159" s="22">
        <v>158</v>
      </c>
      <c r="B159" s="21" t="s">
        <v>514</v>
      </c>
      <c r="C159" s="22" t="s">
        <v>516</v>
      </c>
      <c r="D159" s="22" t="s">
        <v>518</v>
      </c>
      <c r="E159" s="25" t="s">
        <v>517</v>
      </c>
      <c r="F159" s="21" t="s">
        <v>1325</v>
      </c>
      <c r="G159" s="22"/>
    </row>
    <row r="160" spans="1:7">
      <c r="A160" s="22">
        <v>159</v>
      </c>
      <c r="B160" s="21" t="s">
        <v>514</v>
      </c>
      <c r="C160" s="22" t="s">
        <v>516</v>
      </c>
      <c r="D160" s="22" t="s">
        <v>518</v>
      </c>
      <c r="E160" s="25" t="s">
        <v>517</v>
      </c>
      <c r="F160" s="21" t="s">
        <v>1325</v>
      </c>
      <c r="G160" s="22"/>
    </row>
    <row r="161" spans="1:7">
      <c r="A161" s="22">
        <v>160</v>
      </c>
      <c r="B161" s="30" t="s">
        <v>1324</v>
      </c>
      <c r="C161" s="22" t="s">
        <v>515</v>
      </c>
      <c r="D161" s="22" t="s">
        <v>517</v>
      </c>
      <c r="E161" s="25" t="s">
        <v>517</v>
      </c>
      <c r="F161" s="21" t="s">
        <v>1268</v>
      </c>
      <c r="G161" s="22"/>
    </row>
    <row r="162" spans="1:7">
      <c r="A162" s="22">
        <v>161</v>
      </c>
      <c r="B162" s="30" t="s">
        <v>1324</v>
      </c>
      <c r="C162" s="22" t="s">
        <v>515</v>
      </c>
      <c r="D162" s="22" t="s">
        <v>517</v>
      </c>
      <c r="E162" s="25" t="s">
        <v>517</v>
      </c>
      <c r="F162" s="21" t="s">
        <v>1268</v>
      </c>
      <c r="G162" s="22"/>
    </row>
    <row r="163" spans="1:7">
      <c r="A163" s="22">
        <v>162</v>
      </c>
      <c r="B163" s="30" t="s">
        <v>1324</v>
      </c>
      <c r="C163" s="22" t="s">
        <v>516</v>
      </c>
      <c r="D163" s="22" t="s">
        <v>517</v>
      </c>
      <c r="E163" s="25" t="s">
        <v>517</v>
      </c>
      <c r="F163" s="21" t="s">
        <v>1268</v>
      </c>
      <c r="G163" s="22"/>
    </row>
    <row r="164" spans="1:7">
      <c r="A164" s="22">
        <v>163</v>
      </c>
      <c r="B164" s="30" t="s">
        <v>1324</v>
      </c>
      <c r="C164" s="22" t="s">
        <v>516</v>
      </c>
      <c r="D164" s="22" t="s">
        <v>517</v>
      </c>
      <c r="E164" s="25" t="s">
        <v>517</v>
      </c>
      <c r="F164" s="21" t="s">
        <v>1268</v>
      </c>
      <c r="G164" s="22"/>
    </row>
    <row r="165" spans="1:7">
      <c r="A165" s="22">
        <v>164</v>
      </c>
      <c r="B165" s="21" t="s">
        <v>517</v>
      </c>
      <c r="C165" s="22" t="s">
        <v>515</v>
      </c>
      <c r="D165" s="22" t="s">
        <v>517</v>
      </c>
      <c r="E165" s="25" t="s">
        <v>517</v>
      </c>
      <c r="F165" s="21" t="s">
        <v>1290</v>
      </c>
      <c r="G165" s="22"/>
    </row>
    <row r="166" spans="1:7">
      <c r="A166" s="22">
        <v>165</v>
      </c>
      <c r="B166" s="17" t="s">
        <v>517</v>
      </c>
      <c r="C166" s="22" t="s">
        <v>516</v>
      </c>
      <c r="D166" s="22" t="s">
        <v>517</v>
      </c>
      <c r="E166" s="22" t="s">
        <v>772</v>
      </c>
      <c r="F166" s="17" t="s">
        <v>1268</v>
      </c>
      <c r="G166" s="22"/>
    </row>
    <row r="167" spans="1:7">
      <c r="A167" s="22">
        <v>166</v>
      </c>
      <c r="B167" s="17" t="s">
        <v>517</v>
      </c>
      <c r="C167" s="22" t="s">
        <v>516</v>
      </c>
      <c r="D167" s="22" t="s">
        <v>517</v>
      </c>
      <c r="E167" s="22" t="s">
        <v>772</v>
      </c>
      <c r="F167" s="17" t="s">
        <v>1268</v>
      </c>
      <c r="G167" s="22"/>
    </row>
    <row r="168" spans="1:7">
      <c r="A168" s="22">
        <v>167</v>
      </c>
      <c r="B168" s="17" t="s">
        <v>517</v>
      </c>
      <c r="C168" s="22" t="s">
        <v>515</v>
      </c>
      <c r="D168" s="22" t="s">
        <v>517</v>
      </c>
      <c r="E168" s="22" t="s">
        <v>772</v>
      </c>
      <c r="F168" s="17" t="s">
        <v>1268</v>
      </c>
      <c r="G168" s="22"/>
    </row>
    <row r="169" spans="1:7">
      <c r="A169" s="22">
        <v>168</v>
      </c>
      <c r="B169" s="17" t="s">
        <v>517</v>
      </c>
      <c r="C169" s="22" t="s">
        <v>516</v>
      </c>
      <c r="D169" s="22" t="s">
        <v>517</v>
      </c>
      <c r="E169" s="22" t="s">
        <v>772</v>
      </c>
      <c r="F169" s="17" t="s">
        <v>1268</v>
      </c>
      <c r="G169" s="22"/>
    </row>
    <row r="170" spans="1:7">
      <c r="A170" s="22">
        <v>169</v>
      </c>
      <c r="B170" s="17" t="s">
        <v>517</v>
      </c>
      <c r="C170" s="22" t="s">
        <v>515</v>
      </c>
      <c r="D170" s="22" t="s">
        <v>517</v>
      </c>
      <c r="E170" s="22" t="s">
        <v>772</v>
      </c>
      <c r="F170" s="17" t="s">
        <v>1268</v>
      </c>
      <c r="G170" s="22"/>
    </row>
    <row r="171" spans="1:7">
      <c r="A171" s="22">
        <v>170</v>
      </c>
      <c r="B171" s="17" t="s">
        <v>517</v>
      </c>
      <c r="C171" s="22" t="s">
        <v>515</v>
      </c>
      <c r="D171" s="22" t="s">
        <v>517</v>
      </c>
      <c r="E171" s="22" t="s">
        <v>772</v>
      </c>
      <c r="F171" s="17" t="s">
        <v>1326</v>
      </c>
      <c r="G171" s="22"/>
    </row>
    <row r="172" spans="1:7">
      <c r="A172" s="22">
        <v>171</v>
      </c>
      <c r="B172" s="17" t="s">
        <v>517</v>
      </c>
      <c r="C172" s="22" t="s">
        <v>515</v>
      </c>
      <c r="D172" s="22" t="s">
        <v>517</v>
      </c>
      <c r="E172" s="22" t="s">
        <v>772</v>
      </c>
      <c r="F172" s="17" t="s">
        <v>1370</v>
      </c>
      <c r="G172" s="22"/>
    </row>
    <row r="173" spans="1:7">
      <c r="A173" s="22">
        <v>172</v>
      </c>
      <c r="B173" s="17" t="s">
        <v>517</v>
      </c>
      <c r="C173" s="22" t="s">
        <v>515</v>
      </c>
      <c r="D173" s="22" t="s">
        <v>517</v>
      </c>
      <c r="E173" s="22" t="s">
        <v>772</v>
      </c>
      <c r="F173" s="17" t="s">
        <v>1268</v>
      </c>
      <c r="G173" s="22"/>
    </row>
    <row r="174" spans="1:7">
      <c r="A174" s="22">
        <v>173</v>
      </c>
      <c r="B174" s="17" t="s">
        <v>517</v>
      </c>
      <c r="C174" s="22" t="s">
        <v>515</v>
      </c>
      <c r="D174" s="22" t="s">
        <v>517</v>
      </c>
      <c r="E174" s="22" t="s">
        <v>772</v>
      </c>
      <c r="F174" s="17" t="s">
        <v>1326</v>
      </c>
      <c r="G174" s="22"/>
    </row>
    <row r="175" spans="1:7">
      <c r="A175" s="22">
        <v>174</v>
      </c>
      <c r="B175" s="17" t="s">
        <v>517</v>
      </c>
      <c r="C175" s="22" t="s">
        <v>515</v>
      </c>
      <c r="D175" s="22" t="s">
        <v>517</v>
      </c>
      <c r="E175" s="22" t="s">
        <v>772</v>
      </c>
      <c r="F175" s="17" t="s">
        <v>1268</v>
      </c>
      <c r="G175" s="22"/>
    </row>
    <row r="176" spans="1:7">
      <c r="A176" s="22">
        <v>175</v>
      </c>
      <c r="B176" s="17" t="s">
        <v>517</v>
      </c>
      <c r="C176" s="22" t="s">
        <v>515</v>
      </c>
      <c r="D176" s="22" t="s">
        <v>517</v>
      </c>
      <c r="E176" s="22" t="s">
        <v>772</v>
      </c>
      <c r="F176" s="17" t="s">
        <v>1268</v>
      </c>
      <c r="G176" s="22"/>
    </row>
  </sheetData>
  <conditionalFormatting sqref="C27:E29 C48:E48 C72:E73 C94:E94 C109:E109 B2:B176">
    <cfRule type="cellIs" dxfId="19" priority="1" operator="equal">
      <formula>"gestionado"</formula>
    </cfRule>
    <cfRule type="cellIs" dxfId="18" priority="2" operator="equal">
      <formula>"procesado"</formula>
    </cfRule>
    <cfRule type="cellIs" dxfId="17" priority="3" operator="equal">
      <formula>"pendiente"</formula>
    </cfRule>
    <cfRule type="cellIs" dxfId="16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2026-09-10T19:02:36Z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